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alejandragilpolo/Documents/GitHub/Rhizobia_EPS_Manuscript/Data_input/"/>
    </mc:Choice>
  </mc:AlternateContent>
  <xr:revisionPtr revIDLastSave="0" documentId="8_{EF28FEDE-B2B2-B447-A2D5-E6CA601B2D7B}" xr6:coauthVersionLast="47" xr6:coauthVersionMax="47" xr10:uidLastSave="{00000000-0000-0000-0000-000000000000}"/>
  <bookViews>
    <workbookView xWindow="0" yWindow="760" windowWidth="34200" windowHeight="21380" firstSheet="1" activeTab="1" xr2:uid="{79B8E6AC-2BB0-4466-91D3-1D0ED8E83A65}"/>
  </bookViews>
  <sheets>
    <sheet name="Metadata" sheetId="10" r:id="rId1"/>
    <sheet name="SingleStriain-DataSheet" sheetId="4" r:id="rId2"/>
    <sheet name="CFU-SingleNodule-DataSheet" sheetId="7" r:id="rId3"/>
    <sheet name="SnR nanodrop" sheetId="9" r:id="rId4"/>
    <sheet name="StrainsChosen" sheetId="1" r:id="rId5"/>
    <sheet name="CFU strains Chosen" sheetId="8" r:id="rId6"/>
    <sheet name="Labels" sheetId="2" r:id="rId7"/>
    <sheet name="Randomization" sheetId="3" r:id="rId8"/>
    <sheet name="OrgByTray" sheetId="5" r:id="rId9"/>
    <sheet name="OrgByStrain" sheetId="6" r:id="rId10"/>
  </sheets>
  <externalReferences>
    <externalReference r:id="rId11"/>
  </externalReferences>
  <definedNames>
    <definedName name="_xlnm._FilterDatabase" localSheetId="5" hidden="1">'CFU strains Chosen'!$A$1:$C$73</definedName>
    <definedName name="_xlnm.Print_Area" localSheetId="4">StrainsChosen!$A$1:$F$125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7" l="1"/>
  <c r="R3" i="7"/>
  <c r="R4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2" i="7"/>
  <c r="O3" i="7"/>
  <c r="O2" i="7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2" i="3"/>
  <c r="O98" i="4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2" i="9"/>
  <c r="O45" i="7"/>
  <c r="L2" i="7"/>
  <c r="O6" i="7"/>
  <c r="O5" i="7"/>
  <c r="O781" i="4" l="1"/>
  <c r="O211" i="4"/>
  <c r="O1231" i="4"/>
  <c r="D275" i="4"/>
  <c r="D13" i="4"/>
  <c r="P1130" i="4"/>
  <c r="C468" i="7"/>
  <c r="C467" i="7"/>
  <c r="C466" i="7"/>
  <c r="C450" i="7"/>
  <c r="C449" i="7"/>
  <c r="C465" i="7"/>
  <c r="C464" i="7"/>
  <c r="C463" i="7"/>
  <c r="C462" i="7"/>
  <c r="O1145" i="4"/>
  <c r="C461" i="7"/>
  <c r="C460" i="7"/>
  <c r="C459" i="7"/>
  <c r="C458" i="7"/>
  <c r="C457" i="7"/>
  <c r="D1436" i="4"/>
  <c r="D1426" i="4"/>
  <c r="D1449" i="4"/>
  <c r="D1443" i="4"/>
  <c r="D1448" i="4"/>
  <c r="D1427" i="4"/>
  <c r="C456" i="7"/>
  <c r="C455" i="7"/>
  <c r="C454" i="7"/>
  <c r="C453" i="7"/>
  <c r="C452" i="7"/>
  <c r="C451" i="7"/>
  <c r="C448" i="7"/>
  <c r="C447" i="7"/>
  <c r="C446" i="7"/>
  <c r="C445" i="7"/>
  <c r="C117" i="7"/>
  <c r="C444" i="7"/>
  <c r="C443" i="7"/>
  <c r="C442" i="7"/>
  <c r="C441" i="7"/>
  <c r="C440" i="7"/>
  <c r="C439" i="7"/>
  <c r="C438" i="7"/>
  <c r="C437" i="7"/>
  <c r="C436" i="7"/>
  <c r="C435" i="7"/>
  <c r="C434" i="7"/>
  <c r="C419" i="7"/>
  <c r="O388" i="7"/>
  <c r="C173" i="7"/>
  <c r="O27" i="4"/>
  <c r="C176" i="7"/>
  <c r="C179" i="7"/>
  <c r="C119" i="7"/>
  <c r="C110" i="7"/>
  <c r="C213" i="7"/>
  <c r="C333" i="7"/>
  <c r="C331" i="7"/>
  <c r="C134" i="7"/>
  <c r="C113" i="7"/>
  <c r="C200" i="7"/>
  <c r="C399" i="7"/>
  <c r="C148" i="7"/>
  <c r="N224" i="7"/>
  <c r="M255" i="7"/>
  <c r="M256" i="7" s="1"/>
  <c r="M257" i="7" s="1"/>
  <c r="M258" i="7" s="1"/>
  <c r="M259" i="7" s="1"/>
  <c r="M260" i="7" s="1"/>
  <c r="M261" i="7" s="1"/>
  <c r="M262" i="7" s="1"/>
  <c r="M263" i="7" s="1"/>
  <c r="M264" i="7" s="1"/>
  <c r="M265" i="7" s="1"/>
  <c r="M266" i="7" s="1"/>
  <c r="M267" i="7" s="1"/>
  <c r="M268" i="7" s="1"/>
  <c r="M269" i="7" s="1"/>
  <c r="M270" i="7" s="1"/>
  <c r="M219" i="7"/>
  <c r="M220" i="7" s="1"/>
  <c r="M221" i="7" s="1"/>
  <c r="M222" i="7" s="1"/>
  <c r="M223" i="7" s="1"/>
  <c r="M224" i="7" s="1"/>
  <c r="M225" i="7" s="1"/>
  <c r="M226" i="7" s="1"/>
  <c r="M227" i="7" s="1"/>
  <c r="M228" i="7" s="1"/>
  <c r="M229" i="7" s="1"/>
  <c r="M230" i="7" s="1"/>
  <c r="M231" i="7" s="1"/>
  <c r="M232" i="7" s="1"/>
  <c r="M233" i="7" s="1"/>
  <c r="M234" i="7" s="1"/>
  <c r="M235" i="7" s="1"/>
  <c r="M236" i="7" s="1"/>
  <c r="M237" i="7" s="1"/>
  <c r="M238" i="7" s="1"/>
  <c r="M239" i="7" s="1"/>
  <c r="M240" i="7" s="1"/>
  <c r="M241" i="7" s="1"/>
  <c r="M242" i="7" s="1"/>
  <c r="M243" i="7" s="1"/>
  <c r="M244" i="7" s="1"/>
  <c r="M245" i="7" s="1"/>
  <c r="M246" i="7" s="1"/>
  <c r="M247" i="7" s="1"/>
  <c r="M248" i="7" s="1"/>
  <c r="M249" i="7" s="1"/>
  <c r="M250" i="7" s="1"/>
  <c r="M251" i="7" s="1"/>
  <c r="M252" i="7" s="1"/>
  <c r="M253" i="7" s="1"/>
  <c r="L6" i="7"/>
  <c r="C349" i="7"/>
  <c r="P1406" i="4"/>
  <c r="C122" i="7"/>
  <c r="C208" i="7"/>
  <c r="C124" i="7"/>
  <c r="L272" i="7"/>
  <c r="O272" i="7" s="1"/>
  <c r="L271" i="7"/>
  <c r="O271" i="7" s="1"/>
  <c r="N36" i="7"/>
  <c r="N37" i="7" s="1"/>
  <c r="N17" i="7"/>
  <c r="N7" i="7"/>
  <c r="N16" i="7" s="1"/>
  <c r="N25" i="7" s="1"/>
  <c r="N24" i="7" s="1"/>
  <c r="N44" i="7"/>
  <c r="L383" i="7"/>
  <c r="O383" i="7" s="1"/>
  <c r="C388" i="7"/>
  <c r="C427" i="7"/>
  <c r="M10" i="7"/>
  <c r="O1448" i="4"/>
  <c r="P1448" i="4"/>
  <c r="O1427" i="4"/>
  <c r="P1427" i="4"/>
  <c r="O1449" i="4"/>
  <c r="P1449" i="4"/>
  <c r="L3" i="7"/>
  <c r="L4" i="7"/>
  <c r="O4" i="7" s="1"/>
  <c r="L5" i="7"/>
  <c r="L7" i="7"/>
  <c r="O7" i="7" s="1"/>
  <c r="L8" i="7"/>
  <c r="O8" i="7" s="1"/>
  <c r="L9" i="7"/>
  <c r="O9" i="7" s="1"/>
  <c r="L10" i="7"/>
  <c r="O10" i="7" s="1"/>
  <c r="L11" i="7"/>
  <c r="O11" i="7" s="1"/>
  <c r="L12" i="7"/>
  <c r="O12" i="7" s="1"/>
  <c r="L13" i="7"/>
  <c r="O13" i="7" s="1"/>
  <c r="L14" i="7"/>
  <c r="O14" i="7" s="1"/>
  <c r="L15" i="7"/>
  <c r="O15" i="7" s="1"/>
  <c r="L16" i="7"/>
  <c r="O16" i="7" s="1"/>
  <c r="L17" i="7"/>
  <c r="O17" i="7" s="1"/>
  <c r="L18" i="7"/>
  <c r="O18" i="7" s="1"/>
  <c r="L19" i="7"/>
  <c r="O19" i="7" s="1"/>
  <c r="L20" i="7"/>
  <c r="O20" i="7" s="1"/>
  <c r="L21" i="7"/>
  <c r="O21" i="7" s="1"/>
  <c r="L22" i="7"/>
  <c r="O22" i="7" s="1"/>
  <c r="L23" i="7"/>
  <c r="O23" i="7" s="1"/>
  <c r="L24" i="7"/>
  <c r="O24" i="7" s="1"/>
  <c r="L25" i="7"/>
  <c r="O25" i="7" s="1"/>
  <c r="L26" i="7"/>
  <c r="O26" i="7" s="1"/>
  <c r="L27" i="7"/>
  <c r="O27" i="7" s="1"/>
  <c r="L28" i="7"/>
  <c r="O28" i="7" s="1"/>
  <c r="L29" i="7"/>
  <c r="O29" i="7" s="1"/>
  <c r="L30" i="7"/>
  <c r="O30" i="7" s="1"/>
  <c r="L31" i="7"/>
  <c r="O31" i="7" s="1"/>
  <c r="L32" i="7"/>
  <c r="O32" i="7" s="1"/>
  <c r="L33" i="7"/>
  <c r="O33" i="7" s="1"/>
  <c r="L34" i="7"/>
  <c r="O34" i="7" s="1"/>
  <c r="L35" i="7"/>
  <c r="O35" i="7" s="1"/>
  <c r="L36" i="7"/>
  <c r="O36" i="7" s="1"/>
  <c r="L37" i="7"/>
  <c r="O37" i="7" s="1"/>
  <c r="L38" i="7"/>
  <c r="O38" i="7" s="1"/>
  <c r="L39" i="7"/>
  <c r="O39" i="7" s="1"/>
  <c r="L40" i="7"/>
  <c r="O40" i="7" s="1"/>
  <c r="L41" i="7"/>
  <c r="O41" i="7" s="1"/>
  <c r="L42" i="7"/>
  <c r="O42" i="7" s="1"/>
  <c r="L43" i="7"/>
  <c r="O43" i="7" s="1"/>
  <c r="L44" i="7"/>
  <c r="O44" i="7" s="1"/>
  <c r="L45" i="7"/>
  <c r="L46" i="7"/>
  <c r="O46" i="7" s="1"/>
  <c r="L47" i="7"/>
  <c r="O47" i="7" s="1"/>
  <c r="L48" i="7"/>
  <c r="O48" i="7" s="1"/>
  <c r="L49" i="7"/>
  <c r="O49" i="7" s="1"/>
  <c r="L50" i="7"/>
  <c r="O50" i="7" s="1"/>
  <c r="L51" i="7"/>
  <c r="O51" i="7" s="1"/>
  <c r="L52" i="7"/>
  <c r="O52" i="7" s="1"/>
  <c r="L53" i="7"/>
  <c r="O53" i="7" s="1"/>
  <c r="L54" i="7"/>
  <c r="O54" i="7" s="1"/>
  <c r="L55" i="7"/>
  <c r="O55" i="7" s="1"/>
  <c r="L56" i="7"/>
  <c r="O56" i="7" s="1"/>
  <c r="L57" i="7"/>
  <c r="O57" i="7" s="1"/>
  <c r="L58" i="7"/>
  <c r="O58" i="7" s="1"/>
  <c r="L59" i="7"/>
  <c r="O59" i="7" s="1"/>
  <c r="L60" i="7"/>
  <c r="O60" i="7" s="1"/>
  <c r="L61" i="7"/>
  <c r="O61" i="7" s="1"/>
  <c r="L62" i="7"/>
  <c r="O62" i="7" s="1"/>
  <c r="L63" i="7"/>
  <c r="O63" i="7" s="1"/>
  <c r="L64" i="7"/>
  <c r="O64" i="7" s="1"/>
  <c r="L65" i="7"/>
  <c r="O65" i="7" s="1"/>
  <c r="L66" i="7"/>
  <c r="O66" i="7" s="1"/>
  <c r="L67" i="7"/>
  <c r="O67" i="7" s="1"/>
  <c r="L68" i="7"/>
  <c r="O68" i="7" s="1"/>
  <c r="L69" i="7"/>
  <c r="O69" i="7" s="1"/>
  <c r="L70" i="7"/>
  <c r="O70" i="7" s="1"/>
  <c r="L71" i="7"/>
  <c r="O71" i="7" s="1"/>
  <c r="L72" i="7"/>
  <c r="O72" i="7" s="1"/>
  <c r="L73" i="7"/>
  <c r="O73" i="7" s="1"/>
  <c r="L74" i="7"/>
  <c r="O74" i="7" s="1"/>
  <c r="L75" i="7"/>
  <c r="O75" i="7" s="1"/>
  <c r="L76" i="7"/>
  <c r="O76" i="7" s="1"/>
  <c r="L77" i="7"/>
  <c r="O77" i="7" s="1"/>
  <c r="L78" i="7"/>
  <c r="O78" i="7" s="1"/>
  <c r="L79" i="7"/>
  <c r="O79" i="7" s="1"/>
  <c r="L80" i="7"/>
  <c r="O80" i="7" s="1"/>
  <c r="L81" i="7"/>
  <c r="O81" i="7" s="1"/>
  <c r="L82" i="7"/>
  <c r="O82" i="7" s="1"/>
  <c r="L83" i="7"/>
  <c r="O83" i="7" s="1"/>
  <c r="L84" i="7"/>
  <c r="O84" i="7" s="1"/>
  <c r="L85" i="7"/>
  <c r="O85" i="7" s="1"/>
  <c r="L86" i="7"/>
  <c r="O86" i="7" s="1"/>
  <c r="L87" i="7"/>
  <c r="O87" i="7" s="1"/>
  <c r="L88" i="7"/>
  <c r="O88" i="7" s="1"/>
  <c r="L89" i="7"/>
  <c r="O89" i="7" s="1"/>
  <c r="L90" i="7"/>
  <c r="O90" i="7" s="1"/>
  <c r="L91" i="7"/>
  <c r="O91" i="7" s="1"/>
  <c r="L92" i="7"/>
  <c r="O92" i="7" s="1"/>
  <c r="L93" i="7"/>
  <c r="O93" i="7" s="1"/>
  <c r="L94" i="7"/>
  <c r="O94" i="7" s="1"/>
  <c r="L95" i="7"/>
  <c r="O95" i="7" s="1"/>
  <c r="L96" i="7"/>
  <c r="O96" i="7" s="1"/>
  <c r="L97" i="7"/>
  <c r="O97" i="7" s="1"/>
  <c r="L98" i="7"/>
  <c r="O98" i="7" s="1"/>
  <c r="L99" i="7"/>
  <c r="O99" i="7" s="1"/>
  <c r="L100" i="7"/>
  <c r="O100" i="7" s="1"/>
  <c r="L101" i="7"/>
  <c r="O101" i="7" s="1"/>
  <c r="L102" i="7"/>
  <c r="O102" i="7" s="1"/>
  <c r="L103" i="7"/>
  <c r="O103" i="7" s="1"/>
  <c r="L104" i="7"/>
  <c r="O104" i="7" s="1"/>
  <c r="L105" i="7"/>
  <c r="O105" i="7" s="1"/>
  <c r="L106" i="7"/>
  <c r="O106" i="7" s="1"/>
  <c r="L107" i="7"/>
  <c r="O107" i="7" s="1"/>
  <c r="L108" i="7"/>
  <c r="O108" i="7" s="1"/>
  <c r="L109" i="7"/>
  <c r="O109" i="7" s="1"/>
  <c r="L110" i="7"/>
  <c r="O110" i="7" s="1"/>
  <c r="L111" i="7"/>
  <c r="O111" i="7" s="1"/>
  <c r="L112" i="7"/>
  <c r="O112" i="7" s="1"/>
  <c r="L113" i="7"/>
  <c r="O113" i="7" s="1"/>
  <c r="L114" i="7"/>
  <c r="O114" i="7" s="1"/>
  <c r="L115" i="7"/>
  <c r="O115" i="7" s="1"/>
  <c r="L116" i="7"/>
  <c r="O116" i="7" s="1"/>
  <c r="L117" i="7"/>
  <c r="O117" i="7" s="1"/>
  <c r="L118" i="7"/>
  <c r="O118" i="7" s="1"/>
  <c r="L119" i="7"/>
  <c r="O119" i="7" s="1"/>
  <c r="L120" i="7"/>
  <c r="O120" i="7" s="1"/>
  <c r="L121" i="7"/>
  <c r="O121" i="7" s="1"/>
  <c r="L122" i="7"/>
  <c r="O122" i="7" s="1"/>
  <c r="L123" i="7"/>
  <c r="O123" i="7" s="1"/>
  <c r="L124" i="7"/>
  <c r="O124" i="7" s="1"/>
  <c r="L125" i="7"/>
  <c r="O125" i="7" s="1"/>
  <c r="L126" i="7"/>
  <c r="O126" i="7" s="1"/>
  <c r="L127" i="7"/>
  <c r="O127" i="7" s="1"/>
  <c r="L128" i="7"/>
  <c r="O128" i="7" s="1"/>
  <c r="L129" i="7"/>
  <c r="O129" i="7" s="1"/>
  <c r="L130" i="7"/>
  <c r="O130" i="7" s="1"/>
  <c r="L131" i="7"/>
  <c r="O131" i="7" s="1"/>
  <c r="L132" i="7"/>
  <c r="O132" i="7" s="1"/>
  <c r="L133" i="7"/>
  <c r="O133" i="7" s="1"/>
  <c r="L134" i="7"/>
  <c r="O134" i="7" s="1"/>
  <c r="L135" i="7"/>
  <c r="O135" i="7" s="1"/>
  <c r="L136" i="7"/>
  <c r="O136" i="7" s="1"/>
  <c r="L137" i="7"/>
  <c r="O137" i="7" s="1"/>
  <c r="L138" i="7"/>
  <c r="O138" i="7" s="1"/>
  <c r="L139" i="7"/>
  <c r="O139" i="7" s="1"/>
  <c r="L140" i="7"/>
  <c r="O140" i="7" s="1"/>
  <c r="L141" i="7"/>
  <c r="O141" i="7" s="1"/>
  <c r="L142" i="7"/>
  <c r="O142" i="7" s="1"/>
  <c r="L143" i="7"/>
  <c r="O143" i="7" s="1"/>
  <c r="L144" i="7"/>
  <c r="O144" i="7" s="1"/>
  <c r="L145" i="7"/>
  <c r="O145" i="7" s="1"/>
  <c r="L146" i="7"/>
  <c r="O146" i="7" s="1"/>
  <c r="L147" i="7"/>
  <c r="O147" i="7" s="1"/>
  <c r="L148" i="7"/>
  <c r="O148" i="7" s="1"/>
  <c r="L149" i="7"/>
  <c r="O149" i="7" s="1"/>
  <c r="L150" i="7"/>
  <c r="O150" i="7" s="1"/>
  <c r="L151" i="7"/>
  <c r="O151" i="7" s="1"/>
  <c r="L152" i="7"/>
  <c r="O152" i="7" s="1"/>
  <c r="L153" i="7"/>
  <c r="O153" i="7" s="1"/>
  <c r="L154" i="7"/>
  <c r="O154" i="7" s="1"/>
  <c r="L155" i="7"/>
  <c r="O155" i="7" s="1"/>
  <c r="L156" i="7"/>
  <c r="O156" i="7" s="1"/>
  <c r="L157" i="7"/>
  <c r="O157" i="7" s="1"/>
  <c r="L158" i="7"/>
  <c r="O158" i="7" s="1"/>
  <c r="L159" i="7"/>
  <c r="O159" i="7" s="1"/>
  <c r="L160" i="7"/>
  <c r="O160" i="7" s="1"/>
  <c r="L161" i="7"/>
  <c r="O161" i="7" s="1"/>
  <c r="L162" i="7"/>
  <c r="O162" i="7" s="1"/>
  <c r="L163" i="7"/>
  <c r="O163" i="7" s="1"/>
  <c r="L164" i="7"/>
  <c r="O164" i="7" s="1"/>
  <c r="L165" i="7"/>
  <c r="O165" i="7" s="1"/>
  <c r="L166" i="7"/>
  <c r="O166" i="7" s="1"/>
  <c r="L167" i="7"/>
  <c r="O167" i="7" s="1"/>
  <c r="L168" i="7"/>
  <c r="O168" i="7" s="1"/>
  <c r="L169" i="7"/>
  <c r="O169" i="7" s="1"/>
  <c r="L170" i="7"/>
  <c r="O170" i="7" s="1"/>
  <c r="L171" i="7"/>
  <c r="O171" i="7" s="1"/>
  <c r="L172" i="7"/>
  <c r="O172" i="7" s="1"/>
  <c r="L173" i="7"/>
  <c r="O173" i="7" s="1"/>
  <c r="L174" i="7"/>
  <c r="O174" i="7" s="1"/>
  <c r="L175" i="7"/>
  <c r="O175" i="7" s="1"/>
  <c r="L176" i="7"/>
  <c r="O176" i="7" s="1"/>
  <c r="L177" i="7"/>
  <c r="O177" i="7" s="1"/>
  <c r="L178" i="7"/>
  <c r="O178" i="7" s="1"/>
  <c r="L179" i="7"/>
  <c r="O179" i="7" s="1"/>
  <c r="L180" i="7"/>
  <c r="O180" i="7" s="1"/>
  <c r="L181" i="7"/>
  <c r="O181" i="7" s="1"/>
  <c r="L182" i="7"/>
  <c r="O182" i="7" s="1"/>
  <c r="L183" i="7"/>
  <c r="O183" i="7" s="1"/>
  <c r="L184" i="7"/>
  <c r="O184" i="7" s="1"/>
  <c r="L185" i="7"/>
  <c r="O185" i="7" s="1"/>
  <c r="L186" i="7"/>
  <c r="O186" i="7" s="1"/>
  <c r="L187" i="7"/>
  <c r="O187" i="7" s="1"/>
  <c r="L188" i="7"/>
  <c r="O188" i="7" s="1"/>
  <c r="L189" i="7"/>
  <c r="O189" i="7" s="1"/>
  <c r="L190" i="7"/>
  <c r="O190" i="7" s="1"/>
  <c r="L191" i="7"/>
  <c r="O191" i="7" s="1"/>
  <c r="L192" i="7"/>
  <c r="O192" i="7" s="1"/>
  <c r="L193" i="7"/>
  <c r="O193" i="7" s="1"/>
  <c r="L194" i="7"/>
  <c r="O194" i="7" s="1"/>
  <c r="L195" i="7"/>
  <c r="O195" i="7" s="1"/>
  <c r="L196" i="7"/>
  <c r="O196" i="7" s="1"/>
  <c r="L197" i="7"/>
  <c r="O197" i="7" s="1"/>
  <c r="L198" i="7"/>
  <c r="O198" i="7" s="1"/>
  <c r="L199" i="7"/>
  <c r="O199" i="7" s="1"/>
  <c r="L200" i="7"/>
  <c r="O200" i="7" s="1"/>
  <c r="L201" i="7"/>
  <c r="O201" i="7" s="1"/>
  <c r="L202" i="7"/>
  <c r="O202" i="7" s="1"/>
  <c r="L203" i="7"/>
  <c r="O203" i="7" s="1"/>
  <c r="L204" i="7"/>
  <c r="O204" i="7" s="1"/>
  <c r="L205" i="7"/>
  <c r="O205" i="7" s="1"/>
  <c r="L206" i="7"/>
  <c r="O206" i="7" s="1"/>
  <c r="L207" i="7"/>
  <c r="O207" i="7" s="1"/>
  <c r="L208" i="7"/>
  <c r="O208" i="7" s="1"/>
  <c r="L209" i="7"/>
  <c r="O209" i="7" s="1"/>
  <c r="L210" i="7"/>
  <c r="O210" i="7" s="1"/>
  <c r="L211" i="7"/>
  <c r="O211" i="7" s="1"/>
  <c r="L212" i="7"/>
  <c r="O212" i="7" s="1"/>
  <c r="L213" i="7"/>
  <c r="O213" i="7" s="1"/>
  <c r="L214" i="7"/>
  <c r="O214" i="7" s="1"/>
  <c r="L215" i="7"/>
  <c r="O215" i="7" s="1"/>
  <c r="L216" i="7"/>
  <c r="O216" i="7" s="1"/>
  <c r="L217" i="7"/>
  <c r="O217" i="7" s="1"/>
  <c r="L218" i="7"/>
  <c r="O218" i="7" s="1"/>
  <c r="L219" i="7"/>
  <c r="O219" i="7" s="1"/>
  <c r="L220" i="7"/>
  <c r="O220" i="7" s="1"/>
  <c r="L221" i="7"/>
  <c r="O221" i="7" s="1"/>
  <c r="L222" i="7"/>
  <c r="O222" i="7" s="1"/>
  <c r="L223" i="7"/>
  <c r="O223" i="7" s="1"/>
  <c r="L224" i="7"/>
  <c r="O224" i="7" s="1"/>
  <c r="L225" i="7"/>
  <c r="O225" i="7" s="1"/>
  <c r="L226" i="7"/>
  <c r="O226" i="7" s="1"/>
  <c r="L227" i="7"/>
  <c r="O227" i="7" s="1"/>
  <c r="L228" i="7"/>
  <c r="O228" i="7" s="1"/>
  <c r="L229" i="7"/>
  <c r="O229" i="7" s="1"/>
  <c r="L230" i="7"/>
  <c r="O230" i="7" s="1"/>
  <c r="L231" i="7"/>
  <c r="O231" i="7" s="1"/>
  <c r="L232" i="7"/>
  <c r="O232" i="7" s="1"/>
  <c r="L233" i="7"/>
  <c r="O233" i="7" s="1"/>
  <c r="L234" i="7"/>
  <c r="O234" i="7" s="1"/>
  <c r="L235" i="7"/>
  <c r="O235" i="7" s="1"/>
  <c r="L236" i="7"/>
  <c r="O236" i="7" s="1"/>
  <c r="L237" i="7"/>
  <c r="O237" i="7" s="1"/>
  <c r="L238" i="7"/>
  <c r="O238" i="7" s="1"/>
  <c r="L239" i="7"/>
  <c r="O239" i="7" s="1"/>
  <c r="L240" i="7"/>
  <c r="O240" i="7" s="1"/>
  <c r="L241" i="7"/>
  <c r="O241" i="7" s="1"/>
  <c r="L242" i="7"/>
  <c r="O242" i="7" s="1"/>
  <c r="L243" i="7"/>
  <c r="O243" i="7" s="1"/>
  <c r="L244" i="7"/>
  <c r="O244" i="7" s="1"/>
  <c r="L245" i="7"/>
  <c r="O245" i="7" s="1"/>
  <c r="L246" i="7"/>
  <c r="O246" i="7" s="1"/>
  <c r="L247" i="7"/>
  <c r="O247" i="7" s="1"/>
  <c r="L248" i="7"/>
  <c r="O248" i="7" s="1"/>
  <c r="L249" i="7"/>
  <c r="O249" i="7" s="1"/>
  <c r="L250" i="7"/>
  <c r="O250" i="7" s="1"/>
  <c r="L251" i="7"/>
  <c r="O251" i="7" s="1"/>
  <c r="L252" i="7"/>
  <c r="O252" i="7" s="1"/>
  <c r="L253" i="7"/>
  <c r="O253" i="7" s="1"/>
  <c r="L254" i="7"/>
  <c r="O254" i="7" s="1"/>
  <c r="L255" i="7"/>
  <c r="O255" i="7" s="1"/>
  <c r="L256" i="7"/>
  <c r="O256" i="7" s="1"/>
  <c r="L257" i="7"/>
  <c r="O257" i="7" s="1"/>
  <c r="L258" i="7"/>
  <c r="O258" i="7" s="1"/>
  <c r="L259" i="7"/>
  <c r="O259" i="7" s="1"/>
  <c r="L260" i="7"/>
  <c r="O260" i="7" s="1"/>
  <c r="L261" i="7"/>
  <c r="O261" i="7" s="1"/>
  <c r="L262" i="7"/>
  <c r="O262" i="7" s="1"/>
  <c r="L263" i="7"/>
  <c r="O263" i="7" s="1"/>
  <c r="L264" i="7"/>
  <c r="O264" i="7" s="1"/>
  <c r="L265" i="7"/>
  <c r="O265" i="7" s="1"/>
  <c r="L266" i="7"/>
  <c r="O266" i="7" s="1"/>
  <c r="L267" i="7"/>
  <c r="O267" i="7" s="1"/>
  <c r="L268" i="7"/>
  <c r="O268" i="7" s="1"/>
  <c r="L269" i="7"/>
  <c r="O269" i="7" s="1"/>
  <c r="L270" i="7"/>
  <c r="O270" i="7" s="1"/>
  <c r="L273" i="7"/>
  <c r="O273" i="7" s="1"/>
  <c r="L274" i="7"/>
  <c r="O274" i="7" s="1"/>
  <c r="L275" i="7"/>
  <c r="O275" i="7" s="1"/>
  <c r="L276" i="7"/>
  <c r="O276" i="7" s="1"/>
  <c r="L277" i="7"/>
  <c r="O277" i="7" s="1"/>
  <c r="L278" i="7"/>
  <c r="O278" i="7" s="1"/>
  <c r="L279" i="7"/>
  <c r="O279" i="7" s="1"/>
  <c r="L280" i="7"/>
  <c r="O280" i="7" s="1"/>
  <c r="L281" i="7"/>
  <c r="O281" i="7" s="1"/>
  <c r="L282" i="7"/>
  <c r="O282" i="7" s="1"/>
  <c r="L283" i="7"/>
  <c r="O283" i="7" s="1"/>
  <c r="L284" i="7"/>
  <c r="O284" i="7" s="1"/>
  <c r="L285" i="7"/>
  <c r="O285" i="7" s="1"/>
  <c r="L286" i="7"/>
  <c r="O286" i="7" s="1"/>
  <c r="L287" i="7"/>
  <c r="O287" i="7" s="1"/>
  <c r="L288" i="7"/>
  <c r="O288" i="7" s="1"/>
  <c r="L289" i="7"/>
  <c r="O289" i="7" s="1"/>
  <c r="L290" i="7"/>
  <c r="O290" i="7" s="1"/>
  <c r="L291" i="7"/>
  <c r="O291" i="7" s="1"/>
  <c r="L292" i="7"/>
  <c r="O292" i="7" s="1"/>
  <c r="L293" i="7"/>
  <c r="O293" i="7" s="1"/>
  <c r="L294" i="7"/>
  <c r="O294" i="7" s="1"/>
  <c r="L295" i="7"/>
  <c r="O295" i="7" s="1"/>
  <c r="L296" i="7"/>
  <c r="O296" i="7" s="1"/>
  <c r="L297" i="7"/>
  <c r="O297" i="7" s="1"/>
  <c r="L298" i="7"/>
  <c r="O298" i="7" s="1"/>
  <c r="L299" i="7"/>
  <c r="O299" i="7" s="1"/>
  <c r="L300" i="7"/>
  <c r="O300" i="7" s="1"/>
  <c r="L301" i="7"/>
  <c r="O301" i="7" s="1"/>
  <c r="L302" i="7"/>
  <c r="O302" i="7" s="1"/>
  <c r="L303" i="7"/>
  <c r="O303" i="7" s="1"/>
  <c r="L304" i="7"/>
  <c r="O304" i="7" s="1"/>
  <c r="L305" i="7"/>
  <c r="O305" i="7" s="1"/>
  <c r="L306" i="7"/>
  <c r="O306" i="7" s="1"/>
  <c r="L307" i="7"/>
  <c r="O307" i="7" s="1"/>
  <c r="L308" i="7"/>
  <c r="O308" i="7" s="1"/>
  <c r="L309" i="7"/>
  <c r="O309" i="7" s="1"/>
  <c r="L310" i="7"/>
  <c r="O310" i="7" s="1"/>
  <c r="L311" i="7"/>
  <c r="O311" i="7" s="1"/>
  <c r="L312" i="7"/>
  <c r="O312" i="7" s="1"/>
  <c r="L313" i="7"/>
  <c r="O313" i="7" s="1"/>
  <c r="L314" i="7"/>
  <c r="O314" i="7" s="1"/>
  <c r="L315" i="7"/>
  <c r="O315" i="7" s="1"/>
  <c r="L316" i="7"/>
  <c r="O316" i="7" s="1"/>
  <c r="L317" i="7"/>
  <c r="O317" i="7" s="1"/>
  <c r="L318" i="7"/>
  <c r="O318" i="7" s="1"/>
  <c r="L319" i="7"/>
  <c r="O319" i="7" s="1"/>
  <c r="L320" i="7"/>
  <c r="O320" i="7" s="1"/>
  <c r="L321" i="7"/>
  <c r="O321" i="7" s="1"/>
  <c r="L322" i="7"/>
  <c r="O322" i="7" s="1"/>
  <c r="L323" i="7"/>
  <c r="O323" i="7" s="1"/>
  <c r="L324" i="7"/>
  <c r="O324" i="7" s="1"/>
  <c r="L325" i="7"/>
  <c r="O325" i="7" s="1"/>
  <c r="L326" i="7"/>
  <c r="O326" i="7" s="1"/>
  <c r="L327" i="7"/>
  <c r="O327" i="7" s="1"/>
  <c r="L328" i="7"/>
  <c r="O328" i="7" s="1"/>
  <c r="L329" i="7"/>
  <c r="O329" i="7" s="1"/>
  <c r="L330" i="7"/>
  <c r="O330" i="7" s="1"/>
  <c r="L331" i="7"/>
  <c r="O331" i="7" s="1"/>
  <c r="L332" i="7"/>
  <c r="O332" i="7" s="1"/>
  <c r="L333" i="7"/>
  <c r="O333" i="7" s="1"/>
  <c r="L334" i="7"/>
  <c r="O334" i="7" s="1"/>
  <c r="L335" i="7"/>
  <c r="O335" i="7" s="1"/>
  <c r="L336" i="7"/>
  <c r="O336" i="7" s="1"/>
  <c r="L337" i="7"/>
  <c r="O337" i="7" s="1"/>
  <c r="L338" i="7"/>
  <c r="O338" i="7" s="1"/>
  <c r="L339" i="7"/>
  <c r="O339" i="7" s="1"/>
  <c r="L340" i="7"/>
  <c r="O340" i="7" s="1"/>
  <c r="L341" i="7"/>
  <c r="O341" i="7" s="1"/>
  <c r="L342" i="7"/>
  <c r="O342" i="7" s="1"/>
  <c r="L343" i="7"/>
  <c r="O343" i="7" s="1"/>
  <c r="L344" i="7"/>
  <c r="O344" i="7" s="1"/>
  <c r="L345" i="7"/>
  <c r="O345" i="7" s="1"/>
  <c r="L346" i="7"/>
  <c r="O346" i="7" s="1"/>
  <c r="L347" i="7"/>
  <c r="O347" i="7" s="1"/>
  <c r="L348" i="7"/>
  <c r="O348" i="7" s="1"/>
  <c r="L349" i="7"/>
  <c r="O349" i="7" s="1"/>
  <c r="L350" i="7"/>
  <c r="O350" i="7" s="1"/>
  <c r="L351" i="7"/>
  <c r="O351" i="7" s="1"/>
  <c r="L352" i="7"/>
  <c r="O352" i="7" s="1"/>
  <c r="L353" i="7"/>
  <c r="O353" i="7" s="1"/>
  <c r="L354" i="7"/>
  <c r="O354" i="7" s="1"/>
  <c r="L355" i="7"/>
  <c r="O355" i="7" s="1"/>
  <c r="L356" i="7"/>
  <c r="O356" i="7" s="1"/>
  <c r="L357" i="7"/>
  <c r="O357" i="7" s="1"/>
  <c r="L358" i="7"/>
  <c r="O358" i="7" s="1"/>
  <c r="L359" i="7"/>
  <c r="O359" i="7" s="1"/>
  <c r="L360" i="7"/>
  <c r="O360" i="7" s="1"/>
  <c r="L361" i="7"/>
  <c r="O361" i="7" s="1"/>
  <c r="L362" i="7"/>
  <c r="O362" i="7" s="1"/>
  <c r="L363" i="7"/>
  <c r="O363" i="7" s="1"/>
  <c r="L364" i="7"/>
  <c r="O364" i="7" s="1"/>
  <c r="L365" i="7"/>
  <c r="O365" i="7" s="1"/>
  <c r="L366" i="7"/>
  <c r="O366" i="7" s="1"/>
  <c r="L367" i="7"/>
  <c r="O367" i="7" s="1"/>
  <c r="L368" i="7"/>
  <c r="O368" i="7" s="1"/>
  <c r="L369" i="7"/>
  <c r="O369" i="7" s="1"/>
  <c r="L370" i="7"/>
  <c r="O370" i="7" s="1"/>
  <c r="L371" i="7"/>
  <c r="O371" i="7" s="1"/>
  <c r="L372" i="7"/>
  <c r="O372" i="7" s="1"/>
  <c r="L373" i="7"/>
  <c r="O373" i="7" s="1"/>
  <c r="L374" i="7"/>
  <c r="O374" i="7" s="1"/>
  <c r="L375" i="7"/>
  <c r="O375" i="7" s="1"/>
  <c r="L376" i="7"/>
  <c r="O376" i="7" s="1"/>
  <c r="L377" i="7"/>
  <c r="O377" i="7" s="1"/>
  <c r="L378" i="7"/>
  <c r="O378" i="7" s="1"/>
  <c r="L379" i="7"/>
  <c r="O379" i="7" s="1"/>
  <c r="L380" i="7"/>
  <c r="O380" i="7" s="1"/>
  <c r="L381" i="7"/>
  <c r="O381" i="7" s="1"/>
  <c r="L382" i="7"/>
  <c r="O382" i="7" s="1"/>
  <c r="L384" i="7"/>
  <c r="O384" i="7" s="1"/>
  <c r="L385" i="7"/>
  <c r="O385" i="7" s="1"/>
  <c r="L386" i="7"/>
  <c r="O386" i="7" s="1"/>
  <c r="L387" i="7"/>
  <c r="O387" i="7" s="1"/>
  <c r="L389" i="7"/>
  <c r="O389" i="7" s="1"/>
  <c r="L390" i="7"/>
  <c r="O390" i="7" s="1"/>
  <c r="L391" i="7"/>
  <c r="O391" i="7" s="1"/>
  <c r="L392" i="7"/>
  <c r="O392" i="7" s="1"/>
  <c r="L393" i="7"/>
  <c r="O393" i="7" s="1"/>
  <c r="L394" i="7"/>
  <c r="O394" i="7" s="1"/>
  <c r="L395" i="7"/>
  <c r="O395" i="7" s="1"/>
  <c r="L396" i="7"/>
  <c r="O396" i="7" s="1"/>
  <c r="L397" i="7"/>
  <c r="O397" i="7" s="1"/>
  <c r="L398" i="7"/>
  <c r="O398" i="7" s="1"/>
  <c r="L399" i="7"/>
  <c r="O399" i="7" s="1"/>
  <c r="L400" i="7"/>
  <c r="O400" i="7" s="1"/>
  <c r="L401" i="7"/>
  <c r="O401" i="7" s="1"/>
  <c r="L402" i="7"/>
  <c r="O402" i="7" s="1"/>
  <c r="L403" i="7"/>
  <c r="O403" i="7" s="1"/>
  <c r="L404" i="7"/>
  <c r="O404" i="7" s="1"/>
  <c r="L405" i="7"/>
  <c r="O405" i="7" s="1"/>
  <c r="L406" i="7"/>
  <c r="O406" i="7" s="1"/>
  <c r="L407" i="7"/>
  <c r="O407" i="7" s="1"/>
  <c r="L408" i="7"/>
  <c r="O408" i="7" s="1"/>
  <c r="L409" i="7"/>
  <c r="O409" i="7" s="1"/>
  <c r="L410" i="7"/>
  <c r="O410" i="7" s="1"/>
  <c r="L411" i="7"/>
  <c r="O411" i="7" s="1"/>
  <c r="L412" i="7"/>
  <c r="O412" i="7" s="1"/>
  <c r="L413" i="7"/>
  <c r="O413" i="7" s="1"/>
  <c r="L414" i="7"/>
  <c r="O414" i="7" s="1"/>
  <c r="L415" i="7"/>
  <c r="O415" i="7" s="1"/>
  <c r="L416" i="7"/>
  <c r="O416" i="7" s="1"/>
  <c r="L417" i="7"/>
  <c r="O417" i="7" s="1"/>
  <c r="L418" i="7"/>
  <c r="O418" i="7" s="1"/>
  <c r="L419" i="7"/>
  <c r="O419" i="7" s="1"/>
  <c r="L420" i="7"/>
  <c r="O420" i="7" s="1"/>
  <c r="L421" i="7"/>
  <c r="O421" i="7" s="1"/>
  <c r="L422" i="7"/>
  <c r="O422" i="7" s="1"/>
  <c r="L423" i="7"/>
  <c r="O423" i="7" s="1"/>
  <c r="L424" i="7"/>
  <c r="O424" i="7" s="1"/>
  <c r="L425" i="7"/>
  <c r="O425" i="7" s="1"/>
  <c r="L426" i="7"/>
  <c r="O426" i="7" s="1"/>
  <c r="L427" i="7"/>
  <c r="O427" i="7" s="1"/>
  <c r="L428" i="7"/>
  <c r="O428" i="7" s="1"/>
  <c r="L429" i="7"/>
  <c r="O429" i="7" s="1"/>
  <c r="L430" i="7"/>
  <c r="O430" i="7" s="1"/>
  <c r="L431" i="7"/>
  <c r="O431" i="7" s="1"/>
  <c r="L432" i="7"/>
  <c r="O432" i="7" s="1"/>
  <c r="L433" i="7"/>
  <c r="O433" i="7" s="1"/>
  <c r="P170" i="4"/>
  <c r="P686" i="4"/>
  <c r="P1190" i="4"/>
  <c r="P1346" i="4"/>
  <c r="P86" i="4"/>
  <c r="P710" i="4"/>
  <c r="P566" i="4"/>
  <c r="P711" i="4"/>
  <c r="P542" i="4"/>
  <c r="P386" i="4"/>
  <c r="P410" i="4"/>
  <c r="P458" i="4"/>
  <c r="P350" i="4"/>
  <c r="P998" i="4"/>
  <c r="P722" i="4"/>
  <c r="P206" i="4"/>
  <c r="P794" i="4"/>
  <c r="P746" i="4"/>
  <c r="P182" i="4"/>
  <c r="P351" i="4"/>
  <c r="P446" i="4"/>
  <c r="P218" i="4"/>
  <c r="P1166" i="4"/>
  <c r="P712" i="4"/>
  <c r="P878" i="4"/>
  <c r="P314" i="4"/>
  <c r="P1118" i="4"/>
  <c r="P1142" i="4"/>
  <c r="P1191" i="4"/>
  <c r="P1250" i="4"/>
  <c r="P782" i="4"/>
  <c r="P374" i="4"/>
  <c r="P14" i="4"/>
  <c r="P890" i="4"/>
  <c r="P1310" i="4"/>
  <c r="P254" i="4"/>
  <c r="P1143" i="4"/>
  <c r="P1311" i="4"/>
  <c r="P854" i="4"/>
  <c r="P687" i="4"/>
  <c r="P1450" i="4"/>
  <c r="P242" i="4"/>
  <c r="P99" i="4"/>
  <c r="P434" i="4"/>
  <c r="P1167" i="4"/>
  <c r="P626" i="4"/>
  <c r="P422" i="4"/>
  <c r="P543" i="4"/>
  <c r="P855" i="4"/>
  <c r="P362" i="4"/>
  <c r="P1382" i="4"/>
  <c r="P1094" i="4"/>
  <c r="P302" i="4"/>
  <c r="P999" i="4"/>
  <c r="P856" i="4"/>
  <c r="P770" i="4"/>
  <c r="P1370" i="4"/>
  <c r="P602" i="4"/>
  <c r="P363" i="4"/>
  <c r="P266" i="4"/>
  <c r="P1334" i="4"/>
  <c r="P398" i="4"/>
  <c r="P950" i="4"/>
  <c r="P590" i="4"/>
  <c r="P1251" i="4"/>
  <c r="P650" i="4"/>
  <c r="P315" i="4"/>
  <c r="P1462" i="4"/>
  <c r="P411" i="4"/>
  <c r="P1178" i="4"/>
  <c r="P1451" i="4"/>
  <c r="P194" i="4"/>
  <c r="P50" i="4"/>
  <c r="P734" i="4"/>
  <c r="P110" i="4"/>
  <c r="P830" i="4"/>
  <c r="P783" i="4"/>
  <c r="P1463" i="4"/>
  <c r="P1335" i="4"/>
  <c r="P1022" i="4"/>
  <c r="P926" i="4"/>
  <c r="P831" i="4"/>
  <c r="P1058" i="4"/>
  <c r="P662" i="4"/>
  <c r="P134" i="4"/>
  <c r="P1010" i="4"/>
  <c r="P698" i="4"/>
  <c r="P435" i="4"/>
  <c r="P1046" i="4"/>
  <c r="P938" i="4"/>
  <c r="P578" i="4"/>
  <c r="P939" i="4"/>
  <c r="P747" i="4"/>
  <c r="P674" i="4"/>
  <c r="P375" i="4"/>
  <c r="P423" i="4"/>
  <c r="P1106" i="4"/>
  <c r="P74" i="4"/>
  <c r="P806" i="4"/>
  <c r="P1023" i="4"/>
  <c r="P567" i="4"/>
  <c r="P1154" i="4"/>
  <c r="P1238" i="4"/>
  <c r="P399" i="4"/>
  <c r="P579" i="4"/>
  <c r="P338" i="4"/>
  <c r="P675" i="4"/>
  <c r="P1262" i="4"/>
  <c r="P676" i="4"/>
  <c r="P1226" i="4"/>
  <c r="P530" i="4"/>
  <c r="P1407" i="4"/>
  <c r="P15" i="4"/>
  <c r="P506" i="4"/>
  <c r="P902" i="4"/>
  <c r="P87" i="4"/>
  <c r="P376" i="4"/>
  <c r="P1214" i="4"/>
  <c r="P230" i="4"/>
  <c r="P1371" i="4"/>
  <c r="P1286" i="4"/>
  <c r="P663" i="4"/>
  <c r="P1011" i="4"/>
  <c r="P470" i="4"/>
  <c r="P758" i="4"/>
  <c r="P1274" i="4"/>
  <c r="P1347" i="4"/>
  <c r="P1239" i="4"/>
  <c r="P771" i="4"/>
  <c r="P38" i="4"/>
  <c r="P459" i="4"/>
  <c r="P832" i="4"/>
  <c r="P1263" i="4"/>
  <c r="P51" i="4"/>
  <c r="P554" i="4"/>
  <c r="P614" i="4"/>
  <c r="P339" i="4"/>
  <c r="P2" i="4"/>
  <c r="P255" i="4"/>
  <c r="P544" i="4"/>
  <c r="P1179" i="4"/>
  <c r="P1275" i="4"/>
  <c r="P723" i="4"/>
  <c r="P651" i="4"/>
  <c r="P494" i="4"/>
  <c r="P1180" i="4"/>
  <c r="P424" i="4"/>
  <c r="P652" i="4"/>
  <c r="P1358" i="4"/>
  <c r="P818" i="4"/>
  <c r="P482" i="4"/>
  <c r="P146" i="4"/>
  <c r="P231" i="4"/>
  <c r="P1394" i="4"/>
  <c r="P1155" i="4"/>
  <c r="P986" i="4"/>
  <c r="P495" i="4"/>
  <c r="P1383" i="4"/>
  <c r="P627" i="4"/>
  <c r="P699" i="4"/>
  <c r="P1298" i="4"/>
  <c r="P951" i="4"/>
  <c r="P807" i="4"/>
  <c r="P1119" i="4"/>
  <c r="P1395" i="4"/>
  <c r="P52" i="4"/>
  <c r="P471" i="4"/>
  <c r="P507" i="4"/>
  <c r="P483" i="4"/>
  <c r="P3" i="4"/>
  <c r="P122" i="4"/>
  <c r="P1359" i="4"/>
  <c r="P171" i="4"/>
  <c r="P819" i="4"/>
  <c r="P1070" i="4"/>
  <c r="P1034" i="4"/>
  <c r="P62" i="4"/>
  <c r="P352" i="4"/>
  <c r="P75" i="4"/>
  <c r="P4" i="4"/>
  <c r="P484" i="4"/>
  <c r="P172" i="4"/>
  <c r="P603" i="4"/>
  <c r="P891" i="4"/>
  <c r="P1047" i="4"/>
  <c r="P591" i="4"/>
  <c r="P290" i="4"/>
  <c r="P76" i="4"/>
  <c r="P1024" i="4"/>
  <c r="P63" i="4"/>
  <c r="P1215" i="4"/>
  <c r="P39" i="4"/>
  <c r="P518" i="4"/>
  <c r="P1202" i="4"/>
  <c r="P592" i="4"/>
  <c r="P638" i="4"/>
  <c r="P1384" i="4"/>
  <c r="P1048" i="4"/>
  <c r="P232" i="4"/>
  <c r="P326" i="4"/>
  <c r="P111" i="4"/>
  <c r="P243" i="4"/>
  <c r="P1276" i="4"/>
  <c r="P866" i="4"/>
  <c r="P1192" i="4"/>
  <c r="P472" i="4"/>
  <c r="P1144" i="4"/>
  <c r="P1203" i="4"/>
  <c r="P962" i="4"/>
  <c r="P1120" i="4"/>
  <c r="P195" i="4"/>
  <c r="P842" i="4"/>
  <c r="P1012" i="4"/>
  <c r="P1264" i="4"/>
  <c r="P112" i="4"/>
  <c r="P664" i="4"/>
  <c r="P1287" i="4"/>
  <c r="P447" i="4"/>
  <c r="P158" i="4"/>
  <c r="P64" i="4"/>
  <c r="P974" i="4"/>
  <c r="P207" i="4"/>
  <c r="P1396" i="4"/>
  <c r="P159" i="4"/>
  <c r="P400" i="4"/>
  <c r="P508" i="4"/>
  <c r="P903" i="4"/>
  <c r="P519" i="4"/>
  <c r="P135" i="4"/>
  <c r="P278" i="4"/>
  <c r="P867" i="4"/>
  <c r="P820" i="4"/>
  <c r="P40" i="4"/>
  <c r="P748" i="4"/>
  <c r="P1322" i="4"/>
  <c r="P963" i="4"/>
  <c r="P940" i="4"/>
  <c r="P123" i="4"/>
  <c r="P795" i="4"/>
  <c r="P892" i="4"/>
  <c r="P868" i="4"/>
  <c r="P183" i="4"/>
  <c r="P531" i="4"/>
  <c r="P460" i="4"/>
  <c r="P16" i="4"/>
  <c r="P303" i="4"/>
  <c r="P1071" i="4"/>
  <c r="P304" i="4"/>
  <c r="P1095" i="4"/>
  <c r="P1336" i="4"/>
  <c r="P267" i="4"/>
  <c r="P952" i="4"/>
  <c r="P1107" i="4"/>
  <c r="P219" i="4"/>
  <c r="P700" i="4"/>
  <c r="P628" i="4"/>
  <c r="P291" i="4"/>
  <c r="P1240" i="4"/>
  <c r="P100" i="4"/>
  <c r="P879" i="4"/>
  <c r="P1372" i="4"/>
  <c r="P580" i="4"/>
  <c r="P1168" i="4"/>
  <c r="P532" i="4"/>
  <c r="P436" i="4"/>
  <c r="P279" i="4"/>
  <c r="P208" i="4"/>
  <c r="P1035" i="4"/>
  <c r="P124" i="4"/>
  <c r="P1082" i="4"/>
  <c r="P1083" i="4"/>
  <c r="P387" i="4"/>
  <c r="P615" i="4"/>
  <c r="P184" i="4"/>
  <c r="P448" i="4"/>
  <c r="P1452" i="4"/>
  <c r="P975" i="4"/>
  <c r="P1312" i="4"/>
  <c r="P843" i="4"/>
  <c r="P1360" i="4"/>
  <c r="P244" i="4"/>
  <c r="P976" i="4"/>
  <c r="P759" i="4"/>
  <c r="P316" i="4"/>
  <c r="P1059" i="4"/>
  <c r="P880" i="4"/>
  <c r="P147" i="4"/>
  <c r="P1288" i="4"/>
  <c r="P340" i="4"/>
  <c r="P796" i="4"/>
  <c r="P1323" i="4"/>
  <c r="P1204" i="4"/>
  <c r="P1131" i="4"/>
  <c r="P1072" i="4"/>
  <c r="P220" i="4"/>
  <c r="P735" i="4"/>
  <c r="P1227" i="4"/>
  <c r="P88" i="4"/>
  <c r="P1096" i="4"/>
  <c r="P914" i="4"/>
  <c r="P784" i="4"/>
  <c r="P1036" i="4"/>
  <c r="P639" i="4"/>
  <c r="P640" i="4"/>
  <c r="P1348" i="4"/>
  <c r="P927" i="4"/>
  <c r="P26" i="4"/>
  <c r="P268" i="4"/>
  <c r="P1000" i="4"/>
  <c r="P1156" i="4"/>
  <c r="P760" i="4"/>
  <c r="P1324" i="4"/>
  <c r="P1108" i="4"/>
  <c r="P844" i="4"/>
  <c r="P280" i="4"/>
  <c r="P928" i="4"/>
  <c r="P604" i="4"/>
  <c r="P555" i="4"/>
  <c r="P327" i="4"/>
  <c r="P520" i="4"/>
  <c r="P688" i="4"/>
  <c r="P328" i="4"/>
  <c r="P736" i="4"/>
  <c r="P148" i="4"/>
  <c r="P160" i="4"/>
  <c r="P1464" i="4"/>
  <c r="P292" i="4"/>
  <c r="P1299" i="4"/>
  <c r="P724" i="4"/>
  <c r="P904" i="4"/>
  <c r="P568" i="4"/>
  <c r="P496" i="4"/>
  <c r="P772" i="4"/>
  <c r="P1060" i="4"/>
  <c r="P556" i="4"/>
  <c r="P915" i="4"/>
  <c r="P27" i="4"/>
  <c r="P1228" i="4"/>
  <c r="P987" i="4"/>
  <c r="P412" i="4"/>
  <c r="P364" i="4"/>
  <c r="P1132" i="4"/>
  <c r="P1216" i="4"/>
  <c r="P256" i="4"/>
  <c r="P196" i="4"/>
  <c r="P136" i="4"/>
  <c r="P1252" i="4"/>
  <c r="P1084" i="4"/>
  <c r="P964" i="4"/>
  <c r="P616" i="4"/>
  <c r="P916" i="4"/>
  <c r="P388" i="4"/>
  <c r="P1408" i="4"/>
  <c r="P28" i="4"/>
  <c r="P1300" i="4"/>
  <c r="P808" i="4"/>
  <c r="P988" i="4"/>
  <c r="P1253" i="4"/>
  <c r="P677" i="4"/>
  <c r="P77" i="4"/>
  <c r="P341" i="4"/>
  <c r="P1169" i="4"/>
  <c r="P1349" i="4"/>
  <c r="P989" i="4"/>
  <c r="P1241" i="4"/>
  <c r="P821" i="4"/>
  <c r="P545" i="4"/>
  <c r="P221" i="4"/>
  <c r="P5" i="4"/>
  <c r="P329" i="4"/>
  <c r="P1193" i="4"/>
  <c r="P725" i="4"/>
  <c r="P869" i="4"/>
  <c r="P449" i="4"/>
  <c r="P1373" i="4"/>
  <c r="P1109" i="4"/>
  <c r="P1037" i="4"/>
  <c r="P713" i="4"/>
  <c r="P245" i="4"/>
  <c r="P353" i="4"/>
  <c r="P1453" i="4"/>
  <c r="P1465" i="4"/>
  <c r="P342" i="4"/>
  <c r="P437" i="4"/>
  <c r="P17" i="4"/>
  <c r="P1229" i="4"/>
  <c r="P1409" i="4"/>
  <c r="P1265" i="4"/>
  <c r="P941" i="4"/>
  <c r="P1013" i="4"/>
  <c r="P1157" i="4"/>
  <c r="P1230" i="4"/>
  <c r="P354" i="4"/>
  <c r="P1001" i="4"/>
  <c r="P977" i="4"/>
  <c r="P605" i="4"/>
  <c r="P497" i="4"/>
  <c r="P1181" i="4"/>
  <c r="P1145" i="4"/>
  <c r="P1085" i="4"/>
  <c r="P1254" i="4"/>
  <c r="P1086" i="4"/>
  <c r="P485" i="4"/>
  <c r="P413" i="4"/>
  <c r="P1121" i="4"/>
  <c r="P509" i="4"/>
  <c r="P401" i="4"/>
  <c r="P269" i="4"/>
  <c r="P257" i="4"/>
  <c r="P402" i="4"/>
  <c r="P641" i="4"/>
  <c r="P678" i="4"/>
  <c r="P101" i="4"/>
  <c r="P125" i="4"/>
  <c r="P330" i="4"/>
  <c r="P557" i="4"/>
  <c r="P533" i="4"/>
  <c r="P833" i="4"/>
  <c r="P1255" i="4"/>
  <c r="P233" i="4"/>
  <c r="P1182" i="4"/>
  <c r="P905" i="4"/>
  <c r="P978" i="4"/>
  <c r="P689" i="4"/>
  <c r="P965" i="4"/>
  <c r="P486" i="4"/>
  <c r="P737" i="4"/>
  <c r="P665" i="4"/>
  <c r="P102" i="4"/>
  <c r="P305" i="4"/>
  <c r="P53" i="4"/>
  <c r="P738" i="4"/>
  <c r="P403" i="4"/>
  <c r="P881" i="4"/>
  <c r="P1087" i="4"/>
  <c r="P893" i="4"/>
  <c r="P581" i="4"/>
  <c r="P258" i="4"/>
  <c r="P270" i="4"/>
  <c r="P29" i="4"/>
  <c r="P487" i="4"/>
  <c r="P1049" i="4"/>
  <c r="P1397" i="4"/>
  <c r="P690" i="4"/>
  <c r="P137" i="4"/>
  <c r="P510" i="4"/>
  <c r="P929" i="4"/>
  <c r="P161" i="4"/>
  <c r="P546" i="4"/>
  <c r="P1110" i="4"/>
  <c r="P271" i="4"/>
  <c r="P1111" i="4"/>
  <c r="P606" i="4"/>
  <c r="P953" i="4"/>
  <c r="P389" i="4"/>
  <c r="P126" i="4"/>
  <c r="P629" i="4"/>
  <c r="P414" i="4"/>
  <c r="P569" i="4"/>
  <c r="P617" i="4"/>
  <c r="P930" i="4"/>
  <c r="P162" i="4"/>
  <c r="P1073" i="4"/>
  <c r="P618" i="4"/>
  <c r="P797" i="4"/>
  <c r="P809" i="4"/>
  <c r="P749" i="4"/>
  <c r="P666" i="4"/>
  <c r="P113" i="4"/>
  <c r="P1454" i="4"/>
  <c r="P942" i="4"/>
  <c r="P1325" i="4"/>
  <c r="P1158" i="4"/>
  <c r="P1025" i="4"/>
  <c r="P1361" i="4"/>
  <c r="P1410" i="4"/>
  <c r="P234" i="4"/>
  <c r="P1455" i="4"/>
  <c r="P570" i="4"/>
  <c r="P1146" i="4"/>
  <c r="P461" i="4"/>
  <c r="P281" i="4"/>
  <c r="P149" i="4"/>
  <c r="P1362" i="4"/>
  <c r="P882" i="4"/>
  <c r="P30" i="4"/>
  <c r="P917" i="4"/>
  <c r="P425" i="4"/>
  <c r="P1289" i="4"/>
  <c r="P426" i="4"/>
  <c r="P653" i="4"/>
  <c r="P1313" i="4"/>
  <c r="P390" i="4"/>
  <c r="P667" i="4"/>
  <c r="P785" i="4"/>
  <c r="P6" i="4"/>
  <c r="P883" i="4"/>
  <c r="P1217" i="4"/>
  <c r="P1097" i="4"/>
  <c r="P138" i="4"/>
  <c r="P41" i="4"/>
  <c r="P966" i="4"/>
  <c r="P943" i="4"/>
  <c r="P89" i="4"/>
  <c r="P65" i="4"/>
  <c r="P1098" i="4"/>
  <c r="P1374" i="4"/>
  <c r="P1266" i="4"/>
  <c r="P918" i="4"/>
  <c r="P894" i="4"/>
  <c r="P1026" i="4"/>
  <c r="P293" i="4"/>
  <c r="P521" i="4"/>
  <c r="P197" i="4"/>
  <c r="P547" i="4"/>
  <c r="P365" i="4"/>
  <c r="P1133" i="4"/>
  <c r="P1385" i="4"/>
  <c r="P294" i="4"/>
  <c r="P642" i="4"/>
  <c r="P954" i="4"/>
  <c r="P377" i="4"/>
  <c r="P498" i="4"/>
  <c r="P1134" i="4"/>
  <c r="P185" i="4"/>
  <c r="P931" i="4"/>
  <c r="P1337" i="4"/>
  <c r="P691" i="4"/>
  <c r="P259" i="4"/>
  <c r="P701" i="4"/>
  <c r="P1350" i="4"/>
  <c r="P186" i="4"/>
  <c r="P895" i="4"/>
  <c r="P378" i="4"/>
  <c r="P1122" i="4"/>
  <c r="P473" i="4"/>
  <c r="P127" i="4"/>
  <c r="P163" i="4"/>
  <c r="P870" i="4"/>
  <c r="P558" i="4"/>
  <c r="P582" i="4"/>
  <c r="P593" i="4"/>
  <c r="P857" i="4"/>
  <c r="P822" i="4"/>
  <c r="P594" i="4"/>
  <c r="P773" i="4"/>
  <c r="P90" i="4"/>
  <c r="P871" i="4"/>
  <c r="P1375" i="4"/>
  <c r="P391" i="4"/>
  <c r="P1398" i="4"/>
  <c r="P714" i="4"/>
  <c r="P1002" i="4"/>
  <c r="P1386" i="4"/>
  <c r="P246" i="4"/>
  <c r="P739" i="4"/>
  <c r="P1205" i="4"/>
  <c r="P31" i="4"/>
  <c r="P810" i="4"/>
  <c r="P750" i="4"/>
  <c r="P462" i="4"/>
  <c r="P798" i="4"/>
  <c r="P103" i="4"/>
  <c r="P78" i="4"/>
  <c r="P66" i="4"/>
  <c r="P811" i="4"/>
  <c r="P150" i="4"/>
  <c r="P751" i="4"/>
  <c r="P1099" i="4"/>
  <c r="P42" i="4"/>
  <c r="P786" i="4"/>
  <c r="P761" i="4"/>
  <c r="P1277" i="4"/>
  <c r="P379" i="4"/>
  <c r="P1050" i="4"/>
  <c r="P209" i="4"/>
  <c r="P762" i="4"/>
  <c r="P643" i="4"/>
  <c r="P1301" i="4"/>
  <c r="P774" i="4"/>
  <c r="P702" i="4"/>
  <c r="P1206" i="4"/>
  <c r="P726" i="4"/>
  <c r="P306" i="4"/>
  <c r="P845" i="4"/>
  <c r="P1051" i="4"/>
  <c r="P1290" i="4"/>
  <c r="P474" i="4"/>
  <c r="P522" i="4"/>
  <c r="P906" i="4"/>
  <c r="P1207" i="4"/>
  <c r="P1411" i="4"/>
  <c r="P1003" i="4"/>
  <c r="P559" i="4"/>
  <c r="P1363" i="4"/>
  <c r="P415" i="4"/>
  <c r="P366" i="4"/>
  <c r="P1061" i="4"/>
  <c r="P846" i="4"/>
  <c r="P1038" i="4"/>
  <c r="P499" i="4"/>
  <c r="P198" i="4"/>
  <c r="P79" i="4"/>
  <c r="P799" i="4"/>
  <c r="P139" i="4"/>
  <c r="P151" i="4"/>
  <c r="P607" i="4"/>
  <c r="P331" i="4"/>
  <c r="P1014" i="4"/>
  <c r="P847" i="4"/>
  <c r="P247" i="4"/>
  <c r="P1326" i="4"/>
  <c r="P450" i="4"/>
  <c r="P199" i="4"/>
  <c r="P787" i="4"/>
  <c r="P173" i="4"/>
  <c r="P1123" i="4"/>
  <c r="P1194" i="4"/>
  <c r="P1302" i="4"/>
  <c r="P990" i="4"/>
  <c r="P919" i="4"/>
  <c r="P7" i="4"/>
  <c r="P583" i="4"/>
  <c r="P595" i="4"/>
  <c r="P1170" i="4"/>
  <c r="P775" i="4"/>
  <c r="P1171" i="4"/>
  <c r="P763" i="4"/>
  <c r="P727" i="4"/>
  <c r="P1387" i="4"/>
  <c r="P1039" i="4"/>
  <c r="P427" i="4"/>
  <c r="P18" i="4"/>
  <c r="P367" i="4"/>
  <c r="P511" i="4"/>
  <c r="P991" i="4"/>
  <c r="P715" i="4"/>
  <c r="P438" i="4"/>
  <c r="P834" i="4"/>
  <c r="P823" i="4"/>
  <c r="P1314" i="4"/>
  <c r="P1074" i="4"/>
  <c r="P1062" i="4"/>
  <c r="P295" i="4"/>
  <c r="P1338" i="4"/>
  <c r="P967" i="4"/>
  <c r="P1147" i="4"/>
  <c r="P1231" i="4"/>
  <c r="P235" i="4"/>
  <c r="P1327" i="4"/>
  <c r="P463" i="4"/>
  <c r="P317" i="4"/>
  <c r="P355" i="4"/>
  <c r="P1339" i="4"/>
  <c r="P43" i="4"/>
  <c r="P114" i="4"/>
  <c r="P19" i="4"/>
  <c r="P318" i="4"/>
  <c r="P654" i="4"/>
  <c r="P115" i="4"/>
  <c r="P955" i="4"/>
  <c r="P858" i="4"/>
  <c r="P1218" i="4"/>
  <c r="P307" i="4"/>
  <c r="P282" i="4"/>
  <c r="P571" i="4"/>
  <c r="P1315" i="4"/>
  <c r="P174" i="4"/>
  <c r="P534" i="4"/>
  <c r="P1291" i="4"/>
  <c r="P475" i="4"/>
  <c r="P222" i="4"/>
  <c r="P91" i="4"/>
  <c r="P1466" i="4"/>
  <c r="P1267" i="4"/>
  <c r="P535" i="4"/>
  <c r="P1195" i="4"/>
  <c r="P223" i="4"/>
  <c r="P1467" i="4"/>
  <c r="P175" i="4"/>
  <c r="P859" i="4"/>
  <c r="P1015" i="4"/>
  <c r="P210" i="4"/>
  <c r="P451" i="4"/>
  <c r="P187" i="4"/>
  <c r="P523" i="4"/>
  <c r="P1351" i="4"/>
  <c r="P1027" i="4"/>
  <c r="P1242" i="4"/>
  <c r="P439" i="4"/>
  <c r="P835" i="4"/>
  <c r="P1278" i="4"/>
  <c r="P630" i="4"/>
  <c r="P67" i="4"/>
  <c r="P319" i="4"/>
  <c r="P1063" i="4"/>
  <c r="P211" i="4"/>
  <c r="P283" i="4"/>
  <c r="P1219" i="4"/>
  <c r="P54" i="4"/>
  <c r="P1303" i="4"/>
  <c r="P1159" i="4"/>
  <c r="P55" i="4"/>
  <c r="P1135" i="4"/>
  <c r="P1243" i="4"/>
  <c r="P655" i="4"/>
  <c r="P343" i="4"/>
  <c r="P1399" i="4"/>
  <c r="P1279" i="4"/>
  <c r="P1183" i="4"/>
  <c r="P619" i="4"/>
  <c r="P1075" i="4"/>
  <c r="P979" i="4"/>
  <c r="P679" i="4"/>
  <c r="P703" i="4"/>
  <c r="P631" i="4"/>
  <c r="P907" i="4"/>
  <c r="P1076" i="4"/>
  <c r="P56" i="4"/>
  <c r="P1112" i="4"/>
  <c r="P896" i="4"/>
  <c r="P680" i="4"/>
  <c r="P1004" i="4"/>
  <c r="P740" i="4"/>
  <c r="P836" i="4"/>
  <c r="P248" i="4"/>
  <c r="P1148" i="4"/>
  <c r="P584" i="4"/>
  <c r="P837" i="4"/>
  <c r="P464" i="4"/>
  <c r="P320" i="4"/>
  <c r="P1328" i="4"/>
  <c r="P800" i="4"/>
  <c r="P596" i="4"/>
  <c r="P1256" i="4"/>
  <c r="P1316" i="4"/>
  <c r="P980" i="4"/>
  <c r="P68" i="4"/>
  <c r="P1220" i="4"/>
  <c r="P284" i="4"/>
  <c r="P380" i="4"/>
  <c r="P1077" i="4"/>
  <c r="P188" i="4"/>
  <c r="P752" i="4"/>
  <c r="P272" i="4"/>
  <c r="P920" i="4"/>
  <c r="P236" i="4"/>
  <c r="P224" i="4"/>
  <c r="P838" i="4"/>
  <c r="P536" i="4"/>
  <c r="P1028" i="4"/>
  <c r="P1100" i="4"/>
  <c r="P512" i="4"/>
  <c r="P560" i="4"/>
  <c r="P537" i="4"/>
  <c r="P260" i="4"/>
  <c r="P1304" i="4"/>
  <c r="P1208" i="4"/>
  <c r="P1400" i="4"/>
  <c r="P1088" i="4"/>
  <c r="P716" i="4"/>
  <c r="P308" i="4"/>
  <c r="P212" i="4"/>
  <c r="P728" i="4"/>
  <c r="P788" i="4"/>
  <c r="P273" i="4"/>
  <c r="P656" i="4"/>
  <c r="P1136" i="4"/>
  <c r="P561" i="4"/>
  <c r="P404" i="4"/>
  <c r="P812" i="4"/>
  <c r="P789" i="4"/>
  <c r="P704" i="4"/>
  <c r="P274" i="4"/>
  <c r="P128" i="4"/>
  <c r="P572" i="4"/>
  <c r="P1101" i="4"/>
  <c r="P562" i="4"/>
  <c r="P1029" i="4"/>
  <c r="P657" i="4"/>
  <c r="P213" i="4"/>
  <c r="P1124" i="4"/>
  <c r="P1292" i="4"/>
  <c r="P1340" i="4"/>
  <c r="P1364" i="4"/>
  <c r="P1113" i="4"/>
  <c r="P92" i="4"/>
  <c r="P620" i="4"/>
  <c r="P69" i="4"/>
  <c r="P860" i="4"/>
  <c r="P405" i="4"/>
  <c r="P1317" i="4"/>
  <c r="P824" i="4"/>
  <c r="P813" i="4"/>
  <c r="P140" i="4"/>
  <c r="P428" i="4"/>
  <c r="P1160" i="4"/>
  <c r="P632" i="4"/>
  <c r="P1244" i="4"/>
  <c r="P285" i="4"/>
  <c r="P1257" i="4"/>
  <c r="P440" i="4"/>
  <c r="P1052" i="4"/>
  <c r="P465" i="4"/>
  <c r="P488" i="4"/>
  <c r="P1137" i="4"/>
  <c r="P261" i="4"/>
  <c r="P344" i="4"/>
  <c r="P968" i="4"/>
  <c r="P93" i="4"/>
  <c r="P1341" i="4"/>
  <c r="P573" i="4"/>
  <c r="P1138" i="4"/>
  <c r="P381" i="4"/>
  <c r="P1388" i="4"/>
  <c r="P717" i="4"/>
  <c r="P741" i="4"/>
  <c r="P80" i="4"/>
  <c r="P597" i="4"/>
  <c r="P1209" i="4"/>
  <c r="P1184" i="4"/>
  <c r="P1185" i="4"/>
  <c r="P1078" i="4"/>
  <c r="P633" i="4"/>
  <c r="P176" i="4"/>
  <c r="P104" i="4"/>
  <c r="P538" i="4"/>
  <c r="P981" i="4"/>
  <c r="P105" i="4"/>
  <c r="P908" i="4"/>
  <c r="P20" i="4"/>
  <c r="P1221" i="4"/>
  <c r="P237" i="4"/>
  <c r="P452" i="4"/>
  <c r="P129" i="4"/>
  <c r="P466" i="4"/>
  <c r="P416" i="4"/>
  <c r="P1245" i="4"/>
  <c r="P897" i="4"/>
  <c r="P321" i="4"/>
  <c r="P513" i="4"/>
  <c r="P944" i="4"/>
  <c r="P548" i="4"/>
  <c r="P729" i="4"/>
  <c r="P921" i="4"/>
  <c r="P1196" i="4"/>
  <c r="P152" i="4"/>
  <c r="P106" i="4"/>
  <c r="P1352" i="4"/>
  <c r="P368" i="4"/>
  <c r="P753" i="4"/>
  <c r="P1468" i="4"/>
  <c r="P742" i="4"/>
  <c r="P969" i="4"/>
  <c r="P932" i="4"/>
  <c r="P1197" i="4"/>
  <c r="P1469" i="4"/>
  <c r="P730" i="4"/>
  <c r="P130" i="4"/>
  <c r="P884" i="4"/>
  <c r="P356" i="4"/>
  <c r="P81" i="4"/>
  <c r="P44" i="4"/>
  <c r="P801" i="4"/>
  <c r="P1456" i="4"/>
  <c r="P861" i="4"/>
  <c r="P369" i="4"/>
  <c r="P956" i="4"/>
  <c r="P1365" i="4"/>
  <c r="P1376" i="4"/>
  <c r="P45" i="4"/>
  <c r="P441" i="4"/>
  <c r="P1172" i="4"/>
  <c r="P500" i="4"/>
  <c r="P153" i="4"/>
  <c r="P549" i="4"/>
  <c r="P357" i="4"/>
  <c r="P94" i="4"/>
  <c r="P1114" i="4"/>
  <c r="P189" i="4"/>
  <c r="P141" i="4"/>
  <c r="P524" i="4"/>
  <c r="P668" i="4"/>
  <c r="P406" i="4"/>
  <c r="P705" i="4"/>
  <c r="P992" i="4"/>
  <c r="P1005" i="4"/>
  <c r="P476" i="4"/>
  <c r="P1258" i="4"/>
  <c r="P345" i="4"/>
  <c r="P790" i="4"/>
  <c r="P1318" i="4"/>
  <c r="P585" i="4"/>
  <c r="P1470" i="4"/>
  <c r="P249" i="4"/>
  <c r="P1401" i="4"/>
  <c r="P214" i="4"/>
  <c r="P477" i="4"/>
  <c r="P46" i="4"/>
  <c r="P116" i="4"/>
  <c r="P669" i="4"/>
  <c r="P608" i="4"/>
  <c r="P1412" i="4"/>
  <c r="P57" i="4"/>
  <c r="P670" i="4"/>
  <c r="P370" i="4"/>
  <c r="P1053" i="4"/>
  <c r="P1413" i="4"/>
  <c r="P586" i="4"/>
  <c r="P1246" i="4"/>
  <c r="P945" i="4"/>
  <c r="P885" i="4"/>
  <c r="P644" i="4"/>
  <c r="P1040" i="4"/>
  <c r="P262" i="4"/>
  <c r="P1161" i="4"/>
  <c r="P609" i="4"/>
  <c r="P489" i="4"/>
  <c r="P1389" i="4"/>
  <c r="P814" i="4"/>
  <c r="P1016" i="4"/>
  <c r="P993" i="4"/>
  <c r="P645" i="4"/>
  <c r="P610" i="4"/>
  <c r="P802" i="4"/>
  <c r="P1125" i="4"/>
  <c r="P922" i="4"/>
  <c r="P764" i="4"/>
  <c r="P1102" i="4"/>
  <c r="P1293" i="4"/>
  <c r="P238" i="4"/>
  <c r="P478" i="4"/>
  <c r="P634" i="4"/>
  <c r="P453" i="4"/>
  <c r="P177" i="4"/>
  <c r="P225" i="4"/>
  <c r="P621" i="4"/>
  <c r="P1294" i="4"/>
  <c r="P501" i="4"/>
  <c r="P8" i="4"/>
  <c r="P1329" i="4"/>
  <c r="P776" i="4"/>
  <c r="P692" i="4"/>
  <c r="P1054" i="4"/>
  <c r="P1210" i="4"/>
  <c r="P933" i="4"/>
  <c r="P848" i="4"/>
  <c r="P1089" i="4"/>
  <c r="P58" i="4"/>
  <c r="P693" i="4"/>
  <c r="P286" i="4"/>
  <c r="P417" i="4"/>
  <c r="P872" i="4"/>
  <c r="P849" i="4"/>
  <c r="P825" i="4"/>
  <c r="P1149" i="4"/>
  <c r="P706" i="4"/>
  <c r="P358" i="4"/>
  <c r="P332" i="4"/>
  <c r="P514" i="4"/>
  <c r="P1030" i="4"/>
  <c r="P957" i="4"/>
  <c r="P490" i="4"/>
  <c r="P154" i="4"/>
  <c r="P1017" i="4"/>
  <c r="P1232" i="4"/>
  <c r="P1268" i="4"/>
  <c r="P1280" i="4"/>
  <c r="P296" i="4"/>
  <c r="P418" i="4"/>
  <c r="P525" i="4"/>
  <c r="P382" i="4"/>
  <c r="P392" i="4"/>
  <c r="P429" i="4"/>
  <c r="P1162" i="4"/>
  <c r="P754" i="4"/>
  <c r="P994" i="4"/>
  <c r="P21" i="4"/>
  <c r="P1457" i="4"/>
  <c r="P958" i="4"/>
  <c r="P1330" i="4"/>
  <c r="P909" i="4"/>
  <c r="P1458" i="4"/>
  <c r="P190" i="4"/>
  <c r="P200" i="4"/>
  <c r="P250" i="4"/>
  <c r="P1173" i="4"/>
  <c r="P393" i="4"/>
  <c r="P1281" i="4"/>
  <c r="P178" i="4"/>
  <c r="P777" i="4"/>
  <c r="P550" i="4"/>
  <c r="P1090" i="4"/>
  <c r="P658" i="4"/>
  <c r="P333" i="4"/>
  <c r="P862" i="4"/>
  <c r="P32" i="4"/>
  <c r="P334" i="4"/>
  <c r="P1186" i="4"/>
  <c r="P886" i="4"/>
  <c r="P765" i="4"/>
  <c r="P1174" i="4"/>
  <c r="P778" i="4"/>
  <c r="P117" i="4"/>
  <c r="P70" i="4"/>
  <c r="P22" i="4"/>
  <c r="P1305" i="4"/>
  <c r="P9" i="4"/>
  <c r="P309" i="4"/>
  <c r="P322" i="4"/>
  <c r="P982" i="4"/>
  <c r="P1269" i="4"/>
  <c r="P502" i="4"/>
  <c r="P1150" i="4"/>
  <c r="P142" i="4"/>
  <c r="P1377" i="4"/>
  <c r="P1282" i="4"/>
  <c r="P1064" i="4"/>
  <c r="P898" i="4"/>
  <c r="P1233" i="4"/>
  <c r="P1198" i="4"/>
  <c r="P598" i="4"/>
  <c r="P297" i="4"/>
  <c r="P622" i="4"/>
  <c r="P1342" i="4"/>
  <c r="P164" i="4"/>
  <c r="P394" i="4"/>
  <c r="P1018" i="4"/>
  <c r="P226" i="4"/>
  <c r="P1378" i="4"/>
  <c r="P1353" i="4"/>
  <c r="P873" i="4"/>
  <c r="P118" i="4"/>
  <c r="P1222" i="4"/>
  <c r="P826" i="4"/>
  <c r="P681" i="4"/>
  <c r="P1041" i="4"/>
  <c r="P934" i="4"/>
  <c r="P1065" i="4"/>
  <c r="P1306" i="4"/>
  <c r="P694" i="4"/>
  <c r="P454" i="4"/>
  <c r="P33" i="4"/>
  <c r="P574" i="4"/>
  <c r="P1006" i="4"/>
  <c r="P442" i="4"/>
  <c r="P201" i="4"/>
  <c r="P165" i="4"/>
  <c r="P1234" i="4"/>
  <c r="P1270" i="4"/>
  <c r="P526" i="4"/>
  <c r="P946" i="4"/>
  <c r="P298" i="4"/>
  <c r="P1126" i="4"/>
  <c r="P970" i="4"/>
  <c r="P1366" i="4"/>
  <c r="P346" i="4"/>
  <c r="P910" i="4"/>
  <c r="P1354" i="4"/>
  <c r="P1066" i="4"/>
  <c r="P874" i="4"/>
  <c r="P682" i="4"/>
  <c r="P10" i="4"/>
  <c r="P646" i="4"/>
  <c r="P34" i="4"/>
  <c r="P202" i="4"/>
  <c r="P1402" i="4"/>
  <c r="P166" i="4"/>
  <c r="P430" i="4"/>
  <c r="P1414" i="4"/>
  <c r="P1042" i="4"/>
  <c r="P310" i="4"/>
  <c r="P82" i="4"/>
  <c r="P850" i="4"/>
  <c r="P718" i="4"/>
  <c r="P1390" i="4"/>
  <c r="P766" i="4"/>
  <c r="P791" i="4"/>
  <c r="P227" i="4"/>
  <c r="P395" i="4"/>
  <c r="P839" i="4"/>
  <c r="P755" i="4"/>
  <c r="P407" i="4"/>
  <c r="P167" i="4"/>
  <c r="P1115" i="4"/>
  <c r="P599" i="4"/>
  <c r="P287" i="4"/>
  <c r="P587" i="4"/>
  <c r="P119" i="4"/>
  <c r="P263" i="4"/>
  <c r="P1151" i="4"/>
  <c r="P335" i="4"/>
  <c r="P336" i="4"/>
  <c r="P731" i="4"/>
  <c r="P635" i="4"/>
  <c r="P959" i="4"/>
  <c r="P983" i="4"/>
  <c r="P168" i="4"/>
  <c r="P1415" i="4"/>
  <c r="P1163" i="4"/>
  <c r="P23" i="4"/>
  <c r="P935" i="4"/>
  <c r="P59" i="4"/>
  <c r="P1103" i="4"/>
  <c r="P1127" i="4"/>
  <c r="P1271" i="4"/>
  <c r="P611" i="4"/>
  <c r="P371" i="4"/>
  <c r="P923" i="4"/>
  <c r="P215" i="4"/>
  <c r="P1175" i="4"/>
  <c r="P936" i="4"/>
  <c r="P815" i="4"/>
  <c r="P1164" i="4"/>
  <c r="P1343" i="4"/>
  <c r="P707" i="4"/>
  <c r="P995" i="4"/>
  <c r="P1055" i="4"/>
  <c r="P1307" i="4"/>
  <c r="P1355" i="4"/>
  <c r="P396" i="4"/>
  <c r="P47" i="4"/>
  <c r="P1176" i="4"/>
  <c r="P467" i="4"/>
  <c r="P503" i="4"/>
  <c r="P695" i="4"/>
  <c r="P647" i="4"/>
  <c r="P671" i="4"/>
  <c r="P984" i="4"/>
  <c r="P504" i="4"/>
  <c r="P264" i="4"/>
  <c r="P899" i="4"/>
  <c r="P659" i="4"/>
  <c r="P900" i="4"/>
  <c r="P431" i="4"/>
  <c r="P851" i="4"/>
  <c r="P971" i="4"/>
  <c r="P960" i="4"/>
  <c r="P131" i="4"/>
  <c r="P11" i="4"/>
  <c r="P719" i="4"/>
  <c r="P1091" i="4"/>
  <c r="P239" i="4"/>
  <c r="P1471" i="4"/>
  <c r="P372" i="4"/>
  <c r="P35" i="4"/>
  <c r="P1139" i="4"/>
  <c r="P1272" i="4"/>
  <c r="P479" i="4"/>
  <c r="P12" i="4"/>
  <c r="P683" i="4"/>
  <c r="P803" i="4"/>
  <c r="P311" i="4"/>
  <c r="P216" i="4"/>
  <c r="P827" i="4"/>
  <c r="P95" i="4"/>
  <c r="P60" i="4"/>
  <c r="P1140" i="4"/>
  <c r="P443" i="4"/>
  <c r="P1235" i="4"/>
  <c r="P155" i="4"/>
  <c r="P444" i="4"/>
  <c r="P551" i="4"/>
  <c r="P1152" i="4"/>
  <c r="P1391" i="4"/>
  <c r="P432" i="4"/>
  <c r="P947" i="4"/>
  <c r="P1319" i="4"/>
  <c r="P1031" i="4"/>
  <c r="P840" i="4"/>
  <c r="P1472" i="4"/>
  <c r="P672" i="4"/>
  <c r="P1320" i="4"/>
  <c r="P1416" i="4"/>
  <c r="P1019" i="4"/>
  <c r="P143" i="4"/>
  <c r="P24" i="4"/>
  <c r="P1104" i="4"/>
  <c r="P852" i="4"/>
  <c r="P491" i="4"/>
  <c r="P563" i="4"/>
  <c r="P1283" i="4"/>
  <c r="P275" i="4"/>
  <c r="P828" i="4"/>
  <c r="P779" i="4"/>
  <c r="P875" i="4"/>
  <c r="P492" i="4"/>
  <c r="P1020" i="4"/>
  <c r="P1331" i="4"/>
  <c r="P13" i="4"/>
  <c r="P480" i="4"/>
  <c r="P1295" i="4"/>
  <c r="P743" i="4"/>
  <c r="P228" i="4"/>
  <c r="P1284" i="4"/>
  <c r="P1379" i="4"/>
  <c r="P1308" i="4"/>
  <c r="P191" i="4"/>
  <c r="P1128" i="4"/>
  <c r="P493" i="4"/>
  <c r="P1056" i="4"/>
  <c r="P1105" i="4"/>
  <c r="P299" i="4"/>
  <c r="P612" i="4"/>
  <c r="P359" i="4"/>
  <c r="P527" i="4"/>
  <c r="P1247" i="4"/>
  <c r="P1223" i="4"/>
  <c r="P265" i="4"/>
  <c r="P876" i="4"/>
  <c r="P288" i="4"/>
  <c r="P887" i="4"/>
  <c r="P732" i="4"/>
  <c r="P888" i="4"/>
  <c r="P455" i="4"/>
  <c r="P61" i="4"/>
  <c r="P877" i="4"/>
  <c r="P1079" i="4"/>
  <c r="P179" i="4"/>
  <c r="P600" i="4"/>
  <c r="P539" i="4"/>
  <c r="P623" i="4"/>
  <c r="P1043" i="4"/>
  <c r="P96" i="4"/>
  <c r="P107" i="4"/>
  <c r="P756" i="4"/>
  <c r="P575" i="4"/>
  <c r="P144" i="4"/>
  <c r="P972" i="4"/>
  <c r="P528" i="4"/>
  <c r="P203" i="4"/>
  <c r="P217" i="4"/>
  <c r="P911" i="4"/>
  <c r="P1199" i="4"/>
  <c r="P853" i="4"/>
  <c r="P1473" i="4"/>
  <c r="P1356" i="4"/>
  <c r="P863" i="4"/>
  <c r="P1392" i="4"/>
  <c r="P829" i="4"/>
  <c r="P408" i="4"/>
  <c r="P83" i="4"/>
  <c r="P337" i="4"/>
  <c r="P120" i="4"/>
  <c r="P1007" i="4"/>
  <c r="P121" i="4"/>
  <c r="P505" i="4"/>
  <c r="P1296" i="4"/>
  <c r="P757" i="4"/>
  <c r="P1187" i="4"/>
  <c r="P1200" i="4"/>
  <c r="P588" i="4"/>
  <c r="P48" i="4"/>
  <c r="P192" i="4"/>
  <c r="P733" i="4"/>
  <c r="P1259" i="4"/>
  <c r="P948" i="4"/>
  <c r="P515" i="4"/>
  <c r="P180" i="4"/>
  <c r="P240" i="4"/>
  <c r="P1188" i="4"/>
  <c r="P1380" i="4"/>
  <c r="P193" i="4"/>
  <c r="P108" i="4"/>
  <c r="P996" i="4"/>
  <c r="P1417" i="4"/>
  <c r="P312" i="4"/>
  <c r="P1153" i="4"/>
  <c r="P71" i="4"/>
  <c r="P564" i="4"/>
  <c r="P323" i="4"/>
  <c r="P841" i="4"/>
  <c r="P49" i="4"/>
  <c r="P481" i="4"/>
  <c r="P1080" i="4"/>
  <c r="P1224" i="4"/>
  <c r="P251" i="4"/>
  <c r="P1177" i="4"/>
  <c r="P1248" i="4"/>
  <c r="P347" i="4"/>
  <c r="P660" i="4"/>
  <c r="P1381" i="4"/>
  <c r="P924" i="4"/>
  <c r="P1403" i="4"/>
  <c r="P72" i="4"/>
  <c r="P241" i="4"/>
  <c r="P613" i="4"/>
  <c r="P1332" i="4"/>
  <c r="P132" i="4"/>
  <c r="P744" i="4"/>
  <c r="P1249" i="4"/>
  <c r="P565" i="4"/>
  <c r="P540" i="4"/>
  <c r="P1459" i="4"/>
  <c r="P925" i="4"/>
  <c r="P324" i="4"/>
  <c r="P684" i="4"/>
  <c r="P1092" i="4"/>
  <c r="P252" i="4"/>
  <c r="P516" i="4"/>
  <c r="P601" i="4"/>
  <c r="P767" i="4"/>
  <c r="P373" i="4"/>
  <c r="P745" i="4"/>
  <c r="P456" i="4"/>
  <c r="P145" i="4"/>
  <c r="P73" i="4"/>
  <c r="P156" i="4"/>
  <c r="P289" i="4"/>
  <c r="P109" i="4"/>
  <c r="P768" i="4"/>
  <c r="P673" i="4"/>
  <c r="P1008" i="4"/>
  <c r="P1032" i="4"/>
  <c r="P84" i="4"/>
  <c r="P708" i="4"/>
  <c r="P1344" i="4"/>
  <c r="P864" i="4"/>
  <c r="P804" i="4"/>
  <c r="P1236" i="4"/>
  <c r="P383" i="4"/>
  <c r="P1129" i="4"/>
  <c r="P1057" i="4"/>
  <c r="P696" i="4"/>
  <c r="P648" i="4"/>
  <c r="P445" i="4"/>
  <c r="P300" i="4"/>
  <c r="P204" i="4"/>
  <c r="P205" i="4"/>
  <c r="P649" i="4"/>
  <c r="P1367" i="4"/>
  <c r="P1285" i="4"/>
  <c r="P1116" i="4"/>
  <c r="P709" i="4"/>
  <c r="P697" i="4"/>
  <c r="P36" i="4"/>
  <c r="P133" i="4"/>
  <c r="P1141" i="4"/>
  <c r="P409" i="4"/>
  <c r="P276" i="4"/>
  <c r="P912" i="4"/>
  <c r="P1021" i="4"/>
  <c r="P720" i="4"/>
  <c r="P541" i="4"/>
  <c r="P419" i="4"/>
  <c r="P961" i="4"/>
  <c r="P1260" i="4"/>
  <c r="P1081" i="4"/>
  <c r="P1067" i="4"/>
  <c r="P937" i="4"/>
  <c r="P384" i="4"/>
  <c r="P636" i="4"/>
  <c r="P1345" i="4"/>
  <c r="P1044" i="4"/>
  <c r="P420" i="4"/>
  <c r="P1211" i="4"/>
  <c r="P1117" i="4"/>
  <c r="P325" i="4"/>
  <c r="P805" i="4"/>
  <c r="P517" i="4"/>
  <c r="P253" i="4"/>
  <c r="P1321" i="4"/>
  <c r="P589" i="4"/>
  <c r="P552" i="4"/>
  <c r="P313" i="4"/>
  <c r="P25" i="4"/>
  <c r="P780" i="4"/>
  <c r="P1212" i="4"/>
  <c r="P816" i="4"/>
  <c r="P457" i="4"/>
  <c r="P1068" i="4"/>
  <c r="P169" i="4"/>
  <c r="P637" i="4"/>
  <c r="P792" i="4"/>
  <c r="P1333" i="4"/>
  <c r="P1273" i="4"/>
  <c r="P301" i="4"/>
  <c r="P901" i="4"/>
  <c r="P229" i="4"/>
  <c r="P1404" i="4"/>
  <c r="P97" i="4"/>
  <c r="P997" i="4"/>
  <c r="P1368" i="4"/>
  <c r="P181" i="4"/>
  <c r="P421" i="4"/>
  <c r="P1093" i="4"/>
  <c r="P1069" i="4"/>
  <c r="P1261" i="4"/>
  <c r="P553" i="4"/>
  <c r="P913" i="4"/>
  <c r="P1189" i="4"/>
  <c r="P1393" i="4"/>
  <c r="P624" i="4"/>
  <c r="P781" i="4"/>
  <c r="P397" i="4"/>
  <c r="P1460" i="4"/>
  <c r="P1201" i="4"/>
  <c r="P37" i="4"/>
  <c r="P769" i="4"/>
  <c r="P625" i="4"/>
  <c r="P468" i="4"/>
  <c r="P1297" i="4"/>
  <c r="P348" i="4"/>
  <c r="P85" i="4"/>
  <c r="P1309" i="4"/>
  <c r="P1213" i="4"/>
  <c r="P889" i="4"/>
  <c r="P433" i="4"/>
  <c r="P685" i="4"/>
  <c r="P277" i="4"/>
  <c r="P469" i="4"/>
  <c r="P157" i="4"/>
  <c r="P576" i="4"/>
  <c r="P1165" i="4"/>
  <c r="P949" i="4"/>
  <c r="P793" i="4"/>
  <c r="P973" i="4"/>
  <c r="P577" i="4"/>
  <c r="P1405" i="4"/>
  <c r="P1225" i="4"/>
  <c r="P1369" i="4"/>
  <c r="P1009" i="4"/>
  <c r="P1461" i="4"/>
  <c r="P661" i="4"/>
  <c r="P721" i="4"/>
  <c r="P817" i="4"/>
  <c r="P1357" i="4"/>
  <c r="P385" i="4"/>
  <c r="P1045" i="4"/>
  <c r="P985" i="4"/>
  <c r="P529" i="4"/>
  <c r="P1237" i="4"/>
  <c r="P865" i="4"/>
  <c r="P360" i="4"/>
  <c r="P361" i="4"/>
  <c r="P349" i="4"/>
  <c r="P1033" i="4"/>
  <c r="P1418" i="4"/>
  <c r="P1474" i="4"/>
  <c r="P1428" i="4"/>
  <c r="P1429" i="4"/>
  <c r="P1475" i="4"/>
  <c r="P1430" i="4"/>
  <c r="P1431" i="4"/>
  <c r="P1432" i="4"/>
  <c r="P1419" i="4"/>
  <c r="P1433" i="4"/>
  <c r="P1420" i="4"/>
  <c r="P1434" i="4"/>
  <c r="P1435" i="4"/>
  <c r="P1436" i="4"/>
  <c r="P1437" i="4"/>
  <c r="P1438" i="4"/>
  <c r="P1439" i="4"/>
  <c r="P1421" i="4"/>
  <c r="P1440" i="4"/>
  <c r="P1441" i="4"/>
  <c r="P1422" i="4"/>
  <c r="P1478" i="4"/>
  <c r="P1479" i="4"/>
  <c r="P1423" i="4"/>
  <c r="P1442" i="4"/>
  <c r="P1443" i="4"/>
  <c r="P1424" i="4"/>
  <c r="P1480" i="4"/>
  <c r="P1444" i="4"/>
  <c r="P1445" i="4"/>
  <c r="P1425" i="4"/>
  <c r="P1446" i="4"/>
  <c r="P1426" i="4"/>
  <c r="P1447" i="4"/>
  <c r="P98" i="4"/>
  <c r="O543" i="4"/>
  <c r="O170" i="4"/>
  <c r="O258" i="4"/>
  <c r="D258" i="4"/>
  <c r="O581" i="4"/>
  <c r="D581" i="4"/>
  <c r="O893" i="4"/>
  <c r="D893" i="4"/>
  <c r="O1087" i="4"/>
  <c r="D1087" i="4"/>
  <c r="O881" i="4"/>
  <c r="D881" i="4"/>
  <c r="O403" i="4"/>
  <c r="D403" i="4"/>
  <c r="O738" i="4"/>
  <c r="D738" i="4"/>
  <c r="O53" i="4"/>
  <c r="D53" i="4"/>
  <c r="O305" i="4"/>
  <c r="D305" i="4"/>
  <c r="O102" i="4"/>
  <c r="D102" i="4"/>
  <c r="O665" i="4"/>
  <c r="D665" i="4"/>
  <c r="O737" i="4"/>
  <c r="D737" i="4"/>
  <c r="O486" i="4"/>
  <c r="D486" i="4"/>
  <c r="O965" i="4"/>
  <c r="D965" i="4"/>
  <c r="O689" i="4"/>
  <c r="D689" i="4"/>
  <c r="O978" i="4"/>
  <c r="D978" i="4"/>
  <c r="O905" i="4"/>
  <c r="D905" i="4"/>
  <c r="O1182" i="4"/>
  <c r="D1182" i="4"/>
  <c r="O233" i="4"/>
  <c r="D233" i="4"/>
  <c r="O1255" i="4"/>
  <c r="D1255" i="4"/>
  <c r="O833" i="4"/>
  <c r="D833" i="4"/>
  <c r="O533" i="4"/>
  <c r="D533" i="4"/>
  <c r="O557" i="4"/>
  <c r="D557" i="4"/>
  <c r="O330" i="4"/>
  <c r="D330" i="4"/>
  <c r="O125" i="4"/>
  <c r="D125" i="4"/>
  <c r="O101" i="4"/>
  <c r="D101" i="4"/>
  <c r="O678" i="4"/>
  <c r="D678" i="4"/>
  <c r="O641" i="4"/>
  <c r="D641" i="4"/>
  <c r="O402" i="4"/>
  <c r="D402" i="4"/>
  <c r="O257" i="4"/>
  <c r="D257" i="4"/>
  <c r="O269" i="4"/>
  <c r="D269" i="4"/>
  <c r="O401" i="4"/>
  <c r="D401" i="4"/>
  <c r="O509" i="4"/>
  <c r="D509" i="4"/>
  <c r="O1121" i="4"/>
  <c r="D1121" i="4"/>
  <c r="O413" i="4"/>
  <c r="D413" i="4"/>
  <c r="O485" i="4"/>
  <c r="D485" i="4"/>
  <c r="O1086" i="4"/>
  <c r="D1086" i="4"/>
  <c r="O1254" i="4"/>
  <c r="D1254" i="4"/>
  <c r="O1085" i="4"/>
  <c r="D1085" i="4"/>
  <c r="D1145" i="4"/>
  <c r="O1181" i="4"/>
  <c r="D1181" i="4"/>
  <c r="O497" i="4"/>
  <c r="D497" i="4"/>
  <c r="O605" i="4"/>
  <c r="D605" i="4"/>
  <c r="O977" i="4"/>
  <c r="D977" i="4"/>
  <c r="O1001" i="4"/>
  <c r="D1001" i="4"/>
  <c r="O354" i="4"/>
  <c r="D354" i="4"/>
  <c r="O1230" i="4"/>
  <c r="D1230" i="4"/>
  <c r="O1157" i="4"/>
  <c r="D1157" i="4"/>
  <c r="O1013" i="4"/>
  <c r="D1013" i="4"/>
  <c r="O941" i="4"/>
  <c r="D941" i="4"/>
  <c r="O1265" i="4"/>
  <c r="D1265" i="4"/>
  <c r="O1409" i="4"/>
  <c r="D1409" i="4"/>
  <c r="O1229" i="4"/>
  <c r="D1229" i="4"/>
  <c r="O17" i="4"/>
  <c r="D17" i="4"/>
  <c r="O437" i="4"/>
  <c r="D437" i="4"/>
  <c r="O342" i="4"/>
  <c r="D342" i="4"/>
  <c r="O1465" i="4"/>
  <c r="D1465" i="4"/>
  <c r="O1453" i="4"/>
  <c r="D1453" i="4"/>
  <c r="O353" i="4"/>
  <c r="D353" i="4"/>
  <c r="O245" i="4"/>
  <c r="D245" i="4"/>
  <c r="O713" i="4"/>
  <c r="D713" i="4"/>
  <c r="O1037" i="4"/>
  <c r="D1037" i="4"/>
  <c r="O1109" i="4"/>
  <c r="D1109" i="4"/>
  <c r="O1373" i="4"/>
  <c r="D1373" i="4"/>
  <c r="O449" i="4"/>
  <c r="D449" i="4"/>
  <c r="O869" i="4"/>
  <c r="D869" i="4"/>
  <c r="O725" i="4"/>
  <c r="D725" i="4"/>
  <c r="O1193" i="4"/>
  <c r="D1193" i="4"/>
  <c r="O329" i="4"/>
  <c r="D329" i="4"/>
  <c r="O5" i="4"/>
  <c r="D5" i="4"/>
  <c r="O221" i="4"/>
  <c r="D221" i="4"/>
  <c r="O545" i="4"/>
  <c r="D545" i="4"/>
  <c r="O821" i="4"/>
  <c r="D821" i="4"/>
  <c r="O1241" i="4"/>
  <c r="D1241" i="4"/>
  <c r="O989" i="4"/>
  <c r="D989" i="4"/>
  <c r="O1349" i="4"/>
  <c r="D1349" i="4"/>
  <c r="O1169" i="4"/>
  <c r="D1169" i="4"/>
  <c r="O341" i="4"/>
  <c r="D341" i="4"/>
  <c r="O77" i="4"/>
  <c r="D77" i="4"/>
  <c r="O677" i="4"/>
  <c r="D677" i="4"/>
  <c r="O1253" i="4"/>
  <c r="D1253" i="4"/>
  <c r="O988" i="4"/>
  <c r="D988" i="4"/>
  <c r="O808" i="4"/>
  <c r="D808" i="4"/>
  <c r="O1300" i="4"/>
  <c r="D1300" i="4"/>
  <c r="O28" i="4"/>
  <c r="D28" i="4"/>
  <c r="O1408" i="4"/>
  <c r="D1408" i="4"/>
  <c r="O388" i="4"/>
  <c r="D388" i="4"/>
  <c r="O916" i="4"/>
  <c r="D916" i="4"/>
  <c r="O616" i="4"/>
  <c r="D616" i="4"/>
  <c r="O964" i="4"/>
  <c r="D964" i="4"/>
  <c r="O1084" i="4"/>
  <c r="D1084" i="4"/>
  <c r="O1252" i="4"/>
  <c r="D1252" i="4"/>
  <c r="O136" i="4"/>
  <c r="D136" i="4"/>
  <c r="O196" i="4"/>
  <c r="D196" i="4"/>
  <c r="O256" i="4"/>
  <c r="D256" i="4"/>
  <c r="O1216" i="4"/>
  <c r="D1216" i="4"/>
  <c r="O1132" i="4"/>
  <c r="D1132" i="4"/>
  <c r="O364" i="4"/>
  <c r="D364" i="4"/>
  <c r="O412" i="4"/>
  <c r="D412" i="4"/>
  <c r="O987" i="4"/>
  <c r="D987" i="4"/>
  <c r="O1228" i="4"/>
  <c r="D1228" i="4"/>
  <c r="D27" i="4"/>
  <c r="O915" i="4"/>
  <c r="D915" i="4"/>
  <c r="O556" i="4"/>
  <c r="D556" i="4"/>
  <c r="O1060" i="4"/>
  <c r="D1060" i="4"/>
  <c r="O772" i="4"/>
  <c r="D772" i="4"/>
  <c r="O496" i="4"/>
  <c r="D496" i="4"/>
  <c r="O568" i="4"/>
  <c r="D568" i="4"/>
  <c r="O904" i="4"/>
  <c r="D904" i="4"/>
  <c r="O724" i="4"/>
  <c r="D724" i="4"/>
  <c r="O1299" i="4"/>
  <c r="D1299" i="4"/>
  <c r="O292" i="4"/>
  <c r="D292" i="4"/>
  <c r="O1464" i="4"/>
  <c r="D1464" i="4"/>
  <c r="O160" i="4"/>
  <c r="D160" i="4"/>
  <c r="O148" i="4"/>
  <c r="D148" i="4"/>
  <c r="O736" i="4"/>
  <c r="D736" i="4"/>
  <c r="O328" i="4"/>
  <c r="D328" i="4"/>
  <c r="O688" i="4"/>
  <c r="D688" i="4"/>
  <c r="O520" i="4"/>
  <c r="D520" i="4"/>
  <c r="O327" i="4"/>
  <c r="D327" i="4"/>
  <c r="O555" i="4"/>
  <c r="D555" i="4"/>
  <c r="O604" i="4"/>
  <c r="D604" i="4"/>
  <c r="O928" i="4"/>
  <c r="D928" i="4"/>
  <c r="O280" i="4"/>
  <c r="D280" i="4"/>
  <c r="O844" i="4"/>
  <c r="D844" i="4"/>
  <c r="O1108" i="4"/>
  <c r="D1108" i="4"/>
  <c r="O1324" i="4"/>
  <c r="D1324" i="4"/>
  <c r="O760" i="4"/>
  <c r="D760" i="4"/>
  <c r="O1156" i="4"/>
  <c r="D1156" i="4"/>
  <c r="O1000" i="4"/>
  <c r="D1000" i="4"/>
  <c r="O268" i="4"/>
  <c r="D268" i="4"/>
  <c r="O26" i="4"/>
  <c r="D26" i="4"/>
  <c r="O927" i="4"/>
  <c r="D927" i="4"/>
  <c r="O1348" i="4"/>
  <c r="D1348" i="4"/>
  <c r="O640" i="4"/>
  <c r="D640" i="4"/>
  <c r="O639" i="4"/>
  <c r="D639" i="4"/>
  <c r="O1036" i="4"/>
  <c r="D1036" i="4"/>
  <c r="O784" i="4"/>
  <c r="D784" i="4"/>
  <c r="O914" i="4"/>
  <c r="D914" i="4"/>
  <c r="O1096" i="4"/>
  <c r="D1096" i="4"/>
  <c r="O88" i="4"/>
  <c r="D88" i="4"/>
  <c r="O1227" i="4"/>
  <c r="D1227" i="4"/>
  <c r="O735" i="4"/>
  <c r="D735" i="4"/>
  <c r="O220" i="4"/>
  <c r="D220" i="4"/>
  <c r="O1072" i="4"/>
  <c r="D1072" i="4"/>
  <c r="O1131" i="4"/>
  <c r="D1131" i="4"/>
  <c r="O1204" i="4"/>
  <c r="D1204" i="4"/>
  <c r="O1323" i="4"/>
  <c r="D1323" i="4"/>
  <c r="O796" i="4"/>
  <c r="D796" i="4"/>
  <c r="O340" i="4"/>
  <c r="D340" i="4"/>
  <c r="O1288" i="4"/>
  <c r="D1288" i="4"/>
  <c r="O147" i="4"/>
  <c r="D147" i="4"/>
  <c r="O880" i="4"/>
  <c r="D880" i="4"/>
  <c r="O1059" i="4"/>
  <c r="D1059" i="4"/>
  <c r="O316" i="4"/>
  <c r="D316" i="4"/>
  <c r="O759" i="4"/>
  <c r="D759" i="4"/>
  <c r="O976" i="4"/>
  <c r="D976" i="4"/>
  <c r="O244" i="4"/>
  <c r="D244" i="4"/>
  <c r="O1360" i="4"/>
  <c r="D1360" i="4"/>
  <c r="O843" i="4"/>
  <c r="D843" i="4"/>
  <c r="O1312" i="4"/>
  <c r="D1312" i="4"/>
  <c r="O975" i="4"/>
  <c r="D975" i="4"/>
  <c r="O1452" i="4"/>
  <c r="D1452" i="4"/>
  <c r="O448" i="4"/>
  <c r="D448" i="4"/>
  <c r="O184" i="4"/>
  <c r="D184" i="4"/>
  <c r="O615" i="4"/>
  <c r="D615" i="4"/>
  <c r="O387" i="4"/>
  <c r="D387" i="4"/>
  <c r="O1083" i="4"/>
  <c r="D1083" i="4"/>
  <c r="O1082" i="4"/>
  <c r="D1082" i="4"/>
  <c r="O124" i="4"/>
  <c r="D124" i="4"/>
  <c r="O1035" i="4"/>
  <c r="D1035" i="4"/>
  <c r="O208" i="4"/>
  <c r="D208" i="4"/>
  <c r="O279" i="4"/>
  <c r="D279" i="4"/>
  <c r="O436" i="4"/>
  <c r="D436" i="4"/>
  <c r="O532" i="4"/>
  <c r="D532" i="4"/>
  <c r="O1168" i="4"/>
  <c r="D1168" i="4"/>
  <c r="O580" i="4"/>
  <c r="D580" i="4"/>
  <c r="O1372" i="4"/>
  <c r="D1372" i="4"/>
  <c r="O879" i="4"/>
  <c r="D879" i="4"/>
  <c r="O100" i="4"/>
  <c r="D100" i="4"/>
  <c r="O1240" i="4"/>
  <c r="D1240" i="4"/>
  <c r="O291" i="4"/>
  <c r="D291" i="4"/>
  <c r="O628" i="4"/>
  <c r="D628" i="4"/>
  <c r="O700" i="4"/>
  <c r="D700" i="4"/>
  <c r="O219" i="4"/>
  <c r="D219" i="4"/>
  <c r="O1107" i="4"/>
  <c r="D1107" i="4"/>
  <c r="O952" i="4"/>
  <c r="D952" i="4"/>
  <c r="O267" i="4"/>
  <c r="D267" i="4"/>
  <c r="O1336" i="4"/>
  <c r="D1336" i="4"/>
  <c r="O1095" i="4"/>
  <c r="D1095" i="4"/>
  <c r="O304" i="4"/>
  <c r="D304" i="4"/>
  <c r="O1071" i="4"/>
  <c r="D1071" i="4"/>
  <c r="O303" i="4"/>
  <c r="D303" i="4"/>
  <c r="O16" i="4"/>
  <c r="D16" i="4"/>
  <c r="O460" i="4"/>
  <c r="D460" i="4"/>
  <c r="O531" i="4"/>
  <c r="D531" i="4"/>
  <c r="O183" i="4"/>
  <c r="D183" i="4"/>
  <c r="O868" i="4"/>
  <c r="D868" i="4"/>
  <c r="O892" i="4"/>
  <c r="D892" i="4"/>
  <c r="O795" i="4"/>
  <c r="D795" i="4"/>
  <c r="O123" i="4"/>
  <c r="D123" i="4"/>
  <c r="O940" i="4"/>
  <c r="D940" i="4"/>
  <c r="O963" i="4"/>
  <c r="D963" i="4"/>
  <c r="O1322" i="4"/>
  <c r="D1322" i="4"/>
  <c r="O748" i="4"/>
  <c r="D748" i="4"/>
  <c r="O40" i="4"/>
  <c r="D40" i="4"/>
  <c r="O820" i="4"/>
  <c r="D820" i="4"/>
  <c r="O867" i="4"/>
  <c r="D867" i="4"/>
  <c r="O278" i="4"/>
  <c r="D278" i="4"/>
  <c r="O135" i="4"/>
  <c r="D135" i="4"/>
  <c r="O519" i="4"/>
  <c r="D519" i="4"/>
  <c r="O903" i="4"/>
  <c r="D903" i="4"/>
  <c r="O508" i="4"/>
  <c r="D508" i="4"/>
  <c r="O400" i="4"/>
  <c r="D400" i="4"/>
  <c r="O159" i="4"/>
  <c r="D159" i="4"/>
  <c r="O1396" i="4"/>
  <c r="D1396" i="4"/>
  <c r="O207" i="4"/>
  <c r="D207" i="4"/>
  <c r="O974" i="4"/>
  <c r="D974" i="4"/>
  <c r="O64" i="4"/>
  <c r="D64" i="4"/>
  <c r="O158" i="4"/>
  <c r="D158" i="4"/>
  <c r="O447" i="4"/>
  <c r="D447" i="4"/>
  <c r="D1421" i="4"/>
  <c r="O1421" i="4"/>
  <c r="O1433" i="4"/>
  <c r="D1430" i="4"/>
  <c r="O1406" i="4"/>
  <c r="O1130" i="4"/>
  <c r="O686" i="4"/>
  <c r="O1190" i="4"/>
  <c r="O1346" i="4"/>
  <c r="O86" i="4"/>
  <c r="O710" i="4"/>
  <c r="O566" i="4"/>
  <c r="O711" i="4"/>
  <c r="O542" i="4"/>
  <c r="O386" i="4"/>
  <c r="O410" i="4"/>
  <c r="O458" i="4"/>
  <c r="O350" i="4"/>
  <c r="O998" i="4"/>
  <c r="O722" i="4"/>
  <c r="O206" i="4"/>
  <c r="O794" i="4"/>
  <c r="O746" i="4"/>
  <c r="O182" i="4"/>
  <c r="O351" i="4"/>
  <c r="O446" i="4"/>
  <c r="O218" i="4"/>
  <c r="O1166" i="4"/>
  <c r="O712" i="4"/>
  <c r="O878" i="4"/>
  <c r="O314" i="4"/>
  <c r="O1118" i="4"/>
  <c r="O1142" i="4"/>
  <c r="O1191" i="4"/>
  <c r="O1250" i="4"/>
  <c r="O782" i="4"/>
  <c r="O374" i="4"/>
  <c r="O14" i="4"/>
  <c r="O890" i="4"/>
  <c r="O1310" i="4"/>
  <c r="O254" i="4"/>
  <c r="O1143" i="4"/>
  <c r="O1311" i="4"/>
  <c r="O854" i="4"/>
  <c r="O687" i="4"/>
  <c r="O1450" i="4"/>
  <c r="O242" i="4"/>
  <c r="O99" i="4"/>
  <c r="O434" i="4"/>
  <c r="O1167" i="4"/>
  <c r="O626" i="4"/>
  <c r="O422" i="4"/>
  <c r="O855" i="4"/>
  <c r="O362" i="4"/>
  <c r="O1382" i="4"/>
  <c r="O1094" i="4"/>
  <c r="O302" i="4"/>
  <c r="O999" i="4"/>
  <c r="O856" i="4"/>
  <c r="O770" i="4"/>
  <c r="O1370" i="4"/>
  <c r="O602" i="4"/>
  <c r="O363" i="4"/>
  <c r="O266" i="4"/>
  <c r="O1334" i="4"/>
  <c r="O398" i="4"/>
  <c r="O950" i="4"/>
  <c r="O590" i="4"/>
  <c r="O1251" i="4"/>
  <c r="O650" i="4"/>
  <c r="O315" i="4"/>
  <c r="O1462" i="4"/>
  <c r="O411" i="4"/>
  <c r="O1178" i="4"/>
  <c r="O1451" i="4"/>
  <c r="O194" i="4"/>
  <c r="O50" i="4"/>
  <c r="O734" i="4"/>
  <c r="O110" i="4"/>
  <c r="O830" i="4"/>
  <c r="O783" i="4"/>
  <c r="O1463" i="4"/>
  <c r="O1335" i="4"/>
  <c r="O1022" i="4"/>
  <c r="O926" i="4"/>
  <c r="O831" i="4"/>
  <c r="O1058" i="4"/>
  <c r="O662" i="4"/>
  <c r="O134" i="4"/>
  <c r="O1010" i="4"/>
  <c r="O698" i="4"/>
  <c r="O435" i="4"/>
  <c r="O1046" i="4"/>
  <c r="O938" i="4"/>
  <c r="O578" i="4"/>
  <c r="O939" i="4"/>
  <c r="O747" i="4"/>
  <c r="O674" i="4"/>
  <c r="O375" i="4"/>
  <c r="O423" i="4"/>
  <c r="O1106" i="4"/>
  <c r="O74" i="4"/>
  <c r="O806" i="4"/>
  <c r="O1023" i="4"/>
  <c r="O567" i="4"/>
  <c r="O1154" i="4"/>
  <c r="O1238" i="4"/>
  <c r="O399" i="4"/>
  <c r="O579" i="4"/>
  <c r="O338" i="4"/>
  <c r="O675" i="4"/>
  <c r="O1262" i="4"/>
  <c r="O676" i="4"/>
  <c r="O1226" i="4"/>
  <c r="O530" i="4"/>
  <c r="O1407" i="4"/>
  <c r="O15" i="4"/>
  <c r="O506" i="4"/>
  <c r="O902" i="4"/>
  <c r="O87" i="4"/>
  <c r="O376" i="4"/>
  <c r="O1214" i="4"/>
  <c r="O230" i="4"/>
  <c r="O1371" i="4"/>
  <c r="O1286" i="4"/>
  <c r="O663" i="4"/>
  <c r="O1011" i="4"/>
  <c r="O470" i="4"/>
  <c r="O758" i="4"/>
  <c r="O1274" i="4"/>
  <c r="O1347" i="4"/>
  <c r="O1239" i="4"/>
  <c r="O771" i="4"/>
  <c r="O38" i="4"/>
  <c r="O459" i="4"/>
  <c r="O832" i="4"/>
  <c r="O1263" i="4"/>
  <c r="O51" i="4"/>
  <c r="O554" i="4"/>
  <c r="O614" i="4"/>
  <c r="O339" i="4"/>
  <c r="O2" i="4"/>
  <c r="O255" i="4"/>
  <c r="O544" i="4"/>
  <c r="O1179" i="4"/>
  <c r="O1275" i="4"/>
  <c r="O723" i="4"/>
  <c r="O651" i="4"/>
  <c r="O494" i="4"/>
  <c r="O1180" i="4"/>
  <c r="O424" i="4"/>
  <c r="O652" i="4"/>
  <c r="O1358" i="4"/>
  <c r="O818" i="4"/>
  <c r="O482" i="4"/>
  <c r="O146" i="4"/>
  <c r="O231" i="4"/>
  <c r="O1394" i="4"/>
  <c r="O1155" i="4"/>
  <c r="O986" i="4"/>
  <c r="O495" i="4"/>
  <c r="O1383" i="4"/>
  <c r="O627" i="4"/>
  <c r="O699" i="4"/>
  <c r="O1298" i="4"/>
  <c r="O951" i="4"/>
  <c r="O807" i="4"/>
  <c r="O1119" i="4"/>
  <c r="O1395" i="4"/>
  <c r="O52" i="4"/>
  <c r="O471" i="4"/>
  <c r="O507" i="4"/>
  <c r="O483" i="4"/>
  <c r="O3" i="4"/>
  <c r="O122" i="4"/>
  <c r="O1359" i="4"/>
  <c r="O171" i="4"/>
  <c r="O819" i="4"/>
  <c r="O1070" i="4"/>
  <c r="O1034" i="4"/>
  <c r="O62" i="4"/>
  <c r="O352" i="4"/>
  <c r="O75" i="4"/>
  <c r="O4" i="4"/>
  <c r="O484" i="4"/>
  <c r="O172" i="4"/>
  <c r="O603" i="4"/>
  <c r="O891" i="4"/>
  <c r="O1047" i="4"/>
  <c r="O591" i="4"/>
  <c r="O290" i="4"/>
  <c r="O76" i="4"/>
  <c r="O1024" i="4"/>
  <c r="O63" i="4"/>
  <c r="O1215" i="4"/>
  <c r="O39" i="4"/>
  <c r="O518" i="4"/>
  <c r="O1202" i="4"/>
  <c r="O592" i="4"/>
  <c r="O638" i="4"/>
  <c r="O1384" i="4"/>
  <c r="O1048" i="4"/>
  <c r="O232" i="4"/>
  <c r="O326" i="4"/>
  <c r="O111" i="4"/>
  <c r="O243" i="4"/>
  <c r="O1276" i="4"/>
  <c r="O866" i="4"/>
  <c r="O1192" i="4"/>
  <c r="O472" i="4"/>
  <c r="O1144" i="4"/>
  <c r="O1203" i="4"/>
  <c r="O962" i="4"/>
  <c r="O1120" i="4"/>
  <c r="O195" i="4"/>
  <c r="O842" i="4"/>
  <c r="O1012" i="4"/>
  <c r="O1264" i="4"/>
  <c r="O112" i="4"/>
  <c r="O664" i="4"/>
  <c r="O1287" i="4"/>
  <c r="O270" i="4"/>
  <c r="O29" i="4"/>
  <c r="O487" i="4"/>
  <c r="O1049" i="4"/>
  <c r="O1397" i="4"/>
  <c r="O690" i="4"/>
  <c r="O137" i="4"/>
  <c r="O510" i="4"/>
  <c r="O929" i="4"/>
  <c r="O161" i="4"/>
  <c r="O546" i="4"/>
  <c r="O1110" i="4"/>
  <c r="O271" i="4"/>
  <c r="O1111" i="4"/>
  <c r="O606" i="4"/>
  <c r="O953" i="4"/>
  <c r="O389" i="4"/>
  <c r="O126" i="4"/>
  <c r="O629" i="4"/>
  <c r="O414" i="4"/>
  <c r="O569" i="4"/>
  <c r="O617" i="4"/>
  <c r="O930" i="4"/>
  <c r="O162" i="4"/>
  <c r="O1073" i="4"/>
  <c r="O618" i="4"/>
  <c r="O797" i="4"/>
  <c r="O809" i="4"/>
  <c r="O749" i="4"/>
  <c r="O666" i="4"/>
  <c r="O113" i="4"/>
  <c r="O1454" i="4"/>
  <c r="O942" i="4"/>
  <c r="O1325" i="4"/>
  <c r="O1158" i="4"/>
  <c r="O1025" i="4"/>
  <c r="O1361" i="4"/>
  <c r="O1410" i="4"/>
  <c r="O234" i="4"/>
  <c r="O1455" i="4"/>
  <c r="O570" i="4"/>
  <c r="O1146" i="4"/>
  <c r="O461" i="4"/>
  <c r="O281" i="4"/>
  <c r="O149" i="4"/>
  <c r="O1362" i="4"/>
  <c r="O882" i="4"/>
  <c r="O30" i="4"/>
  <c r="O917" i="4"/>
  <c r="O425" i="4"/>
  <c r="O1289" i="4"/>
  <c r="O426" i="4"/>
  <c r="O653" i="4"/>
  <c r="O1313" i="4"/>
  <c r="O390" i="4"/>
  <c r="O667" i="4"/>
  <c r="O785" i="4"/>
  <c r="O6" i="4"/>
  <c r="O883" i="4"/>
  <c r="O1217" i="4"/>
  <c r="O1097" i="4"/>
  <c r="O138" i="4"/>
  <c r="O41" i="4"/>
  <c r="O966" i="4"/>
  <c r="O943" i="4"/>
  <c r="O89" i="4"/>
  <c r="O65" i="4"/>
  <c r="O1098" i="4"/>
  <c r="O1374" i="4"/>
  <c r="O1266" i="4"/>
  <c r="O918" i="4"/>
  <c r="O894" i="4"/>
  <c r="O1026" i="4"/>
  <c r="O293" i="4"/>
  <c r="O521" i="4"/>
  <c r="O197" i="4"/>
  <c r="O547" i="4"/>
  <c r="O365" i="4"/>
  <c r="O1133" i="4"/>
  <c r="O1385" i="4"/>
  <c r="O294" i="4"/>
  <c r="O642" i="4"/>
  <c r="O954" i="4"/>
  <c r="O377" i="4"/>
  <c r="O498" i="4"/>
  <c r="O1134" i="4"/>
  <c r="O185" i="4"/>
  <c r="O931" i="4"/>
  <c r="O1337" i="4"/>
  <c r="O691" i="4"/>
  <c r="O259" i="4"/>
  <c r="O701" i="4"/>
  <c r="O1350" i="4"/>
  <c r="O186" i="4"/>
  <c r="O895" i="4"/>
  <c r="O378" i="4"/>
  <c r="O1122" i="4"/>
  <c r="O473" i="4"/>
  <c r="O127" i="4"/>
  <c r="O163" i="4"/>
  <c r="O870" i="4"/>
  <c r="O558" i="4"/>
  <c r="O582" i="4"/>
  <c r="O593" i="4"/>
  <c r="O857" i="4"/>
  <c r="O822" i="4"/>
  <c r="O594" i="4"/>
  <c r="O773" i="4"/>
  <c r="O90" i="4"/>
  <c r="O871" i="4"/>
  <c r="O1375" i="4"/>
  <c r="O391" i="4"/>
  <c r="O1398" i="4"/>
  <c r="O714" i="4"/>
  <c r="O1002" i="4"/>
  <c r="O1386" i="4"/>
  <c r="O246" i="4"/>
  <c r="O739" i="4"/>
  <c r="O1205" i="4"/>
  <c r="O31" i="4"/>
  <c r="O810" i="4"/>
  <c r="O750" i="4"/>
  <c r="O462" i="4"/>
  <c r="O798" i="4"/>
  <c r="O103" i="4"/>
  <c r="O78" i="4"/>
  <c r="O66" i="4"/>
  <c r="O811" i="4"/>
  <c r="O150" i="4"/>
  <c r="O751" i="4"/>
  <c r="O1099" i="4"/>
  <c r="O42" i="4"/>
  <c r="O786" i="4"/>
  <c r="O761" i="4"/>
  <c r="O1277" i="4"/>
  <c r="O379" i="4"/>
  <c r="O1050" i="4"/>
  <c r="O209" i="4"/>
  <c r="O762" i="4"/>
  <c r="O643" i="4"/>
  <c r="O1301" i="4"/>
  <c r="O774" i="4"/>
  <c r="O702" i="4"/>
  <c r="O1206" i="4"/>
  <c r="O726" i="4"/>
  <c r="O306" i="4"/>
  <c r="O845" i="4"/>
  <c r="O1051" i="4"/>
  <c r="O1290" i="4"/>
  <c r="O474" i="4"/>
  <c r="O522" i="4"/>
  <c r="O906" i="4"/>
  <c r="O1207" i="4"/>
  <c r="O1411" i="4"/>
  <c r="O1003" i="4"/>
  <c r="O559" i="4"/>
  <c r="O1363" i="4"/>
  <c r="O415" i="4"/>
  <c r="O366" i="4"/>
  <c r="O1061" i="4"/>
  <c r="O846" i="4"/>
  <c r="O1038" i="4"/>
  <c r="O499" i="4"/>
  <c r="O198" i="4"/>
  <c r="O79" i="4"/>
  <c r="O799" i="4"/>
  <c r="O139" i="4"/>
  <c r="O151" i="4"/>
  <c r="O607" i="4"/>
  <c r="O331" i="4"/>
  <c r="O1014" i="4"/>
  <c r="O847" i="4"/>
  <c r="O247" i="4"/>
  <c r="O1326" i="4"/>
  <c r="O450" i="4"/>
  <c r="O199" i="4"/>
  <c r="O787" i="4"/>
  <c r="O173" i="4"/>
  <c r="O1123" i="4"/>
  <c r="O1194" i="4"/>
  <c r="O1302" i="4"/>
  <c r="O990" i="4"/>
  <c r="O919" i="4"/>
  <c r="O7" i="4"/>
  <c r="O583" i="4"/>
  <c r="O595" i="4"/>
  <c r="O1170" i="4"/>
  <c r="O775" i="4"/>
  <c r="O1171" i="4"/>
  <c r="O763" i="4"/>
  <c r="O727" i="4"/>
  <c r="O1387" i="4"/>
  <c r="O1039" i="4"/>
  <c r="O427" i="4"/>
  <c r="O18" i="4"/>
  <c r="O367" i="4"/>
  <c r="O511" i="4"/>
  <c r="O991" i="4"/>
  <c r="O715" i="4"/>
  <c r="O438" i="4"/>
  <c r="O834" i="4"/>
  <c r="O823" i="4"/>
  <c r="O1314" i="4"/>
  <c r="O1074" i="4"/>
  <c r="O1062" i="4"/>
  <c r="O295" i="4"/>
  <c r="O1338" i="4"/>
  <c r="O967" i="4"/>
  <c r="O235" i="4"/>
  <c r="O1327" i="4"/>
  <c r="O463" i="4"/>
  <c r="O317" i="4"/>
  <c r="O355" i="4"/>
  <c r="O1339" i="4"/>
  <c r="O43" i="4"/>
  <c r="O114" i="4"/>
  <c r="O19" i="4"/>
  <c r="O318" i="4"/>
  <c r="O654" i="4"/>
  <c r="O115" i="4"/>
  <c r="O955" i="4"/>
  <c r="O858" i="4"/>
  <c r="O1218" i="4"/>
  <c r="O307" i="4"/>
  <c r="O282" i="4"/>
  <c r="O571" i="4"/>
  <c r="O1315" i="4"/>
  <c r="O174" i="4"/>
  <c r="O534" i="4"/>
  <c r="O1291" i="4"/>
  <c r="O475" i="4"/>
  <c r="O222" i="4"/>
  <c r="O91" i="4"/>
  <c r="O1466" i="4"/>
  <c r="O1267" i="4"/>
  <c r="O535" i="4"/>
  <c r="O1195" i="4"/>
  <c r="O223" i="4"/>
  <c r="O1467" i="4"/>
  <c r="O175" i="4"/>
  <c r="O859" i="4"/>
  <c r="O1015" i="4"/>
  <c r="O210" i="4"/>
  <c r="O451" i="4"/>
  <c r="O187" i="4"/>
  <c r="O523" i="4"/>
  <c r="O1351" i="4"/>
  <c r="O1027" i="4"/>
  <c r="O1242" i="4"/>
  <c r="O439" i="4"/>
  <c r="O835" i="4"/>
  <c r="O1278" i="4"/>
  <c r="O630" i="4"/>
  <c r="O67" i="4"/>
  <c r="O319" i="4"/>
  <c r="O1063" i="4"/>
  <c r="O283" i="4"/>
  <c r="O1219" i="4"/>
  <c r="O54" i="4"/>
  <c r="O1303" i="4"/>
  <c r="O1159" i="4"/>
  <c r="O55" i="4"/>
  <c r="O1135" i="4"/>
  <c r="O1243" i="4"/>
  <c r="O655" i="4"/>
  <c r="O343" i="4"/>
  <c r="O1399" i="4"/>
  <c r="O1279" i="4"/>
  <c r="O1183" i="4"/>
  <c r="O619" i="4"/>
  <c r="O1075" i="4"/>
  <c r="O979" i="4"/>
  <c r="O679" i="4"/>
  <c r="O703" i="4"/>
  <c r="O631" i="4"/>
  <c r="O907" i="4"/>
  <c r="O1076" i="4"/>
  <c r="O56" i="4"/>
  <c r="O1112" i="4"/>
  <c r="O896" i="4"/>
  <c r="O680" i="4"/>
  <c r="O1004" i="4"/>
  <c r="O740" i="4"/>
  <c r="O836" i="4"/>
  <c r="O248" i="4"/>
  <c r="O1148" i="4"/>
  <c r="O584" i="4"/>
  <c r="O837" i="4"/>
  <c r="O464" i="4"/>
  <c r="O320" i="4"/>
  <c r="O1328" i="4"/>
  <c r="O800" i="4"/>
  <c r="O596" i="4"/>
  <c r="O1256" i="4"/>
  <c r="O1316" i="4"/>
  <c r="O980" i="4"/>
  <c r="O68" i="4"/>
  <c r="O1220" i="4"/>
  <c r="O284" i="4"/>
  <c r="O380" i="4"/>
  <c r="O1077" i="4"/>
  <c r="O188" i="4"/>
  <c r="O752" i="4"/>
  <c r="O272" i="4"/>
  <c r="O920" i="4"/>
  <c r="O236" i="4"/>
  <c r="O224" i="4"/>
  <c r="O838" i="4"/>
  <c r="O536" i="4"/>
  <c r="O1028" i="4"/>
  <c r="O1100" i="4"/>
  <c r="O512" i="4"/>
  <c r="O560" i="4"/>
  <c r="O537" i="4"/>
  <c r="O260" i="4"/>
  <c r="O1304" i="4"/>
  <c r="O1208" i="4"/>
  <c r="O1400" i="4"/>
  <c r="O1088" i="4"/>
  <c r="O716" i="4"/>
  <c r="O308" i="4"/>
  <c r="O212" i="4"/>
  <c r="O728" i="4"/>
  <c r="O788" i="4"/>
  <c r="O273" i="4"/>
  <c r="O656" i="4"/>
  <c r="O1136" i="4"/>
  <c r="O561" i="4"/>
  <c r="O404" i="4"/>
  <c r="O812" i="4"/>
  <c r="O789" i="4"/>
  <c r="O704" i="4"/>
  <c r="O274" i="4"/>
  <c r="O128" i="4"/>
  <c r="O572" i="4"/>
  <c r="O1101" i="4"/>
  <c r="O562" i="4"/>
  <c r="O1029" i="4"/>
  <c r="O657" i="4"/>
  <c r="O213" i="4"/>
  <c r="O1124" i="4"/>
  <c r="O1292" i="4"/>
  <c r="O1340" i="4"/>
  <c r="O1364" i="4"/>
  <c r="O1113" i="4"/>
  <c r="O92" i="4"/>
  <c r="O620" i="4"/>
  <c r="O69" i="4"/>
  <c r="O860" i="4"/>
  <c r="O405" i="4"/>
  <c r="O1317" i="4"/>
  <c r="O824" i="4"/>
  <c r="O813" i="4"/>
  <c r="O140" i="4"/>
  <c r="O428" i="4"/>
  <c r="O1160" i="4"/>
  <c r="O632" i="4"/>
  <c r="O1244" i="4"/>
  <c r="O285" i="4"/>
  <c r="O1257" i="4"/>
  <c r="O440" i="4"/>
  <c r="O1052" i="4"/>
  <c r="O465" i="4"/>
  <c r="O488" i="4"/>
  <c r="O1137" i="4"/>
  <c r="O261" i="4"/>
  <c r="O344" i="4"/>
  <c r="O968" i="4"/>
  <c r="O93" i="4"/>
  <c r="O1341" i="4"/>
  <c r="O573" i="4"/>
  <c r="O1138" i="4"/>
  <c r="O381" i="4"/>
  <c r="O1388" i="4"/>
  <c r="O717" i="4"/>
  <c r="O741" i="4"/>
  <c r="O80" i="4"/>
  <c r="O597" i="4"/>
  <c r="O1209" i="4"/>
  <c r="O1184" i="4"/>
  <c r="O1185" i="4"/>
  <c r="O1078" i="4"/>
  <c r="O633" i="4"/>
  <c r="O176" i="4"/>
  <c r="O104" i="4"/>
  <c r="O538" i="4"/>
  <c r="O981" i="4"/>
  <c r="O105" i="4"/>
  <c r="O908" i="4"/>
  <c r="O20" i="4"/>
  <c r="O1221" i="4"/>
  <c r="O237" i="4"/>
  <c r="O452" i="4"/>
  <c r="O129" i="4"/>
  <c r="O466" i="4"/>
  <c r="O416" i="4"/>
  <c r="O1245" i="4"/>
  <c r="O897" i="4"/>
  <c r="O321" i="4"/>
  <c r="O513" i="4"/>
  <c r="O944" i="4"/>
  <c r="O548" i="4"/>
  <c r="O729" i="4"/>
  <c r="O921" i="4"/>
  <c r="O1196" i="4"/>
  <c r="O152" i="4"/>
  <c r="O106" i="4"/>
  <c r="O1352" i="4"/>
  <c r="O368" i="4"/>
  <c r="O753" i="4"/>
  <c r="O1468" i="4"/>
  <c r="O742" i="4"/>
  <c r="O969" i="4"/>
  <c r="O932" i="4"/>
  <c r="O1197" i="4"/>
  <c r="O1469" i="4"/>
  <c r="O730" i="4"/>
  <c r="O130" i="4"/>
  <c r="O884" i="4"/>
  <c r="O356" i="4"/>
  <c r="O81" i="4"/>
  <c r="O44" i="4"/>
  <c r="O801" i="4"/>
  <c r="O1456" i="4"/>
  <c r="O861" i="4"/>
  <c r="O369" i="4"/>
  <c r="O956" i="4"/>
  <c r="O1365" i="4"/>
  <c r="O1376" i="4"/>
  <c r="O45" i="4"/>
  <c r="O441" i="4"/>
  <c r="O1172" i="4"/>
  <c r="O500" i="4"/>
  <c r="O153" i="4"/>
  <c r="O549" i="4"/>
  <c r="O357" i="4"/>
  <c r="O94" i="4"/>
  <c r="O1114" i="4"/>
  <c r="O189" i="4"/>
  <c r="O141" i="4"/>
  <c r="O524" i="4"/>
  <c r="O668" i="4"/>
  <c r="O406" i="4"/>
  <c r="O705" i="4"/>
  <c r="O992" i="4"/>
  <c r="O1005" i="4"/>
  <c r="O476" i="4"/>
  <c r="O1258" i="4"/>
  <c r="O345" i="4"/>
  <c r="O790" i="4"/>
  <c r="O1318" i="4"/>
  <c r="O585" i="4"/>
  <c r="O1470" i="4"/>
  <c r="O249" i="4"/>
  <c r="O1401" i="4"/>
  <c r="O214" i="4"/>
  <c r="O477" i="4"/>
  <c r="O46" i="4"/>
  <c r="O116" i="4"/>
  <c r="O669" i="4"/>
  <c r="O608" i="4"/>
  <c r="O1412" i="4"/>
  <c r="O57" i="4"/>
  <c r="O670" i="4"/>
  <c r="O370" i="4"/>
  <c r="O1053" i="4"/>
  <c r="O1413" i="4"/>
  <c r="O586" i="4"/>
  <c r="O1246" i="4"/>
  <c r="O945" i="4"/>
  <c r="O885" i="4"/>
  <c r="O644" i="4"/>
  <c r="O1040" i="4"/>
  <c r="O262" i="4"/>
  <c r="O1161" i="4"/>
  <c r="O609" i="4"/>
  <c r="O489" i="4"/>
  <c r="O1389" i="4"/>
  <c r="O814" i="4"/>
  <c r="O1016" i="4"/>
  <c r="O993" i="4"/>
  <c r="O645" i="4"/>
  <c r="O610" i="4"/>
  <c r="O802" i="4"/>
  <c r="O1125" i="4"/>
  <c r="O922" i="4"/>
  <c r="O764" i="4"/>
  <c r="O1102" i="4"/>
  <c r="O1293" i="4"/>
  <c r="O238" i="4"/>
  <c r="O478" i="4"/>
  <c r="O634" i="4"/>
  <c r="O453" i="4"/>
  <c r="O177" i="4"/>
  <c r="O225" i="4"/>
  <c r="O621" i="4"/>
  <c r="O1294" i="4"/>
  <c r="O501" i="4"/>
  <c r="O8" i="4"/>
  <c r="O1329" i="4"/>
  <c r="O776" i="4"/>
  <c r="O692" i="4"/>
  <c r="O1054" i="4"/>
  <c r="O1210" i="4"/>
  <c r="O933" i="4"/>
  <c r="O848" i="4"/>
  <c r="O1089" i="4"/>
  <c r="O58" i="4"/>
  <c r="O693" i="4"/>
  <c r="O286" i="4"/>
  <c r="O417" i="4"/>
  <c r="O872" i="4"/>
  <c r="O849" i="4"/>
  <c r="O825" i="4"/>
  <c r="O1149" i="4"/>
  <c r="O706" i="4"/>
  <c r="O358" i="4"/>
  <c r="O332" i="4"/>
  <c r="O514" i="4"/>
  <c r="O1030" i="4"/>
  <c r="O957" i="4"/>
  <c r="O490" i="4"/>
  <c r="O154" i="4"/>
  <c r="O1017" i="4"/>
  <c r="O1232" i="4"/>
  <c r="O1268" i="4"/>
  <c r="O1280" i="4"/>
  <c r="O296" i="4"/>
  <c r="O418" i="4"/>
  <c r="O525" i="4"/>
  <c r="O382" i="4"/>
  <c r="O392" i="4"/>
  <c r="O429" i="4"/>
  <c r="O1162" i="4"/>
  <c r="O754" i="4"/>
  <c r="O994" i="4"/>
  <c r="O21" i="4"/>
  <c r="O1457" i="4"/>
  <c r="O958" i="4"/>
  <c r="O1330" i="4"/>
  <c r="O909" i="4"/>
  <c r="O1458" i="4"/>
  <c r="O190" i="4"/>
  <c r="O200" i="4"/>
  <c r="O250" i="4"/>
  <c r="O1173" i="4"/>
  <c r="O393" i="4"/>
  <c r="O1281" i="4"/>
  <c r="O178" i="4"/>
  <c r="O777" i="4"/>
  <c r="O550" i="4"/>
  <c r="O1090" i="4"/>
  <c r="O658" i="4"/>
  <c r="O333" i="4"/>
  <c r="O862" i="4"/>
  <c r="O32" i="4"/>
  <c r="O334" i="4"/>
  <c r="O1186" i="4"/>
  <c r="O886" i="4"/>
  <c r="O765" i="4"/>
  <c r="O1174" i="4"/>
  <c r="O778" i="4"/>
  <c r="O117" i="4"/>
  <c r="O70" i="4"/>
  <c r="O22" i="4"/>
  <c r="O1305" i="4"/>
  <c r="O9" i="4"/>
  <c r="O309" i="4"/>
  <c r="O322" i="4"/>
  <c r="O982" i="4"/>
  <c r="O1269" i="4"/>
  <c r="O502" i="4"/>
  <c r="O1150" i="4"/>
  <c r="O142" i="4"/>
  <c r="O1377" i="4"/>
  <c r="O1282" i="4"/>
  <c r="O1064" i="4"/>
  <c r="O898" i="4"/>
  <c r="O1233" i="4"/>
  <c r="O1198" i="4"/>
  <c r="O598" i="4"/>
  <c r="O297" i="4"/>
  <c r="O622" i="4"/>
  <c r="O1342" i="4"/>
  <c r="O164" i="4"/>
  <c r="O394" i="4"/>
  <c r="O1018" i="4"/>
  <c r="O226" i="4"/>
  <c r="O1378" i="4"/>
  <c r="O1353" i="4"/>
  <c r="O873" i="4"/>
  <c r="O118" i="4"/>
  <c r="O1222" i="4"/>
  <c r="O826" i="4"/>
  <c r="O681" i="4"/>
  <c r="O1041" i="4"/>
  <c r="O934" i="4"/>
  <c r="O1065" i="4"/>
  <c r="O1306" i="4"/>
  <c r="O694" i="4"/>
  <c r="O454" i="4"/>
  <c r="O33" i="4"/>
  <c r="O574" i="4"/>
  <c r="O1006" i="4"/>
  <c r="O442" i="4"/>
  <c r="O201" i="4"/>
  <c r="O165" i="4"/>
  <c r="O1234" i="4"/>
  <c r="O1270" i="4"/>
  <c r="O526" i="4"/>
  <c r="O946" i="4"/>
  <c r="O298" i="4"/>
  <c r="O1126" i="4"/>
  <c r="O970" i="4"/>
  <c r="O1366" i="4"/>
  <c r="O346" i="4"/>
  <c r="O910" i="4"/>
  <c r="O1354" i="4"/>
  <c r="O1066" i="4"/>
  <c r="O874" i="4"/>
  <c r="O682" i="4"/>
  <c r="O10" i="4"/>
  <c r="O646" i="4"/>
  <c r="O34" i="4"/>
  <c r="O202" i="4"/>
  <c r="O1402" i="4"/>
  <c r="O166" i="4"/>
  <c r="O430" i="4"/>
  <c r="O1414" i="4"/>
  <c r="O1042" i="4"/>
  <c r="O310" i="4"/>
  <c r="O82" i="4"/>
  <c r="O850" i="4"/>
  <c r="O718" i="4"/>
  <c r="O1390" i="4"/>
  <c r="O766" i="4"/>
  <c r="O791" i="4"/>
  <c r="O227" i="4"/>
  <c r="O395" i="4"/>
  <c r="O839" i="4"/>
  <c r="O755" i="4"/>
  <c r="O407" i="4"/>
  <c r="O167" i="4"/>
  <c r="O1115" i="4"/>
  <c r="O599" i="4"/>
  <c r="O287" i="4"/>
  <c r="O587" i="4"/>
  <c r="O119" i="4"/>
  <c r="O263" i="4"/>
  <c r="O1151" i="4"/>
  <c r="O335" i="4"/>
  <c r="O336" i="4"/>
  <c r="O731" i="4"/>
  <c r="O635" i="4"/>
  <c r="O959" i="4"/>
  <c r="O983" i="4"/>
  <c r="O168" i="4"/>
  <c r="O1415" i="4"/>
  <c r="O1163" i="4"/>
  <c r="O23" i="4"/>
  <c r="O935" i="4"/>
  <c r="O59" i="4"/>
  <c r="O1103" i="4"/>
  <c r="O1127" i="4"/>
  <c r="O1271" i="4"/>
  <c r="O611" i="4"/>
  <c r="O371" i="4"/>
  <c r="O923" i="4"/>
  <c r="O215" i="4"/>
  <c r="O1175" i="4"/>
  <c r="O936" i="4"/>
  <c r="O815" i="4"/>
  <c r="O1164" i="4"/>
  <c r="O1343" i="4"/>
  <c r="O707" i="4"/>
  <c r="O995" i="4"/>
  <c r="O1055" i="4"/>
  <c r="O1307" i="4"/>
  <c r="O1355" i="4"/>
  <c r="O396" i="4"/>
  <c r="O47" i="4"/>
  <c r="O1176" i="4"/>
  <c r="O467" i="4"/>
  <c r="O503" i="4"/>
  <c r="O695" i="4"/>
  <c r="O647" i="4"/>
  <c r="O671" i="4"/>
  <c r="O984" i="4"/>
  <c r="O504" i="4"/>
  <c r="O264" i="4"/>
  <c r="O899" i="4"/>
  <c r="O659" i="4"/>
  <c r="O900" i="4"/>
  <c r="O431" i="4"/>
  <c r="O851" i="4"/>
  <c r="O971" i="4"/>
  <c r="O960" i="4"/>
  <c r="O131" i="4"/>
  <c r="O11" i="4"/>
  <c r="O719" i="4"/>
  <c r="O1091" i="4"/>
  <c r="O239" i="4"/>
  <c r="O1471" i="4"/>
  <c r="O372" i="4"/>
  <c r="O35" i="4"/>
  <c r="O1139" i="4"/>
  <c r="O1272" i="4"/>
  <c r="O479" i="4"/>
  <c r="O12" i="4"/>
  <c r="O683" i="4"/>
  <c r="O803" i="4"/>
  <c r="O311" i="4"/>
  <c r="O216" i="4"/>
  <c r="O827" i="4"/>
  <c r="O95" i="4"/>
  <c r="O60" i="4"/>
  <c r="O1140" i="4"/>
  <c r="O443" i="4"/>
  <c r="O1235" i="4"/>
  <c r="O155" i="4"/>
  <c r="O444" i="4"/>
  <c r="O551" i="4"/>
  <c r="O1152" i="4"/>
  <c r="O1391" i="4"/>
  <c r="O432" i="4"/>
  <c r="O947" i="4"/>
  <c r="O1319" i="4"/>
  <c r="O1031" i="4"/>
  <c r="O840" i="4"/>
  <c r="O1472" i="4"/>
  <c r="O672" i="4"/>
  <c r="O1320" i="4"/>
  <c r="O1416" i="4"/>
  <c r="O1019" i="4"/>
  <c r="O143" i="4"/>
  <c r="O24" i="4"/>
  <c r="O1104" i="4"/>
  <c r="O852" i="4"/>
  <c r="O491" i="4"/>
  <c r="O563" i="4"/>
  <c r="O1283" i="4"/>
  <c r="O275" i="4"/>
  <c r="O828" i="4"/>
  <c r="O779" i="4"/>
  <c r="O875" i="4"/>
  <c r="O492" i="4"/>
  <c r="O1020" i="4"/>
  <c r="O1331" i="4"/>
  <c r="O13" i="4"/>
  <c r="O480" i="4"/>
  <c r="O1295" i="4"/>
  <c r="O743" i="4"/>
  <c r="O228" i="4"/>
  <c r="O1284" i="4"/>
  <c r="O1379" i="4"/>
  <c r="O1308" i="4"/>
  <c r="O191" i="4"/>
  <c r="O1128" i="4"/>
  <c r="O493" i="4"/>
  <c r="O1056" i="4"/>
  <c r="O1105" i="4"/>
  <c r="O299" i="4"/>
  <c r="O612" i="4"/>
  <c r="O359" i="4"/>
  <c r="O527" i="4"/>
  <c r="O1247" i="4"/>
  <c r="O1223" i="4"/>
  <c r="O265" i="4"/>
  <c r="O876" i="4"/>
  <c r="O288" i="4"/>
  <c r="O887" i="4"/>
  <c r="O732" i="4"/>
  <c r="O888" i="4"/>
  <c r="O455" i="4"/>
  <c r="O61" i="4"/>
  <c r="O877" i="4"/>
  <c r="O1079" i="4"/>
  <c r="O179" i="4"/>
  <c r="O600" i="4"/>
  <c r="O539" i="4"/>
  <c r="O623" i="4"/>
  <c r="O1043" i="4"/>
  <c r="O96" i="4"/>
  <c r="O107" i="4"/>
  <c r="O756" i="4"/>
  <c r="O575" i="4"/>
  <c r="O144" i="4"/>
  <c r="O972" i="4"/>
  <c r="O528" i="4"/>
  <c r="O203" i="4"/>
  <c r="O217" i="4"/>
  <c r="O911" i="4"/>
  <c r="O1199" i="4"/>
  <c r="O853" i="4"/>
  <c r="O1473" i="4"/>
  <c r="O1356" i="4"/>
  <c r="O863" i="4"/>
  <c r="O1392" i="4"/>
  <c r="O829" i="4"/>
  <c r="O408" i="4"/>
  <c r="O83" i="4"/>
  <c r="O337" i="4"/>
  <c r="O120" i="4"/>
  <c r="O1007" i="4"/>
  <c r="O121" i="4"/>
  <c r="O505" i="4"/>
  <c r="O1296" i="4"/>
  <c r="O757" i="4"/>
  <c r="O1187" i="4"/>
  <c r="O1200" i="4"/>
  <c r="O588" i="4"/>
  <c r="O48" i="4"/>
  <c r="O192" i="4"/>
  <c r="O733" i="4"/>
  <c r="O1259" i="4"/>
  <c r="O948" i="4"/>
  <c r="O515" i="4"/>
  <c r="O180" i="4"/>
  <c r="O240" i="4"/>
  <c r="O1188" i="4"/>
  <c r="O1380" i="4"/>
  <c r="O193" i="4"/>
  <c r="O108" i="4"/>
  <c r="O996" i="4"/>
  <c r="O1417" i="4"/>
  <c r="O312" i="4"/>
  <c r="O1153" i="4"/>
  <c r="O71" i="4"/>
  <c r="O564" i="4"/>
  <c r="O323" i="4"/>
  <c r="O841" i="4"/>
  <c r="O49" i="4"/>
  <c r="O481" i="4"/>
  <c r="O1080" i="4"/>
  <c r="O1224" i="4"/>
  <c r="O251" i="4"/>
  <c r="O1177" i="4"/>
  <c r="O1248" i="4"/>
  <c r="O347" i="4"/>
  <c r="O660" i="4"/>
  <c r="O1381" i="4"/>
  <c r="O924" i="4"/>
  <c r="O1403" i="4"/>
  <c r="O72" i="4"/>
  <c r="O241" i="4"/>
  <c r="O613" i="4"/>
  <c r="O1332" i="4"/>
  <c r="O132" i="4"/>
  <c r="O744" i="4"/>
  <c r="O1249" i="4"/>
  <c r="O565" i="4"/>
  <c r="O540" i="4"/>
  <c r="O1459" i="4"/>
  <c r="O925" i="4"/>
  <c r="O324" i="4"/>
  <c r="O684" i="4"/>
  <c r="O1092" i="4"/>
  <c r="O252" i="4"/>
  <c r="O516" i="4"/>
  <c r="O601" i="4"/>
  <c r="O767" i="4"/>
  <c r="O373" i="4"/>
  <c r="O745" i="4"/>
  <c r="O456" i="4"/>
  <c r="O145" i="4"/>
  <c r="O73" i="4"/>
  <c r="O156" i="4"/>
  <c r="O289" i="4"/>
  <c r="O109" i="4"/>
  <c r="O768" i="4"/>
  <c r="O673" i="4"/>
  <c r="O1008" i="4"/>
  <c r="O1032" i="4"/>
  <c r="O84" i="4"/>
  <c r="O708" i="4"/>
  <c r="O1344" i="4"/>
  <c r="O864" i="4"/>
  <c r="O804" i="4"/>
  <c r="O1236" i="4"/>
  <c r="O383" i="4"/>
  <c r="O1129" i="4"/>
  <c r="O1057" i="4"/>
  <c r="O696" i="4"/>
  <c r="O648" i="4"/>
  <c r="O445" i="4"/>
  <c r="O300" i="4"/>
  <c r="O204" i="4"/>
  <c r="O205" i="4"/>
  <c r="O649" i="4"/>
  <c r="O1367" i="4"/>
  <c r="O1285" i="4"/>
  <c r="O1116" i="4"/>
  <c r="O709" i="4"/>
  <c r="O697" i="4"/>
  <c r="O36" i="4"/>
  <c r="O133" i="4"/>
  <c r="O1141" i="4"/>
  <c r="O409" i="4"/>
  <c r="O276" i="4"/>
  <c r="O912" i="4"/>
  <c r="O1021" i="4"/>
  <c r="O720" i="4"/>
  <c r="O541" i="4"/>
  <c r="O419" i="4"/>
  <c r="O961" i="4"/>
  <c r="O1260" i="4"/>
  <c r="O1081" i="4"/>
  <c r="O1067" i="4"/>
  <c r="O937" i="4"/>
  <c r="O384" i="4"/>
  <c r="O636" i="4"/>
  <c r="O1345" i="4"/>
  <c r="O1044" i="4"/>
  <c r="O420" i="4"/>
  <c r="O1211" i="4"/>
  <c r="O1117" i="4"/>
  <c r="O325" i="4"/>
  <c r="O805" i="4"/>
  <c r="O517" i="4"/>
  <c r="O253" i="4"/>
  <c r="O1321" i="4"/>
  <c r="O589" i="4"/>
  <c r="O552" i="4"/>
  <c r="O313" i="4"/>
  <c r="O25" i="4"/>
  <c r="O780" i="4"/>
  <c r="O1212" i="4"/>
  <c r="O816" i="4"/>
  <c r="O457" i="4"/>
  <c r="O1068" i="4"/>
  <c r="O169" i="4"/>
  <c r="O637" i="4"/>
  <c r="O792" i="4"/>
  <c r="O1333" i="4"/>
  <c r="O1273" i="4"/>
  <c r="O301" i="4"/>
  <c r="O901" i="4"/>
  <c r="O229" i="4"/>
  <c r="O1404" i="4"/>
  <c r="O97" i="4"/>
  <c r="O997" i="4"/>
  <c r="O1368" i="4"/>
  <c r="O181" i="4"/>
  <c r="O421" i="4"/>
  <c r="O1093" i="4"/>
  <c r="O1069" i="4"/>
  <c r="O1261" i="4"/>
  <c r="O553" i="4"/>
  <c r="O913" i="4"/>
  <c r="O1189" i="4"/>
  <c r="O1393" i="4"/>
  <c r="O624" i="4"/>
  <c r="O397" i="4"/>
  <c r="O1460" i="4"/>
  <c r="O1201" i="4"/>
  <c r="O37" i="4"/>
  <c r="O769" i="4"/>
  <c r="O625" i="4"/>
  <c r="O468" i="4"/>
  <c r="O1297" i="4"/>
  <c r="O348" i="4"/>
  <c r="O85" i="4"/>
  <c r="O1309" i="4"/>
  <c r="O1213" i="4"/>
  <c r="O889" i="4"/>
  <c r="O433" i="4"/>
  <c r="O685" i="4"/>
  <c r="O277" i="4"/>
  <c r="O469" i="4"/>
  <c r="O157" i="4"/>
  <c r="O576" i="4"/>
  <c r="O1165" i="4"/>
  <c r="O949" i="4"/>
  <c r="O793" i="4"/>
  <c r="O973" i="4"/>
  <c r="O577" i="4"/>
  <c r="O1405" i="4"/>
  <c r="O1225" i="4"/>
  <c r="O1369" i="4"/>
  <c r="O1009" i="4"/>
  <c r="O1461" i="4"/>
  <c r="O661" i="4"/>
  <c r="O721" i="4"/>
  <c r="O817" i="4"/>
  <c r="O1357" i="4"/>
  <c r="O385" i="4"/>
  <c r="O1045" i="4"/>
  <c r="O985" i="4"/>
  <c r="O529" i="4"/>
  <c r="O1237" i="4"/>
  <c r="O865" i="4"/>
  <c r="O360" i="4"/>
  <c r="O361" i="4"/>
  <c r="O349" i="4"/>
  <c r="O1033" i="4"/>
  <c r="O1418" i="4"/>
  <c r="O1428" i="4"/>
  <c r="O1429" i="4"/>
  <c r="O1430" i="4"/>
  <c r="O1431" i="4"/>
  <c r="O1432" i="4"/>
  <c r="O1419" i="4"/>
  <c r="O1420" i="4"/>
  <c r="O1434" i="4"/>
  <c r="O1435" i="4"/>
  <c r="O1436" i="4"/>
  <c r="O1437" i="4"/>
  <c r="O1438" i="4"/>
  <c r="O1439" i="4"/>
  <c r="O1440" i="4"/>
  <c r="O1441" i="4"/>
  <c r="O1422" i="4"/>
  <c r="O1423" i="4"/>
  <c r="O1442" i="4"/>
  <c r="O1443" i="4"/>
  <c r="O1424" i="4"/>
  <c r="O1444" i="4"/>
  <c r="O1445" i="4"/>
  <c r="O1425" i="4"/>
  <c r="O1446" i="4"/>
  <c r="O1426" i="4"/>
  <c r="O1447" i="4"/>
  <c r="D779" i="4"/>
  <c r="C8" i="7"/>
  <c r="C14" i="7"/>
  <c r="C20" i="7"/>
  <c r="C26" i="7"/>
  <c r="C32" i="7"/>
  <c r="C38" i="7"/>
  <c r="C44" i="7"/>
  <c r="C50" i="7"/>
  <c r="C56" i="7"/>
  <c r="C62" i="7"/>
  <c r="C68" i="7"/>
  <c r="C74" i="7"/>
  <c r="C80" i="7"/>
  <c r="C86" i="7"/>
  <c r="C92" i="7"/>
  <c r="C98" i="7"/>
  <c r="C104" i="7"/>
  <c r="C116" i="7"/>
  <c r="C128" i="7"/>
  <c r="C140" i="7"/>
  <c r="C146" i="7"/>
  <c r="C152" i="7"/>
  <c r="C158" i="7"/>
  <c r="C164" i="7"/>
  <c r="C170" i="7"/>
  <c r="C182" i="7"/>
  <c r="C188" i="7"/>
  <c r="C194" i="7"/>
  <c r="C206" i="7"/>
  <c r="C212" i="7"/>
  <c r="C218" i="7"/>
  <c r="C224" i="7"/>
  <c r="C230" i="7"/>
  <c r="C236" i="7"/>
  <c r="C242" i="7"/>
  <c r="C248" i="7"/>
  <c r="C254" i="7"/>
  <c r="C260" i="7"/>
  <c r="C266" i="7"/>
  <c r="C272" i="7"/>
  <c r="C278" i="7"/>
  <c r="C284" i="7"/>
  <c r="C290" i="7"/>
  <c r="C296" i="7"/>
  <c r="C302" i="7"/>
  <c r="C308" i="7"/>
  <c r="C314" i="7"/>
  <c r="C320" i="7"/>
  <c r="C326" i="7"/>
  <c r="C332" i="7"/>
  <c r="C338" i="7"/>
  <c r="C344" i="7"/>
  <c r="C350" i="7"/>
  <c r="C356" i="7"/>
  <c r="C362" i="7"/>
  <c r="C368" i="7"/>
  <c r="C374" i="7"/>
  <c r="C380" i="7"/>
  <c r="C386" i="7"/>
  <c r="C392" i="7"/>
  <c r="C398" i="7"/>
  <c r="C404" i="7"/>
  <c r="C410" i="7"/>
  <c r="C416" i="7"/>
  <c r="C422" i="7"/>
  <c r="C428" i="7"/>
  <c r="C3" i="7"/>
  <c r="C9" i="7"/>
  <c r="C15" i="7"/>
  <c r="C21" i="7"/>
  <c r="C27" i="7"/>
  <c r="C33" i="7"/>
  <c r="C39" i="7"/>
  <c r="C45" i="7"/>
  <c r="C51" i="7"/>
  <c r="C57" i="7"/>
  <c r="C63" i="7"/>
  <c r="C69" i="7"/>
  <c r="C75" i="7"/>
  <c r="C81" i="7"/>
  <c r="C87" i="7"/>
  <c r="C93" i="7"/>
  <c r="C99" i="7"/>
  <c r="C105" i="7"/>
  <c r="C111" i="7"/>
  <c r="C123" i="7"/>
  <c r="C129" i="7"/>
  <c r="C135" i="7"/>
  <c r="C141" i="7"/>
  <c r="C147" i="7"/>
  <c r="C153" i="7"/>
  <c r="C159" i="7"/>
  <c r="C165" i="7"/>
  <c r="C171" i="7"/>
  <c r="C177" i="7"/>
  <c r="C183" i="7"/>
  <c r="C189" i="7"/>
  <c r="C195" i="7"/>
  <c r="C201" i="7"/>
  <c r="C207" i="7"/>
  <c r="C219" i="7"/>
  <c r="C225" i="7"/>
  <c r="C231" i="7"/>
  <c r="C237" i="7"/>
  <c r="C243" i="7"/>
  <c r="C249" i="7"/>
  <c r="C255" i="7"/>
  <c r="C261" i="7"/>
  <c r="C267" i="7"/>
  <c r="C273" i="7"/>
  <c r="C279" i="7"/>
  <c r="C285" i="7"/>
  <c r="C291" i="7"/>
  <c r="C297" i="7"/>
  <c r="C303" i="7"/>
  <c r="C309" i="7"/>
  <c r="C315" i="7"/>
  <c r="C321" i="7"/>
  <c r="C327" i="7"/>
  <c r="C339" i="7"/>
  <c r="C345" i="7"/>
  <c r="C351" i="7"/>
  <c r="C357" i="7"/>
  <c r="C363" i="7"/>
  <c r="C369" i="7"/>
  <c r="C375" i="7"/>
  <c r="C381" i="7"/>
  <c r="C387" i="7"/>
  <c r="C393" i="7"/>
  <c r="C405" i="7"/>
  <c r="C411" i="7"/>
  <c r="C417" i="7"/>
  <c r="C423" i="7"/>
  <c r="C429" i="7"/>
  <c r="C4" i="7"/>
  <c r="C10" i="7"/>
  <c r="C16" i="7"/>
  <c r="C22" i="7"/>
  <c r="C28" i="7"/>
  <c r="C34" i="7"/>
  <c r="C40" i="7"/>
  <c r="C46" i="7"/>
  <c r="C52" i="7"/>
  <c r="C58" i="7"/>
  <c r="C64" i="7"/>
  <c r="C70" i="7"/>
  <c r="C76" i="7"/>
  <c r="C82" i="7"/>
  <c r="C88" i="7"/>
  <c r="C94" i="7"/>
  <c r="C100" i="7"/>
  <c r="C106" i="7"/>
  <c r="C112" i="7"/>
  <c r="C118" i="7"/>
  <c r="C130" i="7"/>
  <c r="C136" i="7"/>
  <c r="C142" i="7"/>
  <c r="C154" i="7"/>
  <c r="C160" i="7"/>
  <c r="C166" i="7"/>
  <c r="C172" i="7"/>
  <c r="C178" i="7"/>
  <c r="C184" i="7"/>
  <c r="C190" i="7"/>
  <c r="C196" i="7"/>
  <c r="C202" i="7"/>
  <c r="C214" i="7"/>
  <c r="C220" i="7"/>
  <c r="C226" i="7"/>
  <c r="C232" i="7"/>
  <c r="C238" i="7"/>
  <c r="C244" i="7"/>
  <c r="C250" i="7"/>
  <c r="C256" i="7"/>
  <c r="C262" i="7"/>
  <c r="C268" i="7"/>
  <c r="C274" i="7"/>
  <c r="C280" i="7"/>
  <c r="C286" i="7"/>
  <c r="C292" i="7"/>
  <c r="C298" i="7"/>
  <c r="C304" i="7"/>
  <c r="C310" i="7"/>
  <c r="C316" i="7"/>
  <c r="C322" i="7"/>
  <c r="C328" i="7"/>
  <c r="C334" i="7"/>
  <c r="C340" i="7"/>
  <c r="C346" i="7"/>
  <c r="C352" i="7"/>
  <c r="C358" i="7"/>
  <c r="C364" i="7"/>
  <c r="C370" i="7"/>
  <c r="C376" i="7"/>
  <c r="C382" i="7"/>
  <c r="C394" i="7"/>
  <c r="C400" i="7"/>
  <c r="C406" i="7"/>
  <c r="C412" i="7"/>
  <c r="C418" i="7"/>
  <c r="C424" i="7"/>
  <c r="C430" i="7"/>
  <c r="C5" i="7"/>
  <c r="C11" i="7"/>
  <c r="C17" i="7"/>
  <c r="C23" i="7"/>
  <c r="C29" i="7"/>
  <c r="C35" i="7"/>
  <c r="C41" i="7"/>
  <c r="C47" i="7"/>
  <c r="C53" i="7"/>
  <c r="C59" i="7"/>
  <c r="C65" i="7"/>
  <c r="C71" i="7"/>
  <c r="C77" i="7"/>
  <c r="C83" i="7"/>
  <c r="C89" i="7"/>
  <c r="C95" i="7"/>
  <c r="C101" i="7"/>
  <c r="C107" i="7"/>
  <c r="C125" i="7"/>
  <c r="C131" i="7"/>
  <c r="C137" i="7"/>
  <c r="C143" i="7"/>
  <c r="C149" i="7"/>
  <c r="C155" i="7"/>
  <c r="C161" i="7"/>
  <c r="C167" i="7"/>
  <c r="C185" i="7"/>
  <c r="C191" i="7"/>
  <c r="C197" i="7"/>
  <c r="C203" i="7"/>
  <c r="C209" i="7"/>
  <c r="C215" i="7"/>
  <c r="C221" i="7"/>
  <c r="C227" i="7"/>
  <c r="C233" i="7"/>
  <c r="C239" i="7"/>
  <c r="C245" i="7"/>
  <c r="C251" i="7"/>
  <c r="C257" i="7"/>
  <c r="C263" i="7"/>
  <c r="C269" i="7"/>
  <c r="C275" i="7"/>
  <c r="C281" i="7"/>
  <c r="C287" i="7"/>
  <c r="C293" i="7"/>
  <c r="C299" i="7"/>
  <c r="C305" i="7"/>
  <c r="C311" i="7"/>
  <c r="C317" i="7"/>
  <c r="C323" i="7"/>
  <c r="C329" i="7"/>
  <c r="C335" i="7"/>
  <c r="C341" i="7"/>
  <c r="C347" i="7"/>
  <c r="C353" i="7"/>
  <c r="C359" i="7"/>
  <c r="C365" i="7"/>
  <c r="C371" i="7"/>
  <c r="C377" i="7"/>
  <c r="C383" i="7"/>
  <c r="C389" i="7"/>
  <c r="C395" i="7"/>
  <c r="C401" i="7"/>
  <c r="C407" i="7"/>
  <c r="C413" i="7"/>
  <c r="C425" i="7"/>
  <c r="C431" i="7"/>
  <c r="C6" i="7"/>
  <c r="C12" i="7"/>
  <c r="C18" i="7"/>
  <c r="C24" i="7"/>
  <c r="C30" i="7"/>
  <c r="C36" i="7"/>
  <c r="C42" i="7"/>
  <c r="C48" i="7"/>
  <c r="C54" i="7"/>
  <c r="C60" i="7"/>
  <c r="C66" i="7"/>
  <c r="C72" i="7"/>
  <c r="C78" i="7"/>
  <c r="C84" i="7"/>
  <c r="C90" i="7"/>
  <c r="C96" i="7"/>
  <c r="C102" i="7"/>
  <c r="C108" i="7"/>
  <c r="C114" i="7"/>
  <c r="C120" i="7"/>
  <c r="C126" i="7"/>
  <c r="C132" i="7"/>
  <c r="C138" i="7"/>
  <c r="C144" i="7"/>
  <c r="C150" i="7"/>
  <c r="C156" i="7"/>
  <c r="C162" i="7"/>
  <c r="C168" i="7"/>
  <c r="C174" i="7"/>
  <c r="C180" i="7"/>
  <c r="C186" i="7"/>
  <c r="C192" i="7"/>
  <c r="C198" i="7"/>
  <c r="C204" i="7"/>
  <c r="C210" i="7"/>
  <c r="C216" i="7"/>
  <c r="C222" i="7"/>
  <c r="C228" i="7"/>
  <c r="C234" i="7"/>
  <c r="C240" i="7"/>
  <c r="C246" i="7"/>
  <c r="C252" i="7"/>
  <c r="C258" i="7"/>
  <c r="C264" i="7"/>
  <c r="C270" i="7"/>
  <c r="C276" i="7"/>
  <c r="C282" i="7"/>
  <c r="C288" i="7"/>
  <c r="C294" i="7"/>
  <c r="C300" i="7"/>
  <c r="C306" i="7"/>
  <c r="C312" i="7"/>
  <c r="C318" i="7"/>
  <c r="C324" i="7"/>
  <c r="C330" i="7"/>
  <c r="C336" i="7"/>
  <c r="C342" i="7"/>
  <c r="C348" i="7"/>
  <c r="C354" i="7"/>
  <c r="C360" i="7"/>
  <c r="C366" i="7"/>
  <c r="C372" i="7"/>
  <c r="C378" i="7"/>
  <c r="C384" i="7"/>
  <c r="C390" i="7"/>
  <c r="C396" i="7"/>
  <c r="C402" i="7"/>
  <c r="C408" i="7"/>
  <c r="C414" i="7"/>
  <c r="C420" i="7"/>
  <c r="C426" i="7"/>
  <c r="C432" i="7"/>
  <c r="C7" i="7"/>
  <c r="C13" i="7"/>
  <c r="C19" i="7"/>
  <c r="C25" i="7"/>
  <c r="C31" i="7"/>
  <c r="C37" i="7"/>
  <c r="C43" i="7"/>
  <c r="C49" i="7"/>
  <c r="C55" i="7"/>
  <c r="C61" i="7"/>
  <c r="C67" i="7"/>
  <c r="C73" i="7"/>
  <c r="C79" i="7"/>
  <c r="C85" i="7"/>
  <c r="C91" i="7"/>
  <c r="C97" i="7"/>
  <c r="C103" i="7"/>
  <c r="C109" i="7"/>
  <c r="C115" i="7"/>
  <c r="C121" i="7"/>
  <c r="C127" i="7"/>
  <c r="C133" i="7"/>
  <c r="C139" i="7"/>
  <c r="C145" i="7"/>
  <c r="C151" i="7"/>
  <c r="C157" i="7"/>
  <c r="C163" i="7"/>
  <c r="C169" i="7"/>
  <c r="C175" i="7"/>
  <c r="C181" i="7"/>
  <c r="C187" i="7"/>
  <c r="C193" i="7"/>
  <c r="C199" i="7"/>
  <c r="C205" i="7"/>
  <c r="C211" i="7"/>
  <c r="C217" i="7"/>
  <c r="C223" i="7"/>
  <c r="C229" i="7"/>
  <c r="C235" i="7"/>
  <c r="C241" i="7"/>
  <c r="C247" i="7"/>
  <c r="C253" i="7"/>
  <c r="C259" i="7"/>
  <c r="C265" i="7"/>
  <c r="C271" i="7"/>
  <c r="C277" i="7"/>
  <c r="C283" i="7"/>
  <c r="C289" i="7"/>
  <c r="C295" i="7"/>
  <c r="C301" i="7"/>
  <c r="C307" i="7"/>
  <c r="C313" i="7"/>
  <c r="C319" i="7"/>
  <c r="C325" i="7"/>
  <c r="C337" i="7"/>
  <c r="C343" i="7"/>
  <c r="C355" i="7"/>
  <c r="C361" i="7"/>
  <c r="C367" i="7"/>
  <c r="C373" i="7"/>
  <c r="C379" i="7"/>
  <c r="C385" i="7"/>
  <c r="C391" i="7"/>
  <c r="C397" i="7"/>
  <c r="C403" i="7"/>
  <c r="C409" i="7"/>
  <c r="C415" i="7"/>
  <c r="C421" i="7"/>
  <c r="C433" i="7"/>
  <c r="C2" i="7"/>
  <c r="G2" i="1" a="1"/>
  <c r="G2" i="1"/>
  <c r="D1435" i="4"/>
  <c r="D1442" i="4"/>
  <c r="D1425" i="4"/>
  <c r="D1434" i="4"/>
  <c r="D1422" i="4"/>
  <c r="D1424" i="4"/>
  <c r="D1447" i="4"/>
  <c r="D1441" i="4"/>
  <c r="D1423" i="4"/>
  <c r="D1433" i="4"/>
  <c r="D1445" i="4"/>
  <c r="D1431" i="4"/>
  <c r="D1446" i="4"/>
  <c r="D1432" i="4"/>
  <c r="D1420" i="4"/>
  <c r="D1439" i="4"/>
  <c r="D1440" i="4"/>
  <c r="D1444" i="4"/>
  <c r="D1437" i="4"/>
  <c r="D1419" i="4"/>
  <c r="D1418" i="4"/>
  <c r="D1429" i="4"/>
  <c r="D1438" i="4"/>
  <c r="D1428" i="4"/>
  <c r="D1472" i="4"/>
  <c r="D1473" i="4"/>
  <c r="D1471" i="4"/>
  <c r="D1459" i="4"/>
  <c r="D1461" i="4"/>
  <c r="D1460" i="4"/>
  <c r="D1416" i="4"/>
  <c r="D1415" i="4"/>
  <c r="D1417" i="4"/>
  <c r="D1405" i="4"/>
  <c r="D1403" i="4"/>
  <c r="D1404" i="4"/>
  <c r="D1393" i="4"/>
  <c r="D1392" i="4"/>
  <c r="D1391" i="4"/>
  <c r="D1380" i="4"/>
  <c r="D1381" i="4"/>
  <c r="D1379" i="4"/>
  <c r="D1367" i="4"/>
  <c r="D1369" i="4"/>
  <c r="D1368" i="4"/>
  <c r="D1356" i="4"/>
  <c r="D1355" i="4"/>
  <c r="D1357" i="4"/>
  <c r="D1343" i="4"/>
  <c r="D1344" i="4"/>
  <c r="D1345" i="4"/>
  <c r="D1331" i="4"/>
  <c r="D1333" i="4"/>
  <c r="D1332" i="4"/>
  <c r="D1320" i="4"/>
  <c r="D1321" i="4"/>
  <c r="D1319" i="4"/>
  <c r="D1307" i="4"/>
  <c r="D1308" i="4"/>
  <c r="D1309" i="4"/>
  <c r="D1296" i="4"/>
  <c r="D1297" i="4"/>
  <c r="D1295" i="4"/>
  <c r="D1283" i="4"/>
  <c r="D1285" i="4"/>
  <c r="D1284" i="4"/>
  <c r="D1273" i="4"/>
  <c r="D1271" i="4"/>
  <c r="D1272" i="4"/>
  <c r="D1261" i="4"/>
  <c r="D1259" i="4"/>
  <c r="D1260" i="4"/>
  <c r="D1247" i="4"/>
  <c r="D1249" i="4"/>
  <c r="D1248" i="4"/>
  <c r="D1237" i="4"/>
  <c r="D1235" i="4"/>
  <c r="D1236" i="4"/>
  <c r="D1223" i="4"/>
  <c r="D1224" i="4"/>
  <c r="D1225" i="4"/>
  <c r="D1211" i="4"/>
  <c r="D1213" i="4"/>
  <c r="D1212" i="4"/>
  <c r="D1200" i="4"/>
  <c r="D1201" i="4"/>
  <c r="D1199" i="4"/>
  <c r="D1189" i="4"/>
  <c r="D1187" i="4"/>
  <c r="D1188" i="4"/>
  <c r="D1176" i="4"/>
  <c r="D1175" i="4"/>
  <c r="D1177" i="4"/>
  <c r="D1164" i="4"/>
  <c r="D1163" i="4"/>
  <c r="D1165" i="4"/>
  <c r="D1153" i="4"/>
  <c r="D1152" i="4"/>
  <c r="D1151" i="4"/>
  <c r="D1141" i="4"/>
  <c r="D1139" i="4"/>
  <c r="D1140" i="4"/>
  <c r="D1127" i="4"/>
  <c r="D1129" i="4"/>
  <c r="D1128" i="4"/>
  <c r="D1116" i="4"/>
  <c r="D1117" i="4"/>
  <c r="D1115" i="4"/>
  <c r="D1103" i="4"/>
  <c r="D1105" i="4"/>
  <c r="D1104" i="4"/>
  <c r="D1092" i="4"/>
  <c r="D1093" i="4"/>
  <c r="D1091" i="4"/>
  <c r="D1080" i="4"/>
  <c r="D1079" i="4"/>
  <c r="D1081" i="4"/>
  <c r="D1069" i="4"/>
  <c r="D1068" i="4"/>
  <c r="D1067" i="4"/>
  <c r="D1057" i="4"/>
  <c r="D1056" i="4"/>
  <c r="D1055" i="4"/>
  <c r="D1043" i="4"/>
  <c r="D1044" i="4"/>
  <c r="D1045" i="4"/>
  <c r="D1032" i="4"/>
  <c r="D1031" i="4"/>
  <c r="D1033" i="4"/>
  <c r="D1019" i="4"/>
  <c r="D1020" i="4"/>
  <c r="D1021" i="4"/>
  <c r="D1008" i="4"/>
  <c r="D1009" i="4"/>
  <c r="D1007" i="4"/>
  <c r="D995" i="4"/>
  <c r="D997" i="4"/>
  <c r="D996" i="4"/>
  <c r="D985" i="4"/>
  <c r="D984" i="4"/>
  <c r="D983" i="4"/>
  <c r="D973" i="4"/>
  <c r="D972" i="4"/>
  <c r="D971" i="4"/>
  <c r="D959" i="4"/>
  <c r="D960" i="4"/>
  <c r="D961" i="4"/>
  <c r="D947" i="4"/>
  <c r="D949" i="4"/>
  <c r="D948" i="4"/>
  <c r="D936" i="4"/>
  <c r="D937" i="4"/>
  <c r="D935" i="4"/>
  <c r="D925" i="4"/>
  <c r="D923" i="4"/>
  <c r="D924" i="4"/>
  <c r="D911" i="4"/>
  <c r="D913" i="4"/>
  <c r="D912" i="4"/>
  <c r="D900" i="4"/>
  <c r="D899" i="4"/>
  <c r="D901" i="4"/>
  <c r="D889" i="4"/>
  <c r="D887" i="4"/>
  <c r="D888" i="4"/>
  <c r="D875" i="4"/>
  <c r="D876" i="4"/>
  <c r="D877" i="4"/>
  <c r="D863" i="4"/>
  <c r="D864" i="4"/>
  <c r="D865" i="4"/>
  <c r="D853" i="4"/>
  <c r="D851" i="4"/>
  <c r="D852" i="4"/>
  <c r="D840" i="4"/>
  <c r="D839" i="4"/>
  <c r="D841" i="4"/>
  <c r="D828" i="4"/>
  <c r="D827" i="4"/>
  <c r="D829" i="4"/>
  <c r="D817" i="4"/>
  <c r="D816" i="4"/>
  <c r="D815" i="4"/>
  <c r="D804" i="4"/>
  <c r="D803" i="4"/>
  <c r="D805" i="4"/>
  <c r="D793" i="4"/>
  <c r="D792" i="4"/>
  <c r="D791" i="4"/>
  <c r="D781" i="4"/>
  <c r="D780" i="4"/>
  <c r="D769" i="4"/>
  <c r="D768" i="4"/>
  <c r="D767" i="4"/>
  <c r="D757" i="4"/>
  <c r="D755" i="4"/>
  <c r="D756" i="4"/>
  <c r="D745" i="4"/>
  <c r="D744" i="4"/>
  <c r="D743" i="4"/>
  <c r="D731" i="4"/>
  <c r="D732" i="4"/>
  <c r="D733" i="4"/>
  <c r="D720" i="4"/>
  <c r="D719" i="4"/>
  <c r="D721" i="4"/>
  <c r="D707" i="4"/>
  <c r="D708" i="4"/>
  <c r="D709" i="4"/>
  <c r="D695" i="4"/>
  <c r="D696" i="4"/>
  <c r="D697" i="4"/>
  <c r="D685" i="4"/>
  <c r="D683" i="4"/>
  <c r="D684" i="4"/>
  <c r="D672" i="4"/>
  <c r="D673" i="4"/>
  <c r="D671" i="4"/>
  <c r="D661" i="4"/>
  <c r="D660" i="4"/>
  <c r="D659" i="4"/>
  <c r="D648" i="4"/>
  <c r="D647" i="4"/>
  <c r="D649" i="4"/>
  <c r="D635" i="4"/>
  <c r="D637" i="4"/>
  <c r="D636" i="4"/>
  <c r="D624" i="4"/>
  <c r="D623" i="4"/>
  <c r="D625" i="4"/>
  <c r="D611" i="4"/>
  <c r="D613" i="4"/>
  <c r="D612" i="4"/>
  <c r="D600" i="4"/>
  <c r="D599" i="4"/>
  <c r="D601" i="4"/>
  <c r="D587" i="4"/>
  <c r="D588" i="4"/>
  <c r="D589" i="4"/>
  <c r="D575" i="4"/>
  <c r="D577" i="4"/>
  <c r="D576" i="4"/>
  <c r="D564" i="4"/>
  <c r="D563" i="4"/>
  <c r="D565" i="4"/>
  <c r="D553" i="4"/>
  <c r="D551" i="4"/>
  <c r="D552" i="4"/>
  <c r="D540" i="4"/>
  <c r="D541" i="4"/>
  <c r="D539" i="4"/>
  <c r="D527" i="4"/>
  <c r="D529" i="4"/>
  <c r="D528" i="4"/>
  <c r="D515" i="4"/>
  <c r="D517" i="4"/>
  <c r="D516" i="4"/>
  <c r="D504" i="4"/>
  <c r="D505" i="4"/>
  <c r="D503" i="4"/>
  <c r="D493" i="4"/>
  <c r="D491" i="4"/>
  <c r="D492" i="4"/>
  <c r="D480" i="4"/>
  <c r="D481" i="4"/>
  <c r="D479" i="4"/>
  <c r="D467" i="4"/>
  <c r="D468" i="4"/>
  <c r="D469" i="4"/>
  <c r="D455" i="4"/>
  <c r="D457" i="4"/>
  <c r="D456" i="4"/>
  <c r="D444" i="4"/>
  <c r="D443" i="4"/>
  <c r="D445" i="4"/>
  <c r="D431" i="4"/>
  <c r="D432" i="4"/>
  <c r="D433" i="4"/>
  <c r="D419" i="4"/>
  <c r="D421" i="4"/>
  <c r="D420" i="4"/>
  <c r="D408" i="4"/>
  <c r="D407" i="4"/>
  <c r="D409" i="4"/>
  <c r="D395" i="4"/>
  <c r="D397" i="4"/>
  <c r="D396" i="4"/>
  <c r="D385" i="4"/>
  <c r="D384" i="4"/>
  <c r="D383" i="4"/>
  <c r="D372" i="4"/>
  <c r="D371" i="4"/>
  <c r="D373" i="4"/>
  <c r="D359" i="4"/>
  <c r="D360" i="4"/>
  <c r="D361" i="4"/>
  <c r="D348" i="4"/>
  <c r="D347" i="4"/>
  <c r="D349" i="4"/>
  <c r="D335" i="4"/>
  <c r="D336" i="4"/>
  <c r="D337" i="4"/>
  <c r="D325" i="4"/>
  <c r="D323" i="4"/>
  <c r="D324" i="4"/>
  <c r="D312" i="4"/>
  <c r="D313" i="4"/>
  <c r="D311" i="4"/>
  <c r="D301" i="4"/>
  <c r="D299" i="4"/>
  <c r="D300" i="4"/>
  <c r="D289" i="4"/>
  <c r="D288" i="4"/>
  <c r="D287" i="4"/>
  <c r="D277" i="4"/>
  <c r="D276" i="4"/>
  <c r="D263" i="4"/>
  <c r="D264" i="4"/>
  <c r="D265" i="4"/>
  <c r="D251" i="4"/>
  <c r="D252" i="4"/>
  <c r="D253" i="4"/>
  <c r="D240" i="4"/>
  <c r="D241" i="4"/>
  <c r="D239" i="4"/>
  <c r="D229" i="4"/>
  <c r="D227" i="4"/>
  <c r="D228" i="4"/>
  <c r="D216" i="4"/>
  <c r="D215" i="4"/>
  <c r="D217" i="4"/>
  <c r="D204" i="4"/>
  <c r="D205" i="4"/>
  <c r="D203" i="4"/>
  <c r="D192" i="4"/>
  <c r="D191" i="4"/>
  <c r="D193" i="4"/>
  <c r="D181" i="4"/>
  <c r="D180" i="4"/>
  <c r="D179" i="4"/>
  <c r="D167" i="4"/>
  <c r="D169" i="4"/>
  <c r="D168" i="4"/>
  <c r="D155" i="4"/>
  <c r="D156" i="4"/>
  <c r="D157" i="4"/>
  <c r="D143" i="4"/>
  <c r="D145" i="4"/>
  <c r="D144" i="4"/>
  <c r="D133" i="4"/>
  <c r="D132" i="4"/>
  <c r="D131" i="4"/>
  <c r="D121" i="4"/>
  <c r="D119" i="4"/>
  <c r="D120" i="4"/>
  <c r="D108" i="4"/>
  <c r="D107" i="4"/>
  <c r="D109" i="4"/>
  <c r="D95" i="4"/>
  <c r="D96" i="4"/>
  <c r="D97" i="4"/>
  <c r="D83" i="4"/>
  <c r="D84" i="4"/>
  <c r="D85" i="4"/>
  <c r="D72" i="4"/>
  <c r="D71" i="4"/>
  <c r="D73" i="4"/>
  <c r="D60" i="4"/>
  <c r="D61" i="4"/>
  <c r="D59" i="4"/>
  <c r="D48" i="4"/>
  <c r="D47" i="4"/>
  <c r="D49" i="4"/>
  <c r="D37" i="4"/>
  <c r="D35" i="4"/>
  <c r="D36" i="4"/>
  <c r="D24" i="4"/>
  <c r="D25" i="4"/>
  <c r="D23" i="4"/>
  <c r="D12" i="4"/>
  <c r="D11" i="4"/>
  <c r="D1470" i="4"/>
  <c r="D1468" i="4"/>
  <c r="D1469" i="4"/>
  <c r="D1457" i="4"/>
  <c r="D1456" i="4"/>
  <c r="D1458" i="4"/>
  <c r="D1413" i="4"/>
  <c r="D1412" i="4"/>
  <c r="D1414" i="4"/>
  <c r="D1400" i="4"/>
  <c r="D1401" i="4"/>
  <c r="D1402" i="4"/>
  <c r="D1390" i="4"/>
  <c r="D1388" i="4"/>
  <c r="D1389" i="4"/>
  <c r="D1378" i="4"/>
  <c r="D1377" i="4"/>
  <c r="D1376" i="4"/>
  <c r="D1366" i="4"/>
  <c r="D1364" i="4"/>
  <c r="D1365" i="4"/>
  <c r="D1353" i="4"/>
  <c r="D1354" i="4"/>
  <c r="D1352" i="4"/>
  <c r="D1340" i="4"/>
  <c r="D1342" i="4"/>
  <c r="D1341" i="4"/>
  <c r="D1330" i="4"/>
  <c r="D1328" i="4"/>
  <c r="D1329" i="4"/>
  <c r="D1317" i="4"/>
  <c r="D1318" i="4"/>
  <c r="D1316" i="4"/>
  <c r="D1304" i="4"/>
  <c r="D1306" i="4"/>
  <c r="D1305" i="4"/>
  <c r="D1293" i="4"/>
  <c r="D1292" i="4"/>
  <c r="D1294" i="4"/>
  <c r="D1282" i="4"/>
  <c r="D1280" i="4"/>
  <c r="D1281" i="4"/>
  <c r="D1269" i="4"/>
  <c r="D1270" i="4"/>
  <c r="D1268" i="4"/>
  <c r="D1256" i="4"/>
  <c r="D1257" i="4"/>
  <c r="D1258" i="4"/>
  <c r="D1246" i="4"/>
  <c r="D1244" i="4"/>
  <c r="D1245" i="4"/>
  <c r="D1233" i="4"/>
  <c r="D1234" i="4"/>
  <c r="D1232" i="4"/>
  <c r="D1222" i="4"/>
  <c r="D1221" i="4"/>
  <c r="D1220" i="4"/>
  <c r="D1210" i="4"/>
  <c r="D1208" i="4"/>
  <c r="D1209" i="4"/>
  <c r="D1196" i="4"/>
  <c r="D1197" i="4"/>
  <c r="D1198" i="4"/>
  <c r="D1185" i="4"/>
  <c r="D1186" i="4"/>
  <c r="D1184" i="4"/>
  <c r="D1172" i="4"/>
  <c r="D1173" i="4"/>
  <c r="D1174" i="4"/>
  <c r="D1161" i="4"/>
  <c r="D1160" i="4"/>
  <c r="D1162" i="4"/>
  <c r="D1148" i="4"/>
  <c r="D1150" i="4"/>
  <c r="D1149" i="4"/>
  <c r="D1136" i="4"/>
  <c r="D1138" i="4"/>
  <c r="D1137" i="4"/>
  <c r="D1124" i="4"/>
  <c r="D1125" i="4"/>
  <c r="D1126" i="4"/>
  <c r="D1113" i="4"/>
  <c r="D1114" i="4"/>
  <c r="D1112" i="4"/>
  <c r="D1100" i="4"/>
  <c r="D1102" i="4"/>
  <c r="D1101" i="4"/>
  <c r="D1089" i="4"/>
  <c r="D1088" i="4"/>
  <c r="D1090" i="4"/>
  <c r="D1077" i="4"/>
  <c r="D1078" i="4"/>
  <c r="D1076" i="4"/>
  <c r="D1066" i="4"/>
  <c r="D1064" i="4"/>
  <c r="D1065" i="4"/>
  <c r="D1053" i="4"/>
  <c r="D1052" i="4"/>
  <c r="D1054" i="4"/>
  <c r="D1041" i="4"/>
  <c r="D1042" i="4"/>
  <c r="D1040" i="4"/>
  <c r="D1030" i="4"/>
  <c r="D1029" i="4"/>
  <c r="D1028" i="4"/>
  <c r="D1017" i="4"/>
  <c r="D1018" i="4"/>
  <c r="D1016" i="4"/>
  <c r="D1005" i="4"/>
  <c r="D1004" i="4"/>
  <c r="D1006" i="4"/>
  <c r="D994" i="4"/>
  <c r="D992" i="4"/>
  <c r="D993" i="4"/>
  <c r="D981" i="4"/>
  <c r="D982" i="4"/>
  <c r="D980" i="4"/>
  <c r="D968" i="4"/>
  <c r="D970" i="4"/>
  <c r="D969" i="4"/>
  <c r="D958" i="4"/>
  <c r="D957" i="4"/>
  <c r="D956" i="4"/>
  <c r="D944" i="4"/>
  <c r="D945" i="4"/>
  <c r="D946" i="4"/>
  <c r="D932" i="4"/>
  <c r="D933" i="4"/>
  <c r="D934" i="4"/>
  <c r="D920" i="4"/>
  <c r="D921" i="4"/>
  <c r="D922" i="4"/>
  <c r="D908" i="4"/>
  <c r="D910" i="4"/>
  <c r="D909" i="4"/>
  <c r="D898" i="4"/>
  <c r="D896" i="4"/>
  <c r="D897" i="4"/>
  <c r="D886" i="4"/>
  <c r="D884" i="4"/>
  <c r="D885" i="4"/>
  <c r="D872" i="4"/>
  <c r="D874" i="4"/>
  <c r="D873" i="4"/>
  <c r="D862" i="4"/>
  <c r="D861" i="4"/>
  <c r="D860" i="4"/>
  <c r="D850" i="4"/>
  <c r="D849" i="4"/>
  <c r="D848" i="4"/>
  <c r="D836" i="4"/>
  <c r="D838" i="4"/>
  <c r="D837" i="4"/>
  <c r="D826" i="4"/>
  <c r="D824" i="4"/>
  <c r="D825" i="4"/>
  <c r="D812" i="4"/>
  <c r="D813" i="4"/>
  <c r="D814" i="4"/>
  <c r="D800" i="4"/>
  <c r="D801" i="4"/>
  <c r="D802" i="4"/>
  <c r="D788" i="4"/>
  <c r="D790" i="4"/>
  <c r="D789" i="4"/>
  <c r="D777" i="4"/>
  <c r="D776" i="4"/>
  <c r="D778" i="4"/>
  <c r="D765" i="4"/>
  <c r="D766" i="4"/>
  <c r="D764" i="4"/>
  <c r="D754" i="4"/>
  <c r="D753" i="4"/>
  <c r="D752" i="4"/>
  <c r="D740" i="4"/>
  <c r="D741" i="4"/>
  <c r="D742" i="4"/>
  <c r="D728" i="4"/>
  <c r="D730" i="4"/>
  <c r="D729" i="4"/>
  <c r="D717" i="4"/>
  <c r="D718" i="4"/>
  <c r="D716" i="4"/>
  <c r="D704" i="4"/>
  <c r="D706" i="4"/>
  <c r="D705" i="4"/>
  <c r="D694" i="4"/>
  <c r="D692" i="4"/>
  <c r="D693" i="4"/>
  <c r="D682" i="4"/>
  <c r="D681" i="4"/>
  <c r="D680" i="4"/>
  <c r="D670" i="4"/>
  <c r="D669" i="4"/>
  <c r="D668" i="4"/>
  <c r="D656" i="4"/>
  <c r="D658" i="4"/>
  <c r="D657" i="4"/>
  <c r="D646" i="4"/>
  <c r="D645" i="4"/>
  <c r="D644" i="4"/>
  <c r="D634" i="4"/>
  <c r="D632" i="4"/>
  <c r="D633" i="4"/>
  <c r="D621" i="4"/>
  <c r="D620" i="4"/>
  <c r="D622" i="4"/>
  <c r="D609" i="4"/>
  <c r="D608" i="4"/>
  <c r="D610" i="4"/>
  <c r="D596" i="4"/>
  <c r="D598" i="4"/>
  <c r="D597" i="4"/>
  <c r="D585" i="4"/>
  <c r="D584" i="4"/>
  <c r="D586" i="4"/>
  <c r="D573" i="4"/>
  <c r="D572" i="4"/>
  <c r="D574" i="4"/>
  <c r="D561" i="4"/>
  <c r="D560" i="4"/>
  <c r="D562" i="4"/>
  <c r="D549" i="4"/>
  <c r="D550" i="4"/>
  <c r="D548" i="4"/>
  <c r="D538" i="4"/>
  <c r="D537" i="4"/>
  <c r="D536" i="4"/>
  <c r="D525" i="4"/>
  <c r="D524" i="4"/>
  <c r="D526" i="4"/>
  <c r="D513" i="4"/>
  <c r="D512" i="4"/>
  <c r="D514" i="4"/>
  <c r="D501" i="4"/>
  <c r="D502" i="4"/>
  <c r="D500" i="4"/>
  <c r="D490" i="4"/>
  <c r="D488" i="4"/>
  <c r="D489" i="4"/>
  <c r="D477" i="4"/>
  <c r="D478" i="4"/>
  <c r="D476" i="4"/>
  <c r="D465" i="4"/>
  <c r="D464" i="4"/>
  <c r="D466" i="4"/>
  <c r="D452" i="4"/>
  <c r="D453" i="4"/>
  <c r="D454" i="4"/>
  <c r="D441" i="4"/>
  <c r="D440" i="4"/>
  <c r="D442" i="4"/>
  <c r="D430" i="4"/>
  <c r="D428" i="4"/>
  <c r="D429" i="4"/>
  <c r="D417" i="4"/>
  <c r="D416" i="4"/>
  <c r="D418" i="4"/>
  <c r="D404" i="4"/>
  <c r="D406" i="4"/>
  <c r="D405" i="4"/>
  <c r="D392" i="4"/>
  <c r="D394" i="4"/>
  <c r="D393" i="4"/>
  <c r="D380" i="4"/>
  <c r="D381" i="4"/>
  <c r="D382" i="4"/>
  <c r="D370" i="4"/>
  <c r="D369" i="4"/>
  <c r="D368" i="4"/>
  <c r="D356" i="4"/>
  <c r="D358" i="4"/>
  <c r="D357" i="4"/>
  <c r="D346" i="4"/>
  <c r="D344" i="4"/>
  <c r="D345" i="4"/>
  <c r="D334" i="4"/>
  <c r="D333" i="4"/>
  <c r="D332" i="4"/>
  <c r="D321" i="4"/>
  <c r="D320" i="4"/>
  <c r="D322" i="4"/>
  <c r="D310" i="4"/>
  <c r="D308" i="4"/>
  <c r="D309" i="4"/>
  <c r="D296" i="4"/>
  <c r="D297" i="4"/>
  <c r="D298" i="4"/>
  <c r="D284" i="4"/>
  <c r="D285" i="4"/>
  <c r="D286" i="4"/>
  <c r="D272" i="4"/>
  <c r="D273" i="4"/>
  <c r="D274" i="4"/>
  <c r="D261" i="4"/>
  <c r="D262" i="4"/>
  <c r="D260" i="4"/>
  <c r="D249" i="4"/>
  <c r="D248" i="4"/>
  <c r="D250" i="4"/>
  <c r="D236" i="4"/>
  <c r="D237" i="4"/>
  <c r="D238" i="4"/>
  <c r="D224" i="4"/>
  <c r="D225" i="4"/>
  <c r="D226" i="4"/>
  <c r="D212" i="4"/>
  <c r="D214" i="4"/>
  <c r="D213" i="4"/>
  <c r="D200" i="4"/>
  <c r="D202" i="4"/>
  <c r="D201" i="4"/>
  <c r="D188" i="4"/>
  <c r="D190" i="4"/>
  <c r="D189" i="4"/>
  <c r="D178" i="4"/>
  <c r="D177" i="4"/>
  <c r="D176" i="4"/>
  <c r="D164" i="4"/>
  <c r="D165" i="4"/>
  <c r="D166" i="4"/>
  <c r="D153" i="4"/>
  <c r="D152" i="4"/>
  <c r="D154" i="4"/>
  <c r="D141" i="4"/>
  <c r="D140" i="4"/>
  <c r="D142" i="4"/>
  <c r="D129" i="4"/>
  <c r="D128" i="4"/>
  <c r="D130" i="4"/>
  <c r="D118" i="4"/>
  <c r="D116" i="4"/>
  <c r="D117" i="4"/>
  <c r="D106" i="4"/>
  <c r="D104" i="4"/>
  <c r="D105" i="4"/>
  <c r="D93" i="4"/>
  <c r="D92" i="4"/>
  <c r="D94" i="4"/>
  <c r="D80" i="4"/>
  <c r="D82" i="4"/>
  <c r="D81" i="4"/>
  <c r="D69" i="4"/>
  <c r="D70" i="4"/>
  <c r="D68" i="4"/>
  <c r="D58" i="4"/>
  <c r="D56" i="4"/>
  <c r="D57" i="4"/>
  <c r="D44" i="4"/>
  <c r="D45" i="4"/>
  <c r="D46" i="4"/>
  <c r="D32" i="4"/>
  <c r="D34" i="4"/>
  <c r="D33" i="4"/>
  <c r="D21" i="4"/>
  <c r="D22" i="4"/>
  <c r="D20" i="4"/>
  <c r="D10" i="4"/>
  <c r="D9" i="4"/>
  <c r="D8" i="4"/>
  <c r="D1467" i="4"/>
  <c r="D1466" i="4"/>
  <c r="D1454" i="4"/>
  <c r="D1455" i="4"/>
  <c r="D1410" i="4"/>
  <c r="D1411" i="4"/>
  <c r="D1397" i="4"/>
  <c r="D1399" i="4"/>
  <c r="D1398" i="4"/>
  <c r="D1385" i="4"/>
  <c r="D1386" i="4"/>
  <c r="D1387" i="4"/>
  <c r="D1375" i="4"/>
  <c r="D1374" i="4"/>
  <c r="D1361" i="4"/>
  <c r="D1362" i="4"/>
  <c r="D1363" i="4"/>
  <c r="D1351" i="4"/>
  <c r="D1350" i="4"/>
  <c r="D1337" i="4"/>
  <c r="D1339" i="4"/>
  <c r="D1338" i="4"/>
  <c r="D1326" i="4"/>
  <c r="D1325" i="4"/>
  <c r="D1327" i="4"/>
  <c r="D1315" i="4"/>
  <c r="D1314" i="4"/>
  <c r="D1313" i="4"/>
  <c r="D1301" i="4"/>
  <c r="D1302" i="4"/>
  <c r="D1303" i="4"/>
  <c r="D1290" i="4"/>
  <c r="D1291" i="4"/>
  <c r="D1289" i="4"/>
  <c r="D1279" i="4"/>
  <c r="D1278" i="4"/>
  <c r="D1277" i="4"/>
  <c r="D1266" i="4"/>
  <c r="D1267" i="4"/>
  <c r="D1243" i="4"/>
  <c r="D1242" i="4"/>
  <c r="D1231" i="4"/>
  <c r="D1219" i="4"/>
  <c r="D1217" i="4"/>
  <c r="D1218" i="4"/>
  <c r="D1206" i="4"/>
  <c r="D1205" i="4"/>
  <c r="D1207" i="4"/>
  <c r="D1194" i="4"/>
  <c r="D1195" i="4"/>
  <c r="D1183" i="4"/>
  <c r="D1170" i="4"/>
  <c r="D1171" i="4"/>
  <c r="D1158" i="4"/>
  <c r="D1159" i="4"/>
  <c r="D1146" i="4"/>
  <c r="D1147" i="4"/>
  <c r="D1135" i="4"/>
  <c r="D1133" i="4"/>
  <c r="D1134" i="4"/>
  <c r="D1123" i="4"/>
  <c r="D1122" i="4"/>
  <c r="D1110" i="4"/>
  <c r="D1111" i="4"/>
  <c r="D1099" i="4"/>
  <c r="D1098" i="4"/>
  <c r="D1097" i="4"/>
  <c r="D1073" i="4"/>
  <c r="D1075" i="4"/>
  <c r="D1074" i="4"/>
  <c r="D1062" i="4"/>
  <c r="D1063" i="4"/>
  <c r="D1061" i="4"/>
  <c r="D1049" i="4"/>
  <c r="D1051" i="4"/>
  <c r="D1050" i="4"/>
  <c r="D1039" i="4"/>
  <c r="D1038" i="4"/>
  <c r="D1025" i="4"/>
  <c r="D1027" i="4"/>
  <c r="D1026" i="4"/>
  <c r="D1015" i="4"/>
  <c r="D1014" i="4"/>
  <c r="D1002" i="4"/>
  <c r="D1003" i="4"/>
  <c r="D991" i="4"/>
  <c r="D990" i="4"/>
  <c r="D979" i="4"/>
  <c r="D967" i="4"/>
  <c r="D966" i="4"/>
  <c r="D954" i="4"/>
  <c r="D953" i="4"/>
  <c r="D955" i="4"/>
  <c r="D942" i="4"/>
  <c r="D943" i="4"/>
  <c r="D931" i="4"/>
  <c r="D929" i="4"/>
  <c r="D930" i="4"/>
  <c r="D918" i="4"/>
  <c r="D917" i="4"/>
  <c r="D919" i="4"/>
  <c r="D906" i="4"/>
  <c r="D907" i="4"/>
  <c r="D894" i="4"/>
  <c r="D895" i="4"/>
  <c r="D882" i="4"/>
  <c r="D883" i="4"/>
  <c r="D870" i="4"/>
  <c r="D871" i="4"/>
  <c r="D858" i="4"/>
  <c r="D859" i="4"/>
  <c r="D857" i="4"/>
  <c r="D846" i="4"/>
  <c r="D847" i="4"/>
  <c r="D845" i="4"/>
  <c r="D835" i="4"/>
  <c r="D834" i="4"/>
  <c r="D822" i="4"/>
  <c r="D823" i="4"/>
  <c r="D811" i="4"/>
  <c r="D810" i="4"/>
  <c r="D809" i="4"/>
  <c r="D797" i="4"/>
  <c r="D798" i="4"/>
  <c r="D799" i="4"/>
  <c r="D785" i="4"/>
  <c r="D786" i="4"/>
  <c r="D787" i="4"/>
  <c r="D775" i="4"/>
  <c r="D773" i="4"/>
  <c r="D774" i="4"/>
  <c r="D761" i="4"/>
  <c r="D763" i="4"/>
  <c r="D762" i="4"/>
  <c r="D750" i="4"/>
  <c r="D749" i="4"/>
  <c r="D751" i="4"/>
  <c r="D739" i="4"/>
  <c r="D727" i="4"/>
  <c r="D726" i="4"/>
  <c r="D714" i="4"/>
  <c r="D715" i="4"/>
  <c r="D702" i="4"/>
  <c r="D701" i="4"/>
  <c r="D703" i="4"/>
  <c r="D690" i="4"/>
  <c r="D691" i="4"/>
  <c r="D679" i="4"/>
  <c r="D666" i="4"/>
  <c r="D667" i="4"/>
  <c r="D655" i="4"/>
  <c r="D653" i="4"/>
  <c r="D654" i="4"/>
  <c r="D643" i="4"/>
  <c r="D642" i="4"/>
  <c r="D629" i="4"/>
  <c r="D630" i="4"/>
  <c r="D631" i="4"/>
  <c r="D619" i="4"/>
  <c r="D617" i="4"/>
  <c r="D618" i="4"/>
  <c r="D606" i="4"/>
  <c r="D607" i="4"/>
  <c r="D594" i="4"/>
  <c r="D595" i="4"/>
  <c r="D593" i="4"/>
  <c r="D582" i="4"/>
  <c r="D583" i="4"/>
  <c r="D571" i="4"/>
  <c r="D570" i="4"/>
  <c r="D569" i="4"/>
  <c r="D558" i="4"/>
  <c r="D559" i="4"/>
  <c r="D547" i="4"/>
  <c r="D546" i="4"/>
  <c r="D535" i="4"/>
  <c r="D534" i="4"/>
  <c r="D522" i="4"/>
  <c r="D523" i="4"/>
  <c r="D521" i="4"/>
  <c r="D511" i="4"/>
  <c r="D510" i="4"/>
  <c r="D498" i="4"/>
  <c r="D499" i="4"/>
  <c r="D487" i="4"/>
  <c r="D473" i="4"/>
  <c r="D474" i="4"/>
  <c r="D475" i="4"/>
  <c r="D463" i="4"/>
  <c r="D461" i="4"/>
  <c r="D462" i="4"/>
  <c r="D451" i="4"/>
  <c r="D450" i="4"/>
  <c r="D439" i="4"/>
  <c r="D438" i="4"/>
  <c r="D426" i="4"/>
  <c r="D427" i="4"/>
  <c r="D425" i="4"/>
  <c r="D415" i="4"/>
  <c r="D414" i="4"/>
  <c r="D390" i="4"/>
  <c r="D391" i="4"/>
  <c r="D389" i="4"/>
  <c r="D378" i="4"/>
  <c r="D377" i="4"/>
  <c r="D379" i="4"/>
  <c r="D365" i="4"/>
  <c r="D367" i="4"/>
  <c r="D366" i="4"/>
  <c r="D355" i="4"/>
  <c r="D343" i="4"/>
  <c r="D331" i="4"/>
  <c r="D317" i="4"/>
  <c r="D319" i="4"/>
  <c r="D318" i="4"/>
  <c r="D307" i="4"/>
  <c r="D306" i="4"/>
  <c r="D295" i="4"/>
  <c r="D293" i="4"/>
  <c r="D294" i="4"/>
  <c r="D282" i="4"/>
  <c r="D281" i="4"/>
  <c r="D283" i="4"/>
  <c r="D270" i="4"/>
  <c r="D271" i="4"/>
  <c r="D259" i="4"/>
  <c r="D246" i="4"/>
  <c r="D247" i="4"/>
  <c r="D235" i="4"/>
  <c r="D234" i="4"/>
  <c r="D222" i="4"/>
  <c r="D223" i="4"/>
  <c r="D209" i="4"/>
  <c r="D210" i="4"/>
  <c r="D211" i="4"/>
  <c r="D198" i="4"/>
  <c r="D199" i="4"/>
  <c r="D197" i="4"/>
  <c r="D186" i="4"/>
  <c r="D185" i="4"/>
  <c r="D187" i="4"/>
  <c r="D174" i="4"/>
  <c r="D175" i="4"/>
  <c r="D173" i="4"/>
  <c r="D163" i="4"/>
  <c r="D161" i="4"/>
  <c r="D162" i="4"/>
  <c r="D150" i="4"/>
  <c r="D149" i="4"/>
  <c r="D151" i="4"/>
  <c r="D137" i="4"/>
  <c r="D139" i="4"/>
  <c r="D138" i="4"/>
  <c r="D126" i="4"/>
  <c r="D127" i="4"/>
  <c r="D113" i="4"/>
  <c r="D115" i="4"/>
  <c r="D114" i="4"/>
  <c r="D103" i="4"/>
  <c r="D90" i="4"/>
  <c r="D91" i="4"/>
  <c r="D89" i="4"/>
  <c r="D79" i="4"/>
  <c r="D78" i="4"/>
  <c r="D65" i="4"/>
  <c r="D67" i="4"/>
  <c r="D66" i="4"/>
  <c r="D54" i="4"/>
  <c r="D55" i="4"/>
  <c r="D41" i="4"/>
  <c r="D43" i="4"/>
  <c r="D42" i="4"/>
  <c r="D31" i="4"/>
  <c r="D29" i="4"/>
  <c r="D30" i="4"/>
  <c r="D18" i="4"/>
  <c r="D19" i="4"/>
  <c r="D6" i="4"/>
  <c r="D7" i="4"/>
  <c r="D1462" i="4"/>
  <c r="D1463" i="4"/>
  <c r="D1450" i="4"/>
  <c r="D1451" i="4"/>
  <c r="D1407" i="4"/>
  <c r="D1406" i="4"/>
  <c r="D1394" i="4"/>
  <c r="D1395" i="4"/>
  <c r="D1383" i="4"/>
  <c r="D1382" i="4"/>
  <c r="D1384" i="4"/>
  <c r="D1371" i="4"/>
  <c r="D1370" i="4"/>
  <c r="D1359" i="4"/>
  <c r="D1358" i="4"/>
  <c r="D1346" i="4"/>
  <c r="D1347" i="4"/>
  <c r="D1334" i="4"/>
  <c r="D1335" i="4"/>
  <c r="D1311" i="4"/>
  <c r="D1310" i="4"/>
  <c r="D1298" i="4"/>
  <c r="D1287" i="4"/>
  <c r="D1286" i="4"/>
  <c r="D1275" i="4"/>
  <c r="D1274" i="4"/>
  <c r="D1276" i="4"/>
  <c r="D1262" i="4"/>
  <c r="D1264" i="4"/>
  <c r="D1263" i="4"/>
  <c r="D1250" i="4"/>
  <c r="D1251" i="4"/>
  <c r="D1239" i="4"/>
  <c r="D1238" i="4"/>
  <c r="D1226" i="4"/>
  <c r="D1215" i="4"/>
  <c r="D1214" i="4"/>
  <c r="D1202" i="4"/>
  <c r="D1203" i="4"/>
  <c r="D1192" i="4"/>
  <c r="D1190" i="4"/>
  <c r="D1191" i="4"/>
  <c r="D1178" i="4"/>
  <c r="D1179" i="4"/>
  <c r="D1180" i="4"/>
  <c r="D1167" i="4"/>
  <c r="D1166" i="4"/>
  <c r="D1154" i="4"/>
  <c r="D1155" i="4"/>
  <c r="D1144" i="4"/>
  <c r="D1143" i="4"/>
  <c r="D1142" i="4"/>
  <c r="D1130" i="4"/>
  <c r="D1119" i="4"/>
  <c r="D1118" i="4"/>
  <c r="D1120" i="4"/>
  <c r="D1106" i="4"/>
  <c r="D1094" i="4"/>
  <c r="D1070" i="4"/>
  <c r="D1058" i="4"/>
  <c r="D1046" i="4"/>
  <c r="D1047" i="4"/>
  <c r="D1048" i="4"/>
  <c r="D1034" i="4"/>
  <c r="D1024" i="4"/>
  <c r="D1023" i="4"/>
  <c r="D1022" i="4"/>
  <c r="D1012" i="4"/>
  <c r="D1010" i="4"/>
  <c r="D1011" i="4"/>
  <c r="D998" i="4"/>
  <c r="D999" i="4"/>
  <c r="D986" i="4"/>
  <c r="D962" i="4"/>
  <c r="D950" i="4"/>
  <c r="D951" i="4"/>
  <c r="D939" i="4"/>
  <c r="D938" i="4"/>
  <c r="D926" i="4"/>
  <c r="D902" i="4"/>
  <c r="D891" i="4"/>
  <c r="D890" i="4"/>
  <c r="D878" i="4"/>
  <c r="D866" i="4"/>
  <c r="D856" i="4"/>
  <c r="D855" i="4"/>
  <c r="D854" i="4"/>
  <c r="D842" i="4"/>
  <c r="D831" i="4"/>
  <c r="D830" i="4"/>
  <c r="D832" i="4"/>
  <c r="D818" i="4"/>
  <c r="D819" i="4"/>
  <c r="D807" i="4"/>
  <c r="D806" i="4"/>
  <c r="D794" i="4"/>
  <c r="D782" i="4"/>
  <c r="D783" i="4"/>
  <c r="D771" i="4"/>
  <c r="D770" i="4"/>
  <c r="D758" i="4"/>
  <c r="D747" i="4"/>
  <c r="D746" i="4"/>
  <c r="D734" i="4"/>
  <c r="D722" i="4"/>
  <c r="D723" i="4"/>
  <c r="D712" i="4"/>
  <c r="D710" i="4"/>
  <c r="D711" i="4"/>
  <c r="D699" i="4"/>
  <c r="D698" i="4"/>
  <c r="D687" i="4"/>
  <c r="D686" i="4"/>
  <c r="D675" i="4"/>
  <c r="D676" i="4"/>
  <c r="D674" i="4"/>
  <c r="D664" i="4"/>
  <c r="D662" i="4"/>
  <c r="D663" i="4"/>
  <c r="D651" i="4"/>
  <c r="D650" i="4"/>
  <c r="D652" i="4"/>
  <c r="D638" i="4"/>
  <c r="D626" i="4"/>
  <c r="D627" i="4"/>
  <c r="D614" i="4"/>
  <c r="D602" i="4"/>
  <c r="D603" i="4"/>
  <c r="D592" i="4"/>
  <c r="D590" i="4"/>
  <c r="D591" i="4"/>
  <c r="D578" i="4"/>
  <c r="D579" i="4"/>
  <c r="D567" i="4"/>
  <c r="D566" i="4"/>
  <c r="D554" i="4"/>
  <c r="D542" i="4"/>
  <c r="D543" i="4"/>
  <c r="D544" i="4"/>
  <c r="D530" i="4"/>
  <c r="D518" i="4"/>
  <c r="D507" i="4"/>
  <c r="D506" i="4"/>
  <c r="D494" i="4"/>
  <c r="D495" i="4"/>
  <c r="D483" i="4"/>
  <c r="D484" i="4"/>
  <c r="D482" i="4"/>
  <c r="D472" i="4"/>
  <c r="D470" i="4"/>
  <c r="D471" i="4"/>
  <c r="D459" i="4"/>
  <c r="D458" i="4"/>
  <c r="D446" i="4"/>
  <c r="D434" i="4"/>
  <c r="D435" i="4"/>
  <c r="D422" i="4"/>
  <c r="D424" i="4"/>
  <c r="D423" i="4"/>
  <c r="D410" i="4"/>
  <c r="D411" i="4"/>
  <c r="D399" i="4"/>
  <c r="D398" i="4"/>
  <c r="D386" i="4"/>
  <c r="D374" i="4"/>
  <c r="D376" i="4"/>
  <c r="D375" i="4"/>
  <c r="D362" i="4"/>
  <c r="D363" i="4"/>
  <c r="D352" i="4"/>
  <c r="D351" i="4"/>
  <c r="D350" i="4"/>
  <c r="D338" i="4"/>
  <c r="D339" i="4"/>
  <c r="D326" i="4"/>
  <c r="D314" i="4"/>
  <c r="D315" i="4"/>
  <c r="D302" i="4"/>
  <c r="D290" i="4"/>
  <c r="D266" i="4"/>
  <c r="D255" i="4"/>
  <c r="D254" i="4"/>
  <c r="D243" i="4"/>
  <c r="D242" i="4"/>
  <c r="D232" i="4"/>
  <c r="D231" i="4"/>
  <c r="D230" i="4"/>
  <c r="D218" i="4"/>
  <c r="D206" i="4"/>
  <c r="D194" i="4"/>
  <c r="D195" i="4"/>
  <c r="D182" i="4"/>
  <c r="D171" i="4"/>
  <c r="D172" i="4"/>
  <c r="D170" i="4"/>
  <c r="D146" i="4"/>
  <c r="D134" i="4"/>
  <c r="D122" i="4"/>
  <c r="D112" i="4"/>
  <c r="D110" i="4"/>
  <c r="D111" i="4"/>
  <c r="D99" i="4"/>
  <c r="D98" i="4"/>
  <c r="D86" i="4"/>
  <c r="D87" i="4"/>
  <c r="D76" i="4"/>
  <c r="D74" i="4"/>
  <c r="D75" i="4"/>
  <c r="D63" i="4"/>
  <c r="D62" i="4"/>
  <c r="D52" i="4"/>
  <c r="D50" i="4"/>
  <c r="D51" i="4"/>
  <c r="D39" i="4"/>
  <c r="D38" i="4"/>
  <c r="D14" i="4"/>
  <c r="D15" i="4"/>
  <c r="D3" i="4"/>
  <c r="D2" i="4"/>
  <c r="D4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86" i="1"/>
  <c r="E92" i="1"/>
  <c r="E93" i="1"/>
  <c r="E94" i="1"/>
  <c r="E95" i="1"/>
  <c r="E96" i="1"/>
  <c r="E97" i="1"/>
  <c r="E98" i="1"/>
  <c r="E99" i="1"/>
  <c r="E10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87" i="1"/>
  <c r="E88" i="1"/>
  <c r="E89" i="1"/>
  <c r="E104" i="1"/>
  <c r="E105" i="1"/>
  <c r="E101" i="1"/>
  <c r="E102" i="1"/>
  <c r="E103" i="1"/>
  <c r="E106" i="1"/>
  <c r="E107" i="1"/>
  <c r="E108" i="1"/>
  <c r="E109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90" i="1"/>
  <c r="E91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2" i="1"/>
  <c r="E124" i="1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1474" i="3"/>
  <c r="D1465" i="3"/>
  <c r="D1456" i="3"/>
  <c r="D1447" i="3"/>
  <c r="D1473" i="3"/>
  <c r="D1464" i="3"/>
  <c r="D1455" i="3"/>
  <c r="D1446" i="3"/>
  <c r="D1472" i="3"/>
  <c r="D1463" i="3"/>
  <c r="D1454" i="3"/>
  <c r="D1445" i="3"/>
  <c r="D1477" i="3"/>
  <c r="D1468" i="3"/>
  <c r="D1459" i="3"/>
  <c r="D1450" i="3"/>
  <c r="D1471" i="3"/>
  <c r="D1462" i="3"/>
  <c r="D1453" i="3"/>
  <c r="D1444" i="3"/>
  <c r="D1476" i="3"/>
  <c r="D1467" i="3"/>
  <c r="D1458" i="3"/>
  <c r="D1449" i="3"/>
  <c r="D1470" i="3"/>
  <c r="D1460" i="3"/>
  <c r="D1451" i="3"/>
  <c r="D1443" i="3"/>
  <c r="D1475" i="3"/>
  <c r="D1466" i="3"/>
  <c r="D1457" i="3"/>
  <c r="D1448" i="3"/>
  <c r="D1469" i="3"/>
  <c r="D1461" i="3"/>
  <c r="D1452" i="3"/>
  <c r="D1442" i="3"/>
  <c r="D1441" i="3"/>
  <c r="D1081" i="3"/>
  <c r="D721" i="3"/>
  <c r="D361" i="3"/>
  <c r="D1440" i="3"/>
  <c r="D1080" i="3"/>
  <c r="D720" i="3"/>
  <c r="D360" i="3"/>
  <c r="D1439" i="3"/>
  <c r="D1079" i="3"/>
  <c r="D719" i="3"/>
  <c r="D359" i="3"/>
  <c r="D1438" i="3"/>
  <c r="D1078" i="3"/>
  <c r="D718" i="3"/>
  <c r="D358" i="3"/>
  <c r="D1437" i="3"/>
  <c r="D1077" i="3"/>
  <c r="D717" i="3"/>
  <c r="D357" i="3"/>
  <c r="D1436" i="3"/>
  <c r="D1076" i="3"/>
  <c r="D716" i="3"/>
  <c r="D356" i="3"/>
  <c r="D1435" i="3"/>
  <c r="D1075" i="3"/>
  <c r="D715" i="3"/>
  <c r="D355" i="3"/>
  <c r="D1434" i="3"/>
  <c r="D1074" i="3"/>
  <c r="D714" i="3"/>
  <c r="D354" i="3"/>
  <c r="D1433" i="3"/>
  <c r="D1073" i="3"/>
  <c r="D713" i="3"/>
  <c r="D353" i="3"/>
  <c r="D1432" i="3"/>
  <c r="D1072" i="3"/>
  <c r="D712" i="3"/>
  <c r="D352" i="3"/>
  <c r="D1431" i="3"/>
  <c r="D1071" i="3"/>
  <c r="D711" i="3"/>
  <c r="D351" i="3"/>
  <c r="D1430" i="3"/>
  <c r="D1070" i="3"/>
  <c r="D710" i="3"/>
  <c r="D350" i="3"/>
  <c r="D1429" i="3"/>
  <c r="D1069" i="3"/>
  <c r="D709" i="3"/>
  <c r="D349" i="3"/>
  <c r="D1428" i="3"/>
  <c r="D1068" i="3"/>
  <c r="D708" i="3"/>
  <c r="D348" i="3"/>
  <c r="D1427" i="3"/>
  <c r="D1067" i="3"/>
  <c r="D707" i="3"/>
  <c r="D347" i="3"/>
  <c r="D1426" i="3"/>
  <c r="D1066" i="3"/>
  <c r="D706" i="3"/>
  <c r="D346" i="3"/>
  <c r="D1425" i="3"/>
  <c r="D1065" i="3"/>
  <c r="D705" i="3"/>
  <c r="D345" i="3"/>
  <c r="D1424" i="3"/>
  <c r="D1064" i="3"/>
  <c r="D704" i="3"/>
  <c r="D344" i="3"/>
  <c r="D1423" i="3"/>
  <c r="D1063" i="3"/>
  <c r="D703" i="3"/>
  <c r="D343" i="3"/>
  <c r="D1422" i="3"/>
  <c r="D1062" i="3"/>
  <c r="D702" i="3"/>
  <c r="D342" i="3"/>
  <c r="D1421" i="3"/>
  <c r="D1061" i="3"/>
  <c r="D701" i="3"/>
  <c r="D341" i="3"/>
  <c r="D1420" i="3"/>
  <c r="D1060" i="3"/>
  <c r="D700" i="3"/>
  <c r="D340" i="3"/>
  <c r="D1419" i="3"/>
  <c r="D1059" i="3"/>
  <c r="D699" i="3"/>
  <c r="D339" i="3"/>
  <c r="D1418" i="3"/>
  <c r="D1058" i="3"/>
  <c r="D698" i="3"/>
  <c r="D338" i="3"/>
  <c r="D1417" i="3"/>
  <c r="D1057" i="3"/>
  <c r="D697" i="3"/>
  <c r="D337" i="3"/>
  <c r="D1416" i="3"/>
  <c r="D1056" i="3"/>
  <c r="D696" i="3"/>
  <c r="D336" i="3"/>
  <c r="D1415" i="3"/>
  <c r="D1055" i="3"/>
  <c r="D695" i="3"/>
  <c r="D335" i="3"/>
  <c r="D1414" i="3"/>
  <c r="D1054" i="3"/>
  <c r="D694" i="3"/>
  <c r="D334" i="3"/>
  <c r="D1413" i="3"/>
  <c r="D1053" i="3"/>
  <c r="D693" i="3"/>
  <c r="D333" i="3"/>
  <c r="D1412" i="3"/>
  <c r="D1052" i="3"/>
  <c r="D692" i="3"/>
  <c r="D332" i="3"/>
  <c r="D1411" i="3"/>
  <c r="D1051" i="3"/>
  <c r="D691" i="3"/>
  <c r="D331" i="3"/>
  <c r="D1410" i="3"/>
  <c r="D1050" i="3"/>
  <c r="D690" i="3"/>
  <c r="D330" i="3"/>
  <c r="D1409" i="3"/>
  <c r="D1049" i="3"/>
  <c r="D689" i="3"/>
  <c r="D329" i="3"/>
  <c r="D1408" i="3"/>
  <c r="D1048" i="3"/>
  <c r="D688" i="3"/>
  <c r="D328" i="3"/>
  <c r="D1407" i="3"/>
  <c r="D1047" i="3"/>
  <c r="D687" i="3"/>
  <c r="D327" i="3"/>
  <c r="D1406" i="3"/>
  <c r="D1046" i="3"/>
  <c r="D686" i="3"/>
  <c r="D326" i="3"/>
  <c r="D1405" i="3"/>
  <c r="D1045" i="3"/>
  <c r="D685" i="3"/>
  <c r="D325" i="3"/>
  <c r="D1404" i="3"/>
  <c r="D1044" i="3"/>
  <c r="D684" i="3"/>
  <c r="D324" i="3"/>
  <c r="D1403" i="3"/>
  <c r="D1043" i="3"/>
  <c r="D683" i="3"/>
  <c r="D323" i="3"/>
  <c r="D1402" i="3"/>
  <c r="D1042" i="3"/>
  <c r="D682" i="3"/>
  <c r="D322" i="3"/>
  <c r="D1401" i="3"/>
  <c r="D1041" i="3"/>
  <c r="D681" i="3"/>
  <c r="D321" i="3"/>
  <c r="D1400" i="3"/>
  <c r="D1040" i="3"/>
  <c r="D680" i="3"/>
  <c r="D320" i="3"/>
  <c r="D1399" i="3"/>
  <c r="D1039" i="3"/>
  <c r="D679" i="3"/>
  <c r="D319" i="3"/>
  <c r="D1398" i="3"/>
  <c r="D1038" i="3"/>
  <c r="D678" i="3"/>
  <c r="D318" i="3"/>
  <c r="D1397" i="3"/>
  <c r="D1037" i="3"/>
  <c r="D677" i="3"/>
  <c r="D317" i="3"/>
  <c r="D1396" i="3"/>
  <c r="D1036" i="3"/>
  <c r="D676" i="3"/>
  <c r="D316" i="3"/>
  <c r="D1395" i="3"/>
  <c r="D1035" i="3"/>
  <c r="D675" i="3"/>
  <c r="D315" i="3"/>
  <c r="D1394" i="3"/>
  <c r="D1034" i="3"/>
  <c r="D674" i="3"/>
  <c r="D314" i="3"/>
  <c r="D1393" i="3"/>
  <c r="D1033" i="3"/>
  <c r="D673" i="3"/>
  <c r="D313" i="3"/>
  <c r="D1392" i="3"/>
  <c r="D1032" i="3"/>
  <c r="D672" i="3"/>
  <c r="D312" i="3"/>
  <c r="D1391" i="3"/>
  <c r="D1031" i="3"/>
  <c r="D671" i="3"/>
  <c r="D311" i="3"/>
  <c r="D1390" i="3"/>
  <c r="D1030" i="3"/>
  <c r="D670" i="3"/>
  <c r="D310" i="3"/>
  <c r="D1389" i="3"/>
  <c r="D1029" i="3"/>
  <c r="D669" i="3"/>
  <c r="D309" i="3"/>
  <c r="D1388" i="3"/>
  <c r="D1028" i="3"/>
  <c r="D668" i="3"/>
  <c r="D308" i="3"/>
  <c r="D1387" i="3"/>
  <c r="D1027" i="3"/>
  <c r="D667" i="3"/>
  <c r="D307" i="3"/>
  <c r="D1386" i="3"/>
  <c r="D1026" i="3"/>
  <c r="D666" i="3"/>
  <c r="D306" i="3"/>
  <c r="D1385" i="3"/>
  <c r="D1025" i="3"/>
  <c r="D665" i="3"/>
  <c r="D305" i="3"/>
  <c r="D1384" i="3"/>
  <c r="D1024" i="3"/>
  <c r="D664" i="3"/>
  <c r="D304" i="3"/>
  <c r="D1383" i="3"/>
  <c r="D1023" i="3"/>
  <c r="D663" i="3"/>
  <c r="D303" i="3"/>
  <c r="D1382" i="3"/>
  <c r="D1022" i="3"/>
  <c r="D662" i="3"/>
  <c r="D302" i="3"/>
  <c r="D1381" i="3"/>
  <c r="D1021" i="3"/>
  <c r="D661" i="3"/>
  <c r="D301" i="3"/>
  <c r="D1380" i="3"/>
  <c r="D1020" i="3"/>
  <c r="D660" i="3"/>
  <c r="D300" i="3"/>
  <c r="D1379" i="3"/>
  <c r="D1019" i="3"/>
  <c r="D659" i="3"/>
  <c r="D299" i="3"/>
  <c r="D1378" i="3"/>
  <c r="D1018" i="3"/>
  <c r="D658" i="3"/>
  <c r="D298" i="3"/>
  <c r="D1377" i="3"/>
  <c r="D1017" i="3"/>
  <c r="D657" i="3"/>
  <c r="D297" i="3"/>
  <c r="D1376" i="3"/>
  <c r="D1016" i="3"/>
  <c r="D656" i="3"/>
  <c r="D296" i="3"/>
  <c r="D1375" i="3"/>
  <c r="D1015" i="3"/>
  <c r="D655" i="3"/>
  <c r="D295" i="3"/>
  <c r="D1374" i="3"/>
  <c r="D1014" i="3"/>
  <c r="D654" i="3"/>
  <c r="D294" i="3"/>
  <c r="D1373" i="3"/>
  <c r="D1013" i="3"/>
  <c r="D653" i="3"/>
  <c r="D293" i="3"/>
  <c r="D1372" i="3"/>
  <c r="D1012" i="3"/>
  <c r="D652" i="3"/>
  <c r="D292" i="3"/>
  <c r="D1371" i="3"/>
  <c r="D1011" i="3"/>
  <c r="D651" i="3"/>
  <c r="D291" i="3"/>
  <c r="D1370" i="3"/>
  <c r="D1010" i="3"/>
  <c r="D650" i="3"/>
  <c r="D290" i="3"/>
  <c r="D1369" i="3"/>
  <c r="D1009" i="3"/>
  <c r="D649" i="3"/>
  <c r="D289" i="3"/>
  <c r="D1368" i="3"/>
  <c r="D1008" i="3"/>
  <c r="D648" i="3"/>
  <c r="D288" i="3"/>
  <c r="D1367" i="3"/>
  <c r="D1007" i="3"/>
  <c r="D647" i="3"/>
  <c r="D287" i="3"/>
  <c r="D1366" i="3"/>
  <c r="D1006" i="3"/>
  <c r="D646" i="3"/>
  <c r="D286" i="3"/>
  <c r="D1365" i="3"/>
  <c r="D1005" i="3"/>
  <c r="D645" i="3"/>
  <c r="D285" i="3"/>
  <c r="D1364" i="3"/>
  <c r="D1004" i="3"/>
  <c r="D644" i="3"/>
  <c r="D284" i="3"/>
  <c r="D1363" i="3"/>
  <c r="D1003" i="3"/>
  <c r="D643" i="3"/>
  <c r="D283" i="3"/>
  <c r="D1362" i="3"/>
  <c r="D1002" i="3"/>
  <c r="D642" i="3"/>
  <c r="D282" i="3"/>
  <c r="D1361" i="3"/>
  <c r="D1001" i="3"/>
  <c r="D641" i="3"/>
  <c r="D281" i="3"/>
  <c r="D1360" i="3"/>
  <c r="D1000" i="3"/>
  <c r="D640" i="3"/>
  <c r="D280" i="3"/>
  <c r="D1359" i="3"/>
  <c r="D999" i="3"/>
  <c r="D639" i="3"/>
  <c r="D279" i="3"/>
  <c r="D1358" i="3"/>
  <c r="D998" i="3"/>
  <c r="D638" i="3"/>
  <c r="D278" i="3"/>
  <c r="D1357" i="3"/>
  <c r="D997" i="3"/>
  <c r="D637" i="3"/>
  <c r="D277" i="3"/>
  <c r="D1356" i="3"/>
  <c r="D996" i="3"/>
  <c r="D636" i="3"/>
  <c r="D276" i="3"/>
  <c r="D1355" i="3"/>
  <c r="D995" i="3"/>
  <c r="D635" i="3"/>
  <c r="D275" i="3"/>
  <c r="D1354" i="3"/>
  <c r="D994" i="3"/>
  <c r="D634" i="3"/>
  <c r="D274" i="3"/>
  <c r="D1353" i="3"/>
  <c r="D993" i="3"/>
  <c r="D633" i="3"/>
  <c r="D273" i="3"/>
  <c r="D1352" i="3"/>
  <c r="D992" i="3"/>
  <c r="D632" i="3"/>
  <c r="D272" i="3"/>
  <c r="D1351" i="3"/>
  <c r="D991" i="3"/>
  <c r="D631" i="3"/>
  <c r="D271" i="3"/>
  <c r="D1350" i="3"/>
  <c r="D990" i="3"/>
  <c r="D630" i="3"/>
  <c r="D270" i="3"/>
  <c r="D1349" i="3"/>
  <c r="D989" i="3"/>
  <c r="D629" i="3"/>
  <c r="D269" i="3"/>
  <c r="D1348" i="3"/>
  <c r="D988" i="3"/>
  <c r="D628" i="3"/>
  <c r="D268" i="3"/>
  <c r="D1347" i="3"/>
  <c r="D987" i="3"/>
  <c r="D627" i="3"/>
  <c r="D267" i="3"/>
  <c r="D1346" i="3"/>
  <c r="D986" i="3"/>
  <c r="D626" i="3"/>
  <c r="D266" i="3"/>
  <c r="D1345" i="3"/>
  <c r="D985" i="3"/>
  <c r="D625" i="3"/>
  <c r="D265" i="3"/>
  <c r="D1344" i="3"/>
  <c r="D984" i="3"/>
  <c r="D624" i="3"/>
  <c r="D264" i="3"/>
  <c r="D1343" i="3"/>
  <c r="D983" i="3"/>
  <c r="D623" i="3"/>
  <c r="D263" i="3"/>
  <c r="D1342" i="3"/>
  <c r="D982" i="3"/>
  <c r="D622" i="3"/>
  <c r="D262" i="3"/>
  <c r="D1341" i="3"/>
  <c r="D981" i="3"/>
  <c r="D621" i="3"/>
  <c r="D261" i="3"/>
  <c r="D1340" i="3"/>
  <c r="D980" i="3"/>
  <c r="D620" i="3"/>
  <c r="D260" i="3"/>
  <c r="D1339" i="3"/>
  <c r="D979" i="3"/>
  <c r="D619" i="3"/>
  <c r="D259" i="3"/>
  <c r="D1338" i="3"/>
  <c r="D978" i="3"/>
  <c r="D618" i="3"/>
  <c r="D258" i="3"/>
  <c r="D1337" i="3"/>
  <c r="D977" i="3"/>
  <c r="D617" i="3"/>
  <c r="D257" i="3"/>
  <c r="D1336" i="3"/>
  <c r="D976" i="3"/>
  <c r="D616" i="3"/>
  <c r="D256" i="3"/>
  <c r="D1335" i="3"/>
  <c r="D975" i="3"/>
  <c r="D615" i="3"/>
  <c r="D255" i="3"/>
  <c r="D1334" i="3"/>
  <c r="D974" i="3"/>
  <c r="D614" i="3"/>
  <c r="D254" i="3"/>
  <c r="D1333" i="3"/>
  <c r="D973" i="3"/>
  <c r="D613" i="3"/>
  <c r="D253" i="3"/>
  <c r="D1332" i="3"/>
  <c r="D972" i="3"/>
  <c r="D612" i="3"/>
  <c r="D252" i="3"/>
  <c r="D1331" i="3"/>
  <c r="D971" i="3"/>
  <c r="D611" i="3"/>
  <c r="D251" i="3"/>
  <c r="D1330" i="3"/>
  <c r="D970" i="3"/>
  <c r="D610" i="3"/>
  <c r="D250" i="3"/>
  <c r="D1329" i="3"/>
  <c r="D969" i="3"/>
  <c r="D609" i="3"/>
  <c r="D249" i="3"/>
  <c r="D1328" i="3"/>
  <c r="D968" i="3"/>
  <c r="D608" i="3"/>
  <c r="D248" i="3"/>
  <c r="D1327" i="3"/>
  <c r="D967" i="3"/>
  <c r="D607" i="3"/>
  <c r="D247" i="3"/>
  <c r="D1326" i="3"/>
  <c r="D966" i="3"/>
  <c r="D606" i="3"/>
  <c r="D246" i="3"/>
  <c r="D1325" i="3"/>
  <c r="D965" i="3"/>
  <c r="D605" i="3"/>
  <c r="D245" i="3"/>
  <c r="D1324" i="3"/>
  <c r="D964" i="3"/>
  <c r="D604" i="3"/>
  <c r="D244" i="3"/>
  <c r="D1323" i="3"/>
  <c r="D963" i="3"/>
  <c r="D603" i="3"/>
  <c r="D243" i="3"/>
  <c r="D1322" i="3"/>
  <c r="D962" i="3"/>
  <c r="D602" i="3"/>
  <c r="D242" i="3"/>
  <c r="D1321" i="3"/>
  <c r="D961" i="3"/>
  <c r="D601" i="3"/>
  <c r="D241" i="3"/>
  <c r="D1320" i="3"/>
  <c r="D960" i="3"/>
  <c r="D600" i="3"/>
  <c r="D240" i="3"/>
  <c r="D1319" i="3"/>
  <c r="D959" i="3"/>
  <c r="D599" i="3"/>
  <c r="D239" i="3"/>
  <c r="D1318" i="3"/>
  <c r="D958" i="3"/>
  <c r="D598" i="3"/>
  <c r="D238" i="3"/>
  <c r="D1317" i="3"/>
  <c r="D957" i="3"/>
  <c r="D597" i="3"/>
  <c r="D237" i="3"/>
  <c r="D1316" i="3"/>
  <c r="D956" i="3"/>
  <c r="D596" i="3"/>
  <c r="D236" i="3"/>
  <c r="D1315" i="3"/>
  <c r="D955" i="3"/>
  <c r="D595" i="3"/>
  <c r="D235" i="3"/>
  <c r="D1314" i="3"/>
  <c r="D954" i="3"/>
  <c r="D594" i="3"/>
  <c r="D234" i="3"/>
  <c r="D1313" i="3"/>
  <c r="D953" i="3"/>
  <c r="D593" i="3"/>
  <c r="D233" i="3"/>
  <c r="D1312" i="3"/>
  <c r="D952" i="3"/>
  <c r="D592" i="3"/>
  <c r="D232" i="3"/>
  <c r="D1311" i="3"/>
  <c r="D951" i="3"/>
  <c r="D591" i="3"/>
  <c r="D231" i="3"/>
  <c r="D1310" i="3"/>
  <c r="D950" i="3"/>
  <c r="D590" i="3"/>
  <c r="D230" i="3"/>
  <c r="D1309" i="3"/>
  <c r="D949" i="3"/>
  <c r="D589" i="3"/>
  <c r="D229" i="3"/>
  <c r="D1308" i="3"/>
  <c r="D948" i="3"/>
  <c r="D588" i="3"/>
  <c r="D228" i="3"/>
  <c r="D1307" i="3"/>
  <c r="D947" i="3"/>
  <c r="D587" i="3"/>
  <c r="D227" i="3"/>
  <c r="D1306" i="3"/>
  <c r="D946" i="3"/>
  <c r="D586" i="3"/>
  <c r="D226" i="3"/>
  <c r="D1305" i="3"/>
  <c r="D945" i="3"/>
  <c r="D585" i="3"/>
  <c r="D225" i="3"/>
  <c r="D1304" i="3"/>
  <c r="D944" i="3"/>
  <c r="D584" i="3"/>
  <c r="D224" i="3"/>
  <c r="D1303" i="3"/>
  <c r="D943" i="3"/>
  <c r="D583" i="3"/>
  <c r="D223" i="3"/>
  <c r="D1302" i="3"/>
  <c r="D942" i="3"/>
  <c r="D582" i="3"/>
  <c r="D222" i="3"/>
  <c r="D1301" i="3"/>
  <c r="D941" i="3"/>
  <c r="D581" i="3"/>
  <c r="D221" i="3"/>
  <c r="D1300" i="3"/>
  <c r="D940" i="3"/>
  <c r="D580" i="3"/>
  <c r="D220" i="3"/>
  <c r="D1299" i="3"/>
  <c r="D939" i="3"/>
  <c r="D579" i="3"/>
  <c r="D219" i="3"/>
  <c r="D1298" i="3"/>
  <c r="D938" i="3"/>
  <c r="D578" i="3"/>
  <c r="D218" i="3"/>
  <c r="D1297" i="3"/>
  <c r="D937" i="3"/>
  <c r="D577" i="3"/>
  <c r="D217" i="3"/>
  <c r="D1296" i="3"/>
  <c r="D936" i="3"/>
  <c r="D576" i="3"/>
  <c r="D216" i="3"/>
  <c r="D1295" i="3"/>
  <c r="D935" i="3"/>
  <c r="D575" i="3"/>
  <c r="D215" i="3"/>
  <c r="D1294" i="3"/>
  <c r="D934" i="3"/>
  <c r="D574" i="3"/>
  <c r="D214" i="3"/>
  <c r="D1293" i="3"/>
  <c r="D933" i="3"/>
  <c r="D573" i="3"/>
  <c r="D213" i="3"/>
  <c r="D1292" i="3"/>
  <c r="D932" i="3"/>
  <c r="D572" i="3"/>
  <c r="D212" i="3"/>
  <c r="D1291" i="3"/>
  <c r="D931" i="3"/>
  <c r="D571" i="3"/>
  <c r="D211" i="3"/>
  <c r="D1290" i="3"/>
  <c r="D930" i="3"/>
  <c r="D570" i="3"/>
  <c r="D210" i="3"/>
  <c r="D1289" i="3"/>
  <c r="D929" i="3"/>
  <c r="D569" i="3"/>
  <c r="D209" i="3"/>
  <c r="D1288" i="3"/>
  <c r="D928" i="3"/>
  <c r="D568" i="3"/>
  <c r="D208" i="3"/>
  <c r="D1287" i="3"/>
  <c r="D927" i="3"/>
  <c r="D567" i="3"/>
  <c r="D207" i="3"/>
  <c r="D1286" i="3"/>
  <c r="D926" i="3"/>
  <c r="D566" i="3"/>
  <c r="D206" i="3"/>
  <c r="D1285" i="3"/>
  <c r="D925" i="3"/>
  <c r="D565" i="3"/>
  <c r="D205" i="3"/>
  <c r="D1284" i="3"/>
  <c r="D924" i="3"/>
  <c r="D564" i="3"/>
  <c r="D204" i="3"/>
  <c r="D1283" i="3"/>
  <c r="D923" i="3"/>
  <c r="D563" i="3"/>
  <c r="D203" i="3"/>
  <c r="D1282" i="3"/>
  <c r="D922" i="3"/>
  <c r="D562" i="3"/>
  <c r="D202" i="3"/>
  <c r="D1281" i="3"/>
  <c r="D921" i="3"/>
  <c r="D561" i="3"/>
  <c r="D201" i="3"/>
  <c r="D1280" i="3"/>
  <c r="D920" i="3"/>
  <c r="D560" i="3"/>
  <c r="D200" i="3"/>
  <c r="D1279" i="3"/>
  <c r="D919" i="3"/>
  <c r="D559" i="3"/>
  <c r="D199" i="3"/>
  <c r="D1278" i="3"/>
  <c r="D918" i="3"/>
  <c r="D558" i="3"/>
  <c r="D198" i="3"/>
  <c r="D1277" i="3"/>
  <c r="D917" i="3"/>
  <c r="D557" i="3"/>
  <c r="D197" i="3"/>
  <c r="D1276" i="3"/>
  <c r="D916" i="3"/>
  <c r="D556" i="3"/>
  <c r="D196" i="3"/>
  <c r="D1275" i="3"/>
  <c r="D915" i="3"/>
  <c r="D555" i="3"/>
  <c r="D195" i="3"/>
  <c r="D1274" i="3"/>
  <c r="D914" i="3"/>
  <c r="D554" i="3"/>
  <c r="D194" i="3"/>
  <c r="D1273" i="3"/>
  <c r="D913" i="3"/>
  <c r="D553" i="3"/>
  <c r="D193" i="3"/>
  <c r="D1272" i="3"/>
  <c r="D912" i="3"/>
  <c r="D552" i="3"/>
  <c r="D192" i="3"/>
  <c r="D1271" i="3"/>
  <c r="D911" i="3"/>
  <c r="D551" i="3"/>
  <c r="D191" i="3"/>
  <c r="D1270" i="3"/>
  <c r="D910" i="3"/>
  <c r="D550" i="3"/>
  <c r="D190" i="3"/>
  <c r="D1269" i="3"/>
  <c r="D909" i="3"/>
  <c r="D549" i="3"/>
  <c r="D189" i="3"/>
  <c r="D1268" i="3"/>
  <c r="D908" i="3"/>
  <c r="D548" i="3"/>
  <c r="D188" i="3"/>
  <c r="D1267" i="3"/>
  <c r="D907" i="3"/>
  <c r="D547" i="3"/>
  <c r="D187" i="3"/>
  <c r="D1266" i="3"/>
  <c r="D906" i="3"/>
  <c r="D546" i="3"/>
  <c r="D186" i="3"/>
  <c r="D1265" i="3"/>
  <c r="D905" i="3"/>
  <c r="D545" i="3"/>
  <c r="D185" i="3"/>
  <c r="D1264" i="3"/>
  <c r="D904" i="3"/>
  <c r="D544" i="3"/>
  <c r="D184" i="3"/>
  <c r="D1263" i="3"/>
  <c r="D903" i="3"/>
  <c r="D543" i="3"/>
  <c r="D183" i="3"/>
  <c r="D1262" i="3"/>
  <c r="D902" i="3"/>
  <c r="D542" i="3"/>
  <c r="D182" i="3"/>
  <c r="D1261" i="3"/>
  <c r="D901" i="3"/>
  <c r="D541" i="3"/>
  <c r="D181" i="3"/>
  <c r="D1260" i="3"/>
  <c r="D900" i="3"/>
  <c r="D540" i="3"/>
  <c r="D180" i="3"/>
  <c r="D1259" i="3"/>
  <c r="D899" i="3"/>
  <c r="D539" i="3"/>
  <c r="D179" i="3"/>
  <c r="D1258" i="3"/>
  <c r="D898" i="3"/>
  <c r="D538" i="3"/>
  <c r="D178" i="3"/>
  <c r="D1257" i="3"/>
  <c r="D897" i="3"/>
  <c r="D537" i="3"/>
  <c r="D177" i="3"/>
  <c r="D1256" i="3"/>
  <c r="D896" i="3"/>
  <c r="D536" i="3"/>
  <c r="D176" i="3"/>
  <c r="D1255" i="3"/>
  <c r="D895" i="3"/>
  <c r="D535" i="3"/>
  <c r="D175" i="3"/>
  <c r="D1254" i="3"/>
  <c r="D894" i="3"/>
  <c r="D534" i="3"/>
  <c r="D174" i="3"/>
  <c r="D1253" i="3"/>
  <c r="D893" i="3"/>
  <c r="D533" i="3"/>
  <c r="D173" i="3"/>
  <c r="D1252" i="3"/>
  <c r="D892" i="3"/>
  <c r="D532" i="3"/>
  <c r="D172" i="3"/>
  <c r="D1251" i="3"/>
  <c r="D891" i="3"/>
  <c r="D531" i="3"/>
  <c r="D171" i="3"/>
  <c r="D1250" i="3"/>
  <c r="D890" i="3"/>
  <c r="D530" i="3"/>
  <c r="D170" i="3"/>
  <c r="D1249" i="3"/>
  <c r="D889" i="3"/>
  <c r="D529" i="3"/>
  <c r="D169" i="3"/>
  <c r="D1248" i="3"/>
  <c r="D888" i="3"/>
  <c r="D528" i="3"/>
  <c r="D168" i="3"/>
  <c r="D1247" i="3"/>
  <c r="D887" i="3"/>
  <c r="D527" i="3"/>
  <c r="D167" i="3"/>
  <c r="D1246" i="3"/>
  <c r="D886" i="3"/>
  <c r="D526" i="3"/>
  <c r="D166" i="3"/>
  <c r="D1245" i="3"/>
  <c r="D885" i="3"/>
  <c r="D525" i="3"/>
  <c r="D165" i="3"/>
  <c r="D1244" i="3"/>
  <c r="D884" i="3"/>
  <c r="D524" i="3"/>
  <c r="D164" i="3"/>
  <c r="D1243" i="3"/>
  <c r="D883" i="3"/>
  <c r="D523" i="3"/>
  <c r="D163" i="3"/>
  <c r="D1242" i="3"/>
  <c r="D882" i="3"/>
  <c r="D522" i="3"/>
  <c r="D162" i="3"/>
  <c r="D1241" i="3"/>
  <c r="D521" i="3"/>
  <c r="D161" i="3"/>
  <c r="D1240" i="3"/>
  <c r="D520" i="3"/>
  <c r="D160" i="3"/>
  <c r="D1239" i="3"/>
  <c r="D519" i="3"/>
  <c r="D159" i="3"/>
  <c r="D1238" i="3"/>
  <c r="D518" i="3"/>
  <c r="D158" i="3"/>
  <c r="D1237" i="3"/>
  <c r="D517" i="3"/>
  <c r="D157" i="3"/>
  <c r="D1236" i="3"/>
  <c r="D516" i="3"/>
  <c r="D156" i="3"/>
  <c r="D1235" i="3"/>
  <c r="D515" i="3"/>
  <c r="D155" i="3"/>
  <c r="D1234" i="3"/>
  <c r="D514" i="3"/>
  <c r="D154" i="3"/>
  <c r="D1233" i="3"/>
  <c r="D513" i="3"/>
  <c r="D153" i="3"/>
  <c r="D1232" i="3"/>
  <c r="D512" i="3"/>
  <c r="D152" i="3"/>
  <c r="D1231" i="3"/>
  <c r="D511" i="3"/>
  <c r="D151" i="3"/>
  <c r="D1230" i="3"/>
  <c r="D510" i="3"/>
  <c r="D150" i="3"/>
  <c r="D1229" i="3"/>
  <c r="D509" i="3"/>
  <c r="D149" i="3"/>
  <c r="D1228" i="3"/>
  <c r="D508" i="3"/>
  <c r="D148" i="3"/>
  <c r="D1227" i="3"/>
  <c r="D507" i="3"/>
  <c r="D147" i="3"/>
  <c r="D1226" i="3"/>
  <c r="D506" i="3"/>
  <c r="D146" i="3"/>
  <c r="D1225" i="3"/>
  <c r="D505" i="3"/>
  <c r="D145" i="3"/>
  <c r="D1224" i="3"/>
  <c r="D504" i="3"/>
  <c r="D144" i="3"/>
  <c r="D1223" i="3"/>
  <c r="D503" i="3"/>
  <c r="D143" i="3"/>
  <c r="D1222" i="3"/>
  <c r="D502" i="3"/>
  <c r="D142" i="3"/>
  <c r="D1221" i="3"/>
  <c r="D501" i="3"/>
  <c r="D141" i="3"/>
  <c r="D1220" i="3"/>
  <c r="D500" i="3"/>
  <c r="D140" i="3"/>
  <c r="D1219" i="3"/>
  <c r="D499" i="3"/>
  <c r="D139" i="3"/>
  <c r="D1218" i="3"/>
  <c r="D498" i="3"/>
  <c r="D138" i="3"/>
  <c r="D1217" i="3"/>
  <c r="D497" i="3"/>
  <c r="D137" i="3"/>
  <c r="D1216" i="3"/>
  <c r="D496" i="3"/>
  <c r="D136" i="3"/>
  <c r="D1215" i="3"/>
  <c r="D495" i="3"/>
  <c r="D135" i="3"/>
  <c r="D1214" i="3"/>
  <c r="D494" i="3"/>
  <c r="D134" i="3"/>
  <c r="D1213" i="3"/>
  <c r="D493" i="3"/>
  <c r="D133" i="3"/>
  <c r="D1212" i="3"/>
  <c r="D492" i="3"/>
  <c r="D132" i="3"/>
  <c r="D1211" i="3"/>
  <c r="D491" i="3"/>
  <c r="D131" i="3"/>
  <c r="D1210" i="3"/>
  <c r="D490" i="3"/>
  <c r="D130" i="3"/>
  <c r="D1209" i="3"/>
  <c r="D489" i="3"/>
  <c r="D129" i="3"/>
  <c r="D1208" i="3"/>
  <c r="D488" i="3"/>
  <c r="D128" i="3"/>
  <c r="D1207" i="3"/>
  <c r="D487" i="3"/>
  <c r="D127" i="3"/>
  <c r="D1206" i="3"/>
  <c r="D486" i="3"/>
  <c r="D126" i="3"/>
  <c r="D1205" i="3"/>
  <c r="D485" i="3"/>
  <c r="D125" i="3"/>
  <c r="D1204" i="3"/>
  <c r="D484" i="3"/>
  <c r="D124" i="3"/>
  <c r="D1203" i="3"/>
  <c r="D483" i="3"/>
  <c r="D123" i="3"/>
  <c r="D1202" i="3"/>
  <c r="D482" i="3"/>
  <c r="D122" i="3"/>
  <c r="D1201" i="3"/>
  <c r="D481" i="3"/>
  <c r="D121" i="3"/>
  <c r="D1200" i="3"/>
  <c r="D480" i="3"/>
  <c r="D120" i="3"/>
  <c r="D1199" i="3"/>
  <c r="D479" i="3"/>
  <c r="D119" i="3"/>
  <c r="D1198" i="3"/>
  <c r="D478" i="3"/>
  <c r="D118" i="3"/>
  <c r="D1197" i="3"/>
  <c r="D477" i="3"/>
  <c r="D117" i="3"/>
  <c r="D1196" i="3"/>
  <c r="D476" i="3"/>
  <c r="D116" i="3"/>
  <c r="D1195" i="3"/>
  <c r="D475" i="3"/>
  <c r="D115" i="3"/>
  <c r="D1194" i="3"/>
  <c r="D474" i="3"/>
  <c r="D114" i="3"/>
  <c r="D1193" i="3"/>
  <c r="D473" i="3"/>
  <c r="D113" i="3"/>
  <c r="D1192" i="3"/>
  <c r="D472" i="3"/>
  <c r="D112" i="3"/>
  <c r="D1191" i="3"/>
  <c r="D471" i="3"/>
  <c r="D111" i="3"/>
  <c r="D1190" i="3"/>
  <c r="D470" i="3"/>
  <c r="D110" i="3"/>
  <c r="D1189" i="3"/>
  <c r="D469" i="3"/>
  <c r="D109" i="3"/>
  <c r="D1188" i="3"/>
  <c r="D468" i="3"/>
  <c r="D108" i="3"/>
  <c r="D1187" i="3"/>
  <c r="D467" i="3"/>
  <c r="D107" i="3"/>
  <c r="D1186" i="3"/>
  <c r="D466" i="3"/>
  <c r="D106" i="3"/>
  <c r="D1185" i="3"/>
  <c r="D465" i="3"/>
  <c r="D105" i="3"/>
  <c r="D1184" i="3"/>
  <c r="D464" i="3"/>
  <c r="D104" i="3"/>
  <c r="D1183" i="3"/>
  <c r="D463" i="3"/>
  <c r="D103" i="3"/>
  <c r="D1182" i="3"/>
  <c r="D462" i="3"/>
  <c r="D102" i="3"/>
  <c r="D1181" i="3"/>
  <c r="D461" i="3"/>
  <c r="D101" i="3"/>
  <c r="D1180" i="3"/>
  <c r="D460" i="3"/>
  <c r="D100" i="3"/>
  <c r="D1179" i="3"/>
  <c r="D459" i="3"/>
  <c r="D99" i="3"/>
  <c r="D1178" i="3"/>
  <c r="D458" i="3"/>
  <c r="D98" i="3"/>
  <c r="D1177" i="3"/>
  <c r="D457" i="3"/>
  <c r="D97" i="3"/>
  <c r="D1176" i="3"/>
  <c r="D456" i="3"/>
  <c r="D96" i="3"/>
  <c r="D1175" i="3"/>
  <c r="D455" i="3"/>
  <c r="D95" i="3"/>
  <c r="D1174" i="3"/>
  <c r="D454" i="3"/>
  <c r="D94" i="3"/>
  <c r="D1173" i="3"/>
  <c r="D453" i="3"/>
  <c r="D93" i="3"/>
  <c r="D1172" i="3"/>
  <c r="D452" i="3"/>
  <c r="D92" i="3"/>
  <c r="D1171" i="3"/>
  <c r="D451" i="3"/>
  <c r="D91" i="3"/>
  <c r="D1170" i="3"/>
  <c r="D450" i="3"/>
  <c r="D90" i="3"/>
  <c r="D1169" i="3"/>
  <c r="D449" i="3"/>
  <c r="D89" i="3"/>
  <c r="D1168" i="3"/>
  <c r="D448" i="3"/>
  <c r="D88" i="3"/>
  <c r="D1167" i="3"/>
  <c r="D447" i="3"/>
  <c r="D87" i="3"/>
  <c r="D1166" i="3"/>
  <c r="D446" i="3"/>
  <c r="D86" i="3"/>
  <c r="D1165" i="3"/>
  <c r="D445" i="3"/>
  <c r="D85" i="3"/>
  <c r="D1164" i="3"/>
  <c r="D444" i="3"/>
  <c r="D84" i="3"/>
  <c r="D1163" i="3"/>
  <c r="D443" i="3"/>
  <c r="D83" i="3"/>
  <c r="D1162" i="3"/>
  <c r="D442" i="3"/>
  <c r="D82" i="3"/>
  <c r="D1161" i="3"/>
  <c r="D441" i="3"/>
  <c r="D81" i="3"/>
  <c r="D1160" i="3"/>
  <c r="D440" i="3"/>
  <c r="D80" i="3"/>
  <c r="D1159" i="3"/>
  <c r="D439" i="3"/>
  <c r="D79" i="3"/>
  <c r="D1158" i="3"/>
  <c r="D438" i="3"/>
  <c r="D78" i="3"/>
  <c r="D1157" i="3"/>
  <c r="D437" i="3"/>
  <c r="D77" i="3"/>
  <c r="D1156" i="3"/>
  <c r="D436" i="3"/>
  <c r="D76" i="3"/>
  <c r="D1155" i="3"/>
  <c r="D435" i="3"/>
  <c r="D75" i="3"/>
  <c r="D1154" i="3"/>
  <c r="D434" i="3"/>
  <c r="D74" i="3"/>
  <c r="D1153" i="3"/>
  <c r="D433" i="3"/>
  <c r="D73" i="3"/>
  <c r="D1152" i="3"/>
  <c r="D432" i="3"/>
  <c r="D72" i="3"/>
  <c r="D1151" i="3"/>
  <c r="D431" i="3"/>
  <c r="D71" i="3"/>
  <c r="D1150" i="3"/>
  <c r="D430" i="3"/>
  <c r="D70" i="3"/>
  <c r="D1149" i="3"/>
  <c r="D429" i="3"/>
  <c r="D69" i="3"/>
  <c r="D1148" i="3"/>
  <c r="D428" i="3"/>
  <c r="D68" i="3"/>
  <c r="D1147" i="3"/>
  <c r="D427" i="3"/>
  <c r="D67" i="3"/>
  <c r="D1146" i="3"/>
  <c r="D426" i="3"/>
  <c r="D66" i="3"/>
  <c r="D1145" i="3"/>
  <c r="D425" i="3"/>
  <c r="D65" i="3"/>
  <c r="D1144" i="3"/>
  <c r="D424" i="3"/>
  <c r="D64" i="3"/>
  <c r="D1143" i="3"/>
  <c r="D423" i="3"/>
  <c r="D63" i="3"/>
  <c r="D1142" i="3"/>
  <c r="D422" i="3"/>
  <c r="D62" i="3"/>
  <c r="D1141" i="3"/>
  <c r="D421" i="3"/>
  <c r="D61" i="3"/>
  <c r="D1140" i="3"/>
  <c r="D420" i="3"/>
  <c r="D60" i="3"/>
  <c r="D1139" i="3"/>
  <c r="D419" i="3"/>
  <c r="D59" i="3"/>
  <c r="D1138" i="3"/>
  <c r="D418" i="3"/>
  <c r="D58" i="3"/>
  <c r="D1137" i="3"/>
  <c r="D417" i="3"/>
  <c r="D57" i="3"/>
  <c r="D1136" i="3"/>
  <c r="D416" i="3"/>
  <c r="D56" i="3"/>
  <c r="D1135" i="3"/>
  <c r="D415" i="3"/>
  <c r="D55" i="3"/>
  <c r="D1134" i="3"/>
  <c r="D414" i="3"/>
  <c r="D54" i="3"/>
  <c r="D1133" i="3"/>
  <c r="D413" i="3"/>
  <c r="D53" i="3"/>
  <c r="D1132" i="3"/>
  <c r="D412" i="3"/>
  <c r="D52" i="3"/>
  <c r="D1131" i="3"/>
  <c r="D771" i="3"/>
  <c r="D411" i="3"/>
  <c r="D51" i="3"/>
  <c r="D1130" i="3"/>
  <c r="D770" i="3"/>
  <c r="D410" i="3"/>
  <c r="D50" i="3"/>
  <c r="D1129" i="3"/>
  <c r="D769" i="3"/>
  <c r="D409" i="3"/>
  <c r="D49" i="3"/>
  <c r="D1128" i="3"/>
  <c r="D768" i="3"/>
  <c r="D408" i="3"/>
  <c r="D48" i="3"/>
  <c r="D1127" i="3"/>
  <c r="D767" i="3"/>
  <c r="D407" i="3"/>
  <c r="D47" i="3"/>
  <c r="D1126" i="3"/>
  <c r="D766" i="3"/>
  <c r="D406" i="3"/>
  <c r="D46" i="3"/>
  <c r="D1125" i="3"/>
  <c r="D765" i="3"/>
  <c r="D405" i="3"/>
  <c r="D45" i="3"/>
  <c r="D1124" i="3"/>
  <c r="D764" i="3"/>
  <c r="D404" i="3"/>
  <c r="D44" i="3"/>
  <c r="D1123" i="3"/>
  <c r="D763" i="3"/>
  <c r="D403" i="3"/>
  <c r="D43" i="3"/>
  <c r="D1122" i="3"/>
  <c r="D762" i="3"/>
  <c r="D402" i="3"/>
  <c r="D42" i="3"/>
  <c r="D1121" i="3"/>
  <c r="D761" i="3"/>
  <c r="D401" i="3"/>
  <c r="D41" i="3"/>
  <c r="D1120" i="3"/>
  <c r="D760" i="3"/>
  <c r="D400" i="3"/>
  <c r="D40" i="3"/>
  <c r="D1119" i="3"/>
  <c r="D759" i="3"/>
  <c r="D399" i="3"/>
  <c r="D39" i="3"/>
  <c r="D1118" i="3"/>
  <c r="D758" i="3"/>
  <c r="D398" i="3"/>
  <c r="D38" i="3"/>
  <c r="D1117" i="3"/>
  <c r="D757" i="3"/>
  <c r="D397" i="3"/>
  <c r="D37" i="3"/>
  <c r="D1116" i="3"/>
  <c r="D756" i="3"/>
  <c r="D396" i="3"/>
  <c r="D36" i="3"/>
  <c r="D1115" i="3"/>
  <c r="D755" i="3"/>
  <c r="D395" i="3"/>
  <c r="D35" i="3"/>
  <c r="D1114" i="3"/>
  <c r="D754" i="3"/>
  <c r="D394" i="3"/>
  <c r="D34" i="3"/>
  <c r="D1113" i="3"/>
  <c r="D753" i="3"/>
  <c r="D393" i="3"/>
  <c r="D33" i="3"/>
  <c r="D1112" i="3"/>
  <c r="D752" i="3"/>
  <c r="D392" i="3"/>
  <c r="D32" i="3"/>
  <c r="D1111" i="3"/>
  <c r="D751" i="3"/>
  <c r="D391" i="3"/>
  <c r="D31" i="3"/>
  <c r="D1110" i="3"/>
  <c r="D750" i="3"/>
  <c r="D390" i="3"/>
  <c r="D30" i="3"/>
  <c r="D1109" i="3"/>
  <c r="D749" i="3"/>
  <c r="D389" i="3"/>
  <c r="D29" i="3"/>
  <c r="D1108" i="3"/>
  <c r="D748" i="3"/>
  <c r="D388" i="3"/>
  <c r="D28" i="3"/>
  <c r="D1107" i="3"/>
  <c r="D747" i="3"/>
  <c r="D387" i="3"/>
  <c r="D27" i="3"/>
  <c r="D1106" i="3"/>
  <c r="D746" i="3"/>
  <c r="D386" i="3"/>
  <c r="D26" i="3"/>
  <c r="D1105" i="3"/>
  <c r="D745" i="3"/>
  <c r="D385" i="3"/>
  <c r="D25" i="3"/>
  <c r="D1104" i="3"/>
  <c r="D744" i="3"/>
  <c r="D384" i="3"/>
  <c r="D24" i="3"/>
  <c r="D1103" i="3"/>
  <c r="D743" i="3"/>
  <c r="D383" i="3"/>
  <c r="D23" i="3"/>
  <c r="D1102" i="3"/>
  <c r="D742" i="3"/>
  <c r="D382" i="3"/>
  <c r="D22" i="3"/>
  <c r="D1101" i="3"/>
  <c r="D741" i="3"/>
  <c r="D381" i="3"/>
  <c r="D21" i="3"/>
  <c r="D1100" i="3"/>
  <c r="D740" i="3"/>
  <c r="D380" i="3"/>
  <c r="D20" i="3"/>
  <c r="D1099" i="3"/>
  <c r="D739" i="3"/>
  <c r="D379" i="3"/>
  <c r="D19" i="3"/>
  <c r="D1098" i="3"/>
  <c r="D738" i="3"/>
  <c r="D378" i="3"/>
  <c r="D18" i="3"/>
  <c r="D1097" i="3"/>
  <c r="D737" i="3"/>
  <c r="D377" i="3"/>
  <c r="D17" i="3"/>
  <c r="D1096" i="3"/>
  <c r="D736" i="3"/>
  <c r="D376" i="3"/>
  <c r="D16" i="3"/>
  <c r="D1095" i="3"/>
  <c r="D735" i="3"/>
  <c r="D375" i="3"/>
  <c r="D15" i="3"/>
  <c r="D1094" i="3"/>
  <c r="D734" i="3"/>
  <c r="D374" i="3"/>
  <c r="D14" i="3"/>
  <c r="D1093" i="3"/>
  <c r="D733" i="3"/>
  <c r="D373" i="3"/>
  <c r="D13" i="3"/>
  <c r="D1092" i="3"/>
  <c r="D732" i="3"/>
  <c r="D372" i="3"/>
  <c r="D12" i="3"/>
  <c r="D1091" i="3"/>
  <c r="D731" i="3"/>
  <c r="D371" i="3"/>
  <c r="D11" i="3"/>
  <c r="D1090" i="3"/>
  <c r="D730" i="3"/>
  <c r="D370" i="3"/>
  <c r="D10" i="3"/>
  <c r="D1089" i="3"/>
  <c r="D729" i="3"/>
  <c r="D369" i="3"/>
  <c r="D9" i="3"/>
  <c r="D1088" i="3"/>
  <c r="D728" i="3"/>
  <c r="D368" i="3"/>
  <c r="D8" i="3"/>
  <c r="D1087" i="3"/>
  <c r="D727" i="3"/>
  <c r="D367" i="3"/>
  <c r="D7" i="3"/>
  <c r="D1086" i="3"/>
  <c r="D726" i="3"/>
  <c r="D366" i="3"/>
  <c r="D6" i="3"/>
  <c r="D1085" i="3"/>
  <c r="D725" i="3"/>
  <c r="D365" i="3"/>
  <c r="D5" i="3"/>
  <c r="D1084" i="3"/>
  <c r="D724" i="3"/>
  <c r="D364" i="3"/>
  <c r="D4" i="3"/>
  <c r="D1083" i="3"/>
  <c r="D723" i="3"/>
  <c r="D363" i="3"/>
  <c r="D3" i="3"/>
  <c r="D1082" i="3"/>
  <c r="D722" i="3"/>
  <c r="D362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tc={128CEE6C-3A73-48D6-A8D5-53CD649C4A2E}</author>
    <author>tc={8BC4B2AC-A116-8A4F-BE52-7FC8FA7DBE87}</author>
    <author>tc={6328F9C2-8A6E-9048-9B64-F1CDEA2C85C7}</author>
    <author>tc={76A19FDA-561E-4314-927D-963C99B81498}</author>
    <author>tc={673A2F03-2B42-4A45-9E69-8F72E1CB266D}</author>
    <author>tc={2F549177-543E-4C78-9A5D-539A63944778}</author>
    <author>tc={98344CC6-E00F-48DF-863E-538B86DF4FAC}</author>
    <author>tc={80C2EAB0-995A-934A-9AFF-2C1EFE49BC86}</author>
    <author>tc={EF5BC14A-92CD-CA43-B73F-6A37D57A9506}</author>
    <author>tc={96435ABF-53D4-4D71-AD71-6EBCC6C637F4}</author>
    <author>tc={76E5748E-F53E-4BB1-8002-E925EE371BB8}</author>
    <author>tc={30AF19EF-63AE-3D41-AD49-9794F99B9D5D}</author>
    <author>tc={20AFAF06-9DB2-1945-B461-46A9A068650C}</author>
    <author>tc={7A7023D1-C493-D34F-A6D8-3091CBF9CFA3}</author>
    <author>tc={01CF727D-D0F3-9D4A-84B5-DF8604CF749A}</author>
    <author>tc={51906D79-1C1F-FB49-963C-8761B3454F6B}</author>
    <author>tc={E855E71B-DB38-7F43-BADD-5A874B5864F1}</author>
    <author>tc={EB8E58B8-D3EE-5F4E-A93C-4FA5D824CC1F}</author>
    <author>tc={28748DF5-62DB-9848-B5B4-D80C735C1946}</author>
    <author>tc={C5F7982E-62F8-6849-8E7C-F6B346565C05}</author>
    <author>tc={DF712539-43CD-B04B-95BF-571CD316F576}</author>
    <author>tc={407D54FF-28A0-4F40-9A36-0660D8BCA634}</author>
    <author>tc={08A6BCD1-5719-4B16-AB76-F4A8ABF2BD5C}</author>
    <author>tc={04FA923D-7171-914A-961E-361A993DD49D}</author>
    <author>tc={A646E559-AA6B-4C14-BC73-BF1913D40AC8}</author>
    <author>tc={0B3823EE-E7F4-457C-A92C-6EE8ECA0602B}</author>
    <author>tc={CD0EB051-217B-594B-A1A4-74D4069AC8CD}</author>
    <author>tc={0A963B1C-8EF7-4C12-98D9-06F37E25A65E}</author>
  </authors>
  <commentList>
    <comment ref="J1" authorId="0" shapeId="0" xr:uid="{128CEE6C-3A73-48D6-A8D5-53CD649C4A2E}">
      <text>
        <t>[Threaded comment]
Your version of Excel allows you to read this threaded comment; however, any edits to it will get removed if the file is opened in a newer version of Excel. Learn more: https://go.microsoft.com/fwlink/?linkid=870924
Comment:
    Light blue means the data is checked and ready for further analyses</t>
      </text>
    </comment>
    <comment ref="M94" authorId="1" shapeId="0" xr:uid="{8BC4B2AC-A116-8A4F-BE52-7FC8FA7D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actually tray 90?
Reply:
    moved to 90</t>
      </text>
    </comment>
    <comment ref="K106" authorId="2" shapeId="0" xr:uid="{6328F9C2-8A6E-9048-9B64-F1CDEA2C85C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86 and 87 be switched here? @GUHA, SOHINI</t>
      </text>
    </comment>
    <comment ref="K204" authorId="3" shapeId="0" xr:uid="{76A19FDA-561E-4314-927D-963C99B814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M205" authorId="4" shapeId="0" xr:uid="{673A2F03-2B42-4A45-9E69-8F72E1CB266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whole string looks like it might be offset by one</t>
      </text>
    </comment>
    <comment ref="J266" authorId="5" shapeId="0" xr:uid="{2F549177-543E-4C78-9A5D-539A63944778}">
      <text>
        <t>[Threaded comment]
Your version of Excel allows you to read this threaded comment; however, any edits to it will get removed if the file is opened in a newer version of Excel. Learn more: https://go.microsoft.com/fwlink/?linkid=870924
Comment:
    NA?</t>
      </text>
    </comment>
    <comment ref="J338" authorId="6" shapeId="0" xr:uid="{98344CC6-E00F-48DF-863E-538B86DF4F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 with NA?
Reply:
    Yes!</t>
      </text>
    </comment>
    <comment ref="J362" authorId="7" shapeId="0" xr:uid="{80C2EAB0-995A-934A-9AFF-2C1EFE49BC8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these move down by one?
Reply:
    @Burghardt, Liana T yes you are right
Reply:
    I am moving them one down. @Burghardt, Liana T</t>
      </text>
    </comment>
    <comment ref="N397" authorId="8" shapeId="0" xr:uid="{EF5BC14A-92CD-CA43-B73F-6A37D57A950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look weird to me! Could the 30 be for the plant below and there was swap?</t>
      </text>
    </comment>
    <comment ref="M476" authorId="9" shapeId="0" xr:uid="{96435ABF-53D4-4D71-AD71-6EBCC6C637F4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actually tray 90?</t>
      </text>
    </comment>
    <comment ref="N542" authorId="10" shapeId="0" xr:uid="{76E5748E-F53E-4BB1-8002-E925EE371BB8}">
      <text>
        <t>[Threaded comment]
Your version of Excel allows you to read this threaded comment; however, any edits to it will get removed if the file is opened in a newer version of Excel. Learn more: https://go.microsoft.com/fwlink/?linkid=870924
Comment:
    have checked this...this strain has a low reading.
Reply:
    file 2 appended readings (note to self)</t>
      </text>
    </comment>
    <comment ref="M543" authorId="11" shapeId="0" xr:uid="{30AF19EF-63AE-3D41-AD49-9794F99B9D5D}">
      <text>
        <t>[Threaded comment]
Your version of Excel allows you to read this threaded comment; however, any edits to it will get removed if the file is opened in a newer version of Excel. Learn more: https://go.microsoft.com/fwlink/?linkid=870924
Comment:
    @GUHA, SOHINI I think your readings get offset by one here! I think the 1 was entered twice accidentally.</t>
      </text>
    </comment>
    <comment ref="M744" authorId="12" shapeId="0" xr:uid="{20AFAF06-9DB2-1945-B461-46A9A06865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Still seems a bit wonky</t>
      </text>
    </comment>
    <comment ref="N744" authorId="13" shapeId="0" xr:uid="{7A7023D1-C493-D34F-A6D8-3091CBF9CF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seems odd to me… This plant clearly survived. I think your day 5 value might need to be turned to NA.</t>
      </text>
    </comment>
    <comment ref="K757" authorId="14" shapeId="0" xr:uid="{01CF727D-D0F3-9D4A-84B5-DF8604CF749A}">
      <text>
        <t>[Threaded comment]
Your version of Excel allows you to read this threaded comment; however, any edits to it will get removed if the file is opened in a newer version of Excel. Learn more: https://go.microsoft.com/fwlink/?linkid=870924
Comment:
    ?</t>
      </text>
    </comment>
    <comment ref="W783" authorId="15" shapeId="0" xr:uid="{51906D79-1C1F-FB49-963C-8761B3454F6B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are these highlighted samples?</t>
      </text>
    </comment>
    <comment ref="J855" authorId="16" shapeId="0" xr:uid="{E855E71B-DB38-7F43-BADD-5A874B5864F1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these move down by one?
Reply:
    @Burghardt, Liana T yes you are right</t>
      </text>
    </comment>
    <comment ref="N867" authorId="17" shapeId="0" xr:uid="{EB8E58B8-D3EE-5F4E-A93C-4FA5D824CC1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day 5 value is super different than the other ones. Maybe cross refrerence with biomass? I know you double checked day five…</t>
      </text>
    </comment>
    <comment ref="R908" authorId="18" shapeId="0" xr:uid="{28748DF5-62DB-9848-B5B4-D80C735C194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why arrows are appearing in this cell and below?</t>
      </text>
    </comment>
    <comment ref="N931" authorId="19" shapeId="0" xr:uid="{C5F7982E-62F8-6849-8E7C-F6B346565C05}">
      <text>
        <t>[Threaded comment]
Your version of Excel allows you to read this threaded comment; however, any edits to it will get removed if the file is opened in a newer version of Excel. Learn more: https://go.microsoft.com/fwlink/?linkid=870924
Comment:
    trajectory seems odd.</t>
      </text>
    </comment>
    <comment ref="J971" authorId="20" shapeId="0" xr:uid="{DF712539-43CD-B04B-95BF-571CD316F57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two are wonky</t>
      </text>
    </comment>
    <comment ref="M981" authorId="21" shapeId="0" xr:uid="{407D54FF-28A0-4F40-9A36-0660D8BCA634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this be tray 84? Basically it seems like based on the patterns 84 and 85 might be swaped? 
Reply:
    yes. it seems so.</t>
      </text>
    </comment>
    <comment ref="J1238" authorId="22" shapeId="0" xr:uid="{08A6BCD1-5719-4B16-AB76-F4A8ABF2BD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shifted cells down by 1 </t>
      </text>
    </comment>
    <comment ref="K1245" authorId="23" shapeId="0" xr:uid="{04FA923D-7171-914A-961E-361A993DD49D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this be tray 85?
Reply:
    Shifted</t>
      </text>
    </comment>
    <comment ref="J1335" authorId="24" shapeId="0" xr:uid="{A646E559-AA6B-4C14-BC73-BF1913D40AC8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one col down to allign the 1s</t>
      </text>
    </comment>
    <comment ref="N1420" authorId="25" shapeId="0" xr:uid="{0B3823EE-E7F4-457C-A92C-6EE8ECA0602B}">
      <text>
        <t>[Threaded comment]
Your version of Excel allows you to read this threaded comment; however, any edits to it will get removed if the file is opened in a newer version of Excel. Learn more: https://go.microsoft.com/fwlink/?linkid=870924
Comment:
    harvested</t>
      </text>
    </comment>
    <comment ref="H1443" authorId="26" shapeId="0" xr:uid="{CD0EB051-217B-594B-A1A4-74D4069AC8CD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check with envelopes. this one looks alive and we have a nodule picture!</t>
      </text>
    </comment>
    <comment ref="J1451" authorId="27" shapeId="0" xr:uid="{0A963B1C-8EF7-4C12-98D9-06F37E25A65E}">
      <text>
        <t>[Threaded comment]
Your version of Excel allows you to read this threaded comment; however, any edits to it will get removed if the file is opened in a newer version of Excel. Learn more: https://go.microsoft.com/fwlink/?linkid=870924
Comment:
    NA?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<sst xmlns="http://schemas.openxmlformats.org/spreadsheetml/2006/main" count="28363" uniqueCount="3617">
  <si>
    <t>Variable</t>
  </si>
  <si>
    <t>Description</t>
  </si>
  <si>
    <t>Chloro_avg</t>
  </si>
  <si>
    <t>Average chlorophyll measurements across 5 days. Unit is chlorophyll content index (CCI: the ratio of transmittance at 931 nm to 653 nm)</t>
  </si>
  <si>
    <t>Strain</t>
  </si>
  <si>
    <t>Variety</t>
  </si>
  <si>
    <t>Rep</t>
  </si>
  <si>
    <t>Label</t>
  </si>
  <si>
    <t>Tray</t>
  </si>
  <si>
    <t>Slot</t>
  </si>
  <si>
    <t>Location</t>
  </si>
  <si>
    <t>Harvest_dead
Y=confirmed both 
NP=no shoots
NR=no roots</t>
  </si>
  <si>
    <t>Plantarea_3weeks_cm^2</t>
  </si>
  <si>
    <t>Chloro_1</t>
  </si>
  <si>
    <t>Chloro_2</t>
  </si>
  <si>
    <t>Chloro_3</t>
  </si>
  <si>
    <t>Chloro_4</t>
  </si>
  <si>
    <t>Chloro_5</t>
  </si>
  <si>
    <t>Chloro_check</t>
  </si>
  <si>
    <t>Rootweight_g</t>
  </si>
  <si>
    <t>Shootweight_g</t>
  </si>
  <si>
    <t>Nodule_LOBED</t>
  </si>
  <si>
    <t>Nodule_UN_Lobed</t>
  </si>
  <si>
    <t>Nodule_Picker</t>
  </si>
  <si>
    <t>Morphology</t>
  </si>
  <si>
    <t>NOTES</t>
  </si>
  <si>
    <t>001</t>
  </si>
  <si>
    <t>S</t>
  </si>
  <si>
    <t>a</t>
  </si>
  <si>
    <t>A</t>
  </si>
  <si>
    <t>15-A</t>
  </si>
  <si>
    <t>EMB</t>
  </si>
  <si>
    <t>Mucoid</t>
  </si>
  <si>
    <t>V</t>
  </si>
  <si>
    <t>C</t>
  </si>
  <si>
    <t>18-C</t>
  </si>
  <si>
    <t>O</t>
  </si>
  <si>
    <t>19-C</t>
  </si>
  <si>
    <t>b</t>
  </si>
  <si>
    <t>B</t>
  </si>
  <si>
    <t>38-B</t>
  </si>
  <si>
    <t>I</t>
  </si>
  <si>
    <t>50-I</t>
  </si>
  <si>
    <t>E</t>
  </si>
  <si>
    <t>63-E</t>
  </si>
  <si>
    <t>c</t>
  </si>
  <si>
    <t>95-C</t>
  </si>
  <si>
    <t>SVG</t>
  </si>
  <si>
    <t>102-A</t>
  </si>
  <si>
    <t>F</t>
  </si>
  <si>
    <t>107-F</t>
  </si>
  <si>
    <t>LTB</t>
  </si>
  <si>
    <t>d</t>
  </si>
  <si>
    <t>115-C</t>
  </si>
  <si>
    <t>ELP</t>
  </si>
  <si>
    <t>116-C</t>
  </si>
  <si>
    <t>Y</t>
  </si>
  <si>
    <t>NA</t>
  </si>
  <si>
    <t>120-C</t>
  </si>
  <si>
    <t>002</t>
  </si>
  <si>
    <t>4-F</t>
  </si>
  <si>
    <t>AS</t>
  </si>
  <si>
    <t>12-F</t>
  </si>
  <si>
    <t>H</t>
  </si>
  <si>
    <t>25-H</t>
  </si>
  <si>
    <t>39-H</t>
  </si>
  <si>
    <t>64-F</t>
  </si>
  <si>
    <t>DEAD</t>
  </si>
  <si>
    <t>J</t>
  </si>
  <si>
    <t>66-J</t>
  </si>
  <si>
    <t>D</t>
  </si>
  <si>
    <t>84-D</t>
  </si>
  <si>
    <t>MAG</t>
  </si>
  <si>
    <t>99-A</t>
  </si>
  <si>
    <t>101-I</t>
  </si>
  <si>
    <t>111-D</t>
  </si>
  <si>
    <t>118-J</t>
  </si>
  <si>
    <t>137-I</t>
  </si>
  <si>
    <t>LTN</t>
  </si>
  <si>
    <t>003</t>
  </si>
  <si>
    <t>31-J</t>
  </si>
  <si>
    <t>34-J</t>
  </si>
  <si>
    <t>G</t>
  </si>
  <si>
    <t>36-G</t>
  </si>
  <si>
    <t>45-C</t>
  </si>
  <si>
    <t>JEH</t>
  </si>
  <si>
    <t>49-I</t>
  </si>
  <si>
    <t>57-A</t>
  </si>
  <si>
    <t>100-J</t>
  </si>
  <si>
    <t>105-F</t>
  </si>
  <si>
    <t>107-H</t>
  </si>
  <si>
    <t>115-I</t>
  </si>
  <si>
    <t>134-I</t>
  </si>
  <si>
    <t>141-A</t>
  </si>
  <si>
    <t>004</t>
  </si>
  <si>
    <t>14-C</t>
  </si>
  <si>
    <t>20-E</t>
  </si>
  <si>
    <t>24-F</t>
  </si>
  <si>
    <t>51-D</t>
  </si>
  <si>
    <t>58-C</t>
  </si>
  <si>
    <t>66-H</t>
  </si>
  <si>
    <t>87-F</t>
  </si>
  <si>
    <t>88-D</t>
  </si>
  <si>
    <t>91-B</t>
  </si>
  <si>
    <t>113-E</t>
  </si>
  <si>
    <t>126-F</t>
  </si>
  <si>
    <t>128-F</t>
  </si>
  <si>
    <t>005</t>
  </si>
  <si>
    <t>8-F</t>
  </si>
  <si>
    <t>14-G</t>
  </si>
  <si>
    <t>17-I</t>
  </si>
  <si>
    <t>44-D</t>
  </si>
  <si>
    <t>71-C</t>
  </si>
  <si>
    <t>71-F</t>
  </si>
  <si>
    <t>73-B</t>
  </si>
  <si>
    <t>91-G</t>
  </si>
  <si>
    <t>96-B</t>
  </si>
  <si>
    <t>111-F</t>
  </si>
  <si>
    <t>116-J</t>
  </si>
  <si>
    <t>122-I</t>
  </si>
  <si>
    <t>006</t>
  </si>
  <si>
    <t>18-J</t>
  </si>
  <si>
    <t>20-C</t>
  </si>
  <si>
    <t>23-C</t>
  </si>
  <si>
    <t>51-H</t>
  </si>
  <si>
    <t>57-H</t>
  </si>
  <si>
    <t>70-G</t>
  </si>
  <si>
    <t>75-A</t>
  </si>
  <si>
    <t>JUS</t>
  </si>
  <si>
    <t>80-B</t>
  </si>
  <si>
    <t>101-H</t>
  </si>
  <si>
    <t>128-B</t>
  </si>
  <si>
    <t>129-H</t>
  </si>
  <si>
    <t>131-J</t>
  </si>
  <si>
    <t>007</t>
  </si>
  <si>
    <t>11-A</t>
  </si>
  <si>
    <t>19-B</t>
  </si>
  <si>
    <t>20-A</t>
  </si>
  <si>
    <t>37-C</t>
  </si>
  <si>
    <t>57-G</t>
  </si>
  <si>
    <t>2 plants written on shoots envelope</t>
  </si>
  <si>
    <t>61-F</t>
  </si>
  <si>
    <t>83-A</t>
  </si>
  <si>
    <t>87-E</t>
  </si>
  <si>
    <t>108-F</t>
  </si>
  <si>
    <t>125-E</t>
  </si>
  <si>
    <t>132-H</t>
  </si>
  <si>
    <t>NR</t>
  </si>
  <si>
    <t>No roots in envelope</t>
  </si>
  <si>
    <t>141-G</t>
  </si>
  <si>
    <t>008</t>
  </si>
  <si>
    <t>1-H</t>
  </si>
  <si>
    <t>12-I</t>
  </si>
  <si>
    <t>31-A</t>
  </si>
  <si>
    <t>51-G</t>
  </si>
  <si>
    <t>55-J</t>
  </si>
  <si>
    <t>68-F</t>
  </si>
  <si>
    <t>79-J</t>
  </si>
  <si>
    <t>82-C</t>
  </si>
  <si>
    <t>89-A</t>
  </si>
  <si>
    <t>116-I</t>
  </si>
  <si>
    <t>123-G</t>
  </si>
  <si>
    <t>Missing shoot envelope</t>
  </si>
  <si>
    <t>139-D</t>
  </si>
  <si>
    <t>009</t>
  </si>
  <si>
    <t>1-A</t>
  </si>
  <si>
    <t>5-F</t>
  </si>
  <si>
    <t>27-B</t>
  </si>
  <si>
    <t>Very little plant</t>
  </si>
  <si>
    <t>42-F</t>
  </si>
  <si>
    <t>44-B</t>
  </si>
  <si>
    <t>57-F</t>
  </si>
  <si>
    <t>83-I</t>
  </si>
  <si>
    <t>84-B</t>
  </si>
  <si>
    <t>86-A</t>
  </si>
  <si>
    <t>123-H</t>
  </si>
  <si>
    <t>127-G</t>
  </si>
  <si>
    <t>132-C</t>
  </si>
  <si>
    <t>010</t>
  </si>
  <si>
    <t>8-H</t>
  </si>
  <si>
    <t>21-D</t>
  </si>
  <si>
    <t>22-H</t>
  </si>
  <si>
    <t>48-B</t>
  </si>
  <si>
    <t>66-I</t>
  </si>
  <si>
    <t>67-C</t>
  </si>
  <si>
    <t>91-C</t>
  </si>
  <si>
    <t>101-G</t>
  </si>
  <si>
    <t>104-F</t>
  </si>
  <si>
    <t>110-B</t>
  </si>
  <si>
    <t>125-G</t>
  </si>
  <si>
    <t>125-I</t>
  </si>
  <si>
    <t>011</t>
  </si>
  <si>
    <t>18-D</t>
  </si>
  <si>
    <t>25-A</t>
  </si>
  <si>
    <t>28-B</t>
  </si>
  <si>
    <t>42-G</t>
  </si>
  <si>
    <t>46-I</t>
  </si>
  <si>
    <t>54-J</t>
  </si>
  <si>
    <t>78-H</t>
  </si>
  <si>
    <t>84-H</t>
  </si>
  <si>
    <t>87-B</t>
  </si>
  <si>
    <t>115-B</t>
  </si>
  <si>
    <t>130-B</t>
  </si>
  <si>
    <t>134-J</t>
  </si>
  <si>
    <t>012</t>
  </si>
  <si>
    <t>9-H</t>
  </si>
  <si>
    <t>24-B</t>
  </si>
  <si>
    <t>35-I</t>
  </si>
  <si>
    <t xml:space="preserve"> </t>
  </si>
  <si>
    <t>45-H</t>
  </si>
  <si>
    <t>51-C</t>
  </si>
  <si>
    <t>61-H</t>
  </si>
  <si>
    <t>80-H</t>
  </si>
  <si>
    <t>89-D</t>
  </si>
  <si>
    <t>102-H</t>
  </si>
  <si>
    <t>118-I</t>
  </si>
  <si>
    <t>124-A</t>
  </si>
  <si>
    <t xml:space="preserve">LTB </t>
  </si>
  <si>
    <t>131-I</t>
  </si>
  <si>
    <t>013</t>
  </si>
  <si>
    <t>16-E</t>
  </si>
  <si>
    <t>29-J</t>
  </si>
  <si>
    <t>33-G</t>
  </si>
  <si>
    <t>49-F</t>
  </si>
  <si>
    <t>57-J</t>
  </si>
  <si>
    <t>61-I</t>
  </si>
  <si>
    <t>85-J</t>
  </si>
  <si>
    <t>88-H</t>
  </si>
  <si>
    <t>97-G</t>
  </si>
  <si>
    <t>117-D</t>
  </si>
  <si>
    <t>132-A</t>
  </si>
  <si>
    <t>142-E</t>
  </si>
  <si>
    <t>014</t>
  </si>
  <si>
    <t>23-B</t>
  </si>
  <si>
    <t>23-G</t>
  </si>
  <si>
    <t>33-H</t>
  </si>
  <si>
    <t>46-A</t>
  </si>
  <si>
    <t>47-E</t>
  </si>
  <si>
    <t>55-A</t>
  </si>
  <si>
    <t>103-I</t>
  </si>
  <si>
    <t>106-A</t>
  </si>
  <si>
    <t>108-A</t>
  </si>
  <si>
    <t>109-G</t>
  </si>
  <si>
    <t>111-A</t>
  </si>
  <si>
    <t>138-E</t>
  </si>
  <si>
    <t>015</t>
  </si>
  <si>
    <t>1-C</t>
  </si>
  <si>
    <t>18-F</t>
  </si>
  <si>
    <t>19-E</t>
  </si>
  <si>
    <t>62-I</t>
  </si>
  <si>
    <t>68-A</t>
  </si>
  <si>
    <t>69-C</t>
  </si>
  <si>
    <t>83-H</t>
  </si>
  <si>
    <t>94-H</t>
  </si>
  <si>
    <t>100-C</t>
  </si>
  <si>
    <t>123-B</t>
  </si>
  <si>
    <t>127-B</t>
  </si>
  <si>
    <t>139-G</t>
  </si>
  <si>
    <t>016</t>
  </si>
  <si>
    <t>3-B</t>
  </si>
  <si>
    <t>GMF</t>
  </si>
  <si>
    <t>25-E</t>
  </si>
  <si>
    <t>28-G</t>
  </si>
  <si>
    <t>53-H</t>
  </si>
  <si>
    <t>54-E</t>
  </si>
  <si>
    <t>69-H</t>
  </si>
  <si>
    <t>75-F</t>
  </si>
  <si>
    <t>89-C</t>
  </si>
  <si>
    <t>99-G</t>
  </si>
  <si>
    <t>121-A</t>
  </si>
  <si>
    <t>126-G</t>
  </si>
  <si>
    <t>127-F</t>
  </si>
  <si>
    <t>017</t>
  </si>
  <si>
    <t>8-E</t>
  </si>
  <si>
    <t>This shouldn't have a plant based on chloro and picture. Should it be 8-G? EB- roots envelope says 8-E: Confirmed Dead</t>
  </si>
  <si>
    <t>22-D</t>
  </si>
  <si>
    <t>35-H</t>
  </si>
  <si>
    <t>52-G</t>
  </si>
  <si>
    <t>61-E</t>
  </si>
  <si>
    <t>62-G</t>
  </si>
  <si>
    <t>99-H</t>
  </si>
  <si>
    <t>105-J</t>
  </si>
  <si>
    <t>TWO ROOTS, BIGGER ONE CHOSEN</t>
  </si>
  <si>
    <t>107-I</t>
  </si>
  <si>
    <t>124-D</t>
  </si>
  <si>
    <t>134-A</t>
  </si>
  <si>
    <t>134-B</t>
  </si>
  <si>
    <t>018</t>
  </si>
  <si>
    <t>2-I</t>
  </si>
  <si>
    <t>23-E</t>
  </si>
  <si>
    <t>27-J</t>
  </si>
  <si>
    <t>58-I</t>
  </si>
  <si>
    <t>69-F</t>
  </si>
  <si>
    <t>70-J</t>
  </si>
  <si>
    <t>77-F</t>
  </si>
  <si>
    <t>79-D</t>
  </si>
  <si>
    <t>90-J</t>
  </si>
  <si>
    <t>112-C</t>
  </si>
  <si>
    <t>116-G</t>
  </si>
  <si>
    <t>124-E</t>
  </si>
  <si>
    <t>019</t>
  </si>
  <si>
    <t>3-E</t>
  </si>
  <si>
    <t>26-G</t>
  </si>
  <si>
    <t>30-H</t>
  </si>
  <si>
    <t>38-A</t>
  </si>
  <si>
    <t>68-E</t>
  </si>
  <si>
    <t>69-A</t>
  </si>
  <si>
    <t>76-A</t>
  </si>
  <si>
    <t>94-I</t>
  </si>
  <si>
    <t>104-B</t>
  </si>
  <si>
    <t>109-B</t>
  </si>
  <si>
    <t>120-G</t>
  </si>
  <si>
    <t>139-B</t>
  </si>
  <si>
    <t>020</t>
  </si>
  <si>
    <t>13-B</t>
  </si>
  <si>
    <t>16-F</t>
  </si>
  <si>
    <t>21-B</t>
  </si>
  <si>
    <t>43-C</t>
  </si>
  <si>
    <t>48-J</t>
  </si>
  <si>
    <t>66-B</t>
  </si>
  <si>
    <t>75-J</t>
  </si>
  <si>
    <t>84-F</t>
  </si>
  <si>
    <t>94-D</t>
  </si>
  <si>
    <t>115-F</t>
  </si>
  <si>
    <t>127-C</t>
  </si>
  <si>
    <t>129-I</t>
  </si>
  <si>
    <t>021</t>
  </si>
  <si>
    <t>5-E</t>
  </si>
  <si>
    <t>21-E</t>
  </si>
  <si>
    <t>29-D</t>
  </si>
  <si>
    <t>39-B</t>
  </si>
  <si>
    <t>56-H</t>
  </si>
  <si>
    <t>62-D</t>
  </si>
  <si>
    <t>73-I</t>
  </si>
  <si>
    <t>90-H</t>
  </si>
  <si>
    <t>99-I</t>
  </si>
  <si>
    <t>128-J</t>
  </si>
  <si>
    <t>131-B</t>
  </si>
  <si>
    <t>137-D</t>
  </si>
  <si>
    <t>022</t>
  </si>
  <si>
    <t>4-I</t>
  </si>
  <si>
    <t>15-B</t>
  </si>
  <si>
    <t>35-G</t>
  </si>
  <si>
    <t>42-B</t>
  </si>
  <si>
    <t>45-A</t>
  </si>
  <si>
    <t>54-B</t>
  </si>
  <si>
    <t>76-I</t>
  </si>
  <si>
    <t>81-J</t>
  </si>
  <si>
    <t>92-H</t>
  </si>
  <si>
    <t>110-C</t>
  </si>
  <si>
    <t>114-D</t>
  </si>
  <si>
    <t>122-B</t>
  </si>
  <si>
    <t>023</t>
  </si>
  <si>
    <t>7-C</t>
  </si>
  <si>
    <t>26-D</t>
  </si>
  <si>
    <t>32-A</t>
  </si>
  <si>
    <t>42-A</t>
  </si>
  <si>
    <t>45-B</t>
  </si>
  <si>
    <t>46-D</t>
  </si>
  <si>
    <t>75-H</t>
  </si>
  <si>
    <t>77-I</t>
  </si>
  <si>
    <t>78-G</t>
  </si>
  <si>
    <t>119-F</t>
  </si>
  <si>
    <t>135-C</t>
  </si>
  <si>
    <t>142-C</t>
  </si>
  <si>
    <t>024</t>
  </si>
  <si>
    <t>24-C</t>
  </si>
  <si>
    <t>27-I</t>
  </si>
  <si>
    <t>32-H</t>
  </si>
  <si>
    <t>49-E</t>
  </si>
  <si>
    <t>67-H</t>
  </si>
  <si>
    <t>71-A</t>
  </si>
  <si>
    <t>75-C</t>
  </si>
  <si>
    <t>81-C</t>
  </si>
  <si>
    <t>96-D</t>
  </si>
  <si>
    <t>109-J</t>
  </si>
  <si>
    <t>122-D</t>
  </si>
  <si>
    <t>132-B</t>
  </si>
  <si>
    <t>025</t>
  </si>
  <si>
    <t>19-J</t>
  </si>
  <si>
    <t>26-J</t>
  </si>
  <si>
    <t>33-J</t>
  </si>
  <si>
    <t>52-E</t>
  </si>
  <si>
    <t>53-B</t>
  </si>
  <si>
    <t>65-G</t>
  </si>
  <si>
    <t>98-B</t>
  </si>
  <si>
    <t>103-F</t>
  </si>
  <si>
    <t>106-F</t>
  </si>
  <si>
    <t>121-F</t>
  </si>
  <si>
    <t>133-J</t>
  </si>
  <si>
    <t>138-J</t>
  </si>
  <si>
    <t>026</t>
  </si>
  <si>
    <t>6-F</t>
  </si>
  <si>
    <t>25-I</t>
  </si>
  <si>
    <t>26-A</t>
  </si>
  <si>
    <t>44-C</t>
  </si>
  <si>
    <t>59-G</t>
  </si>
  <si>
    <t>67-G</t>
  </si>
  <si>
    <t>77-E</t>
  </si>
  <si>
    <t>102-B</t>
  </si>
  <si>
    <t>108-E</t>
  </si>
  <si>
    <t>116-F</t>
  </si>
  <si>
    <t>127-J</t>
  </si>
  <si>
    <t>137-H</t>
  </si>
  <si>
    <t>028</t>
  </si>
  <si>
    <t>3-I</t>
  </si>
  <si>
    <t>7-J</t>
  </si>
  <si>
    <t>29-G</t>
  </si>
  <si>
    <t>66-E</t>
  </si>
  <si>
    <t>67-A</t>
  </si>
  <si>
    <t>70-H</t>
  </si>
  <si>
    <t>74-D</t>
  </si>
  <si>
    <t>85-C</t>
  </si>
  <si>
    <t>102-C</t>
  </si>
  <si>
    <t>128-D</t>
  </si>
  <si>
    <t>130-I</t>
  </si>
  <si>
    <t>137-A</t>
  </si>
  <si>
    <t>029</t>
  </si>
  <si>
    <t>21-C</t>
  </si>
  <si>
    <t>33-B</t>
  </si>
  <si>
    <t>33-E</t>
  </si>
  <si>
    <t>38-C</t>
  </si>
  <si>
    <t>42-H</t>
  </si>
  <si>
    <t>62-A</t>
  </si>
  <si>
    <t>97-B</t>
  </si>
  <si>
    <t>100-H</t>
  </si>
  <si>
    <t>101-A</t>
  </si>
  <si>
    <t>110-E</t>
  </si>
  <si>
    <t>110-F</t>
  </si>
  <si>
    <t>125-F</t>
  </si>
  <si>
    <t>030</t>
  </si>
  <si>
    <t>11-I</t>
  </si>
  <si>
    <t>14-J</t>
  </si>
  <si>
    <t>30-B</t>
  </si>
  <si>
    <t>37-D</t>
  </si>
  <si>
    <t>39-F</t>
  </si>
  <si>
    <t>71-J</t>
  </si>
  <si>
    <t>82-A</t>
  </si>
  <si>
    <t>90-C</t>
  </si>
  <si>
    <t>106-J</t>
  </si>
  <si>
    <t>129-C</t>
  </si>
  <si>
    <t>141-F</t>
  </si>
  <si>
    <t>144-I</t>
  </si>
  <si>
    <t>031</t>
  </si>
  <si>
    <t>2-F</t>
  </si>
  <si>
    <t>3-C</t>
  </si>
  <si>
    <t>19-A</t>
  </si>
  <si>
    <t>39-C</t>
  </si>
  <si>
    <t>40-F</t>
  </si>
  <si>
    <t>66-F</t>
  </si>
  <si>
    <t>87-D</t>
  </si>
  <si>
    <t>88-J</t>
  </si>
  <si>
    <t>97-A</t>
  </si>
  <si>
    <t>121-H</t>
  </si>
  <si>
    <t>144-G</t>
  </si>
  <si>
    <t>144-H</t>
  </si>
  <si>
    <t>032</t>
  </si>
  <si>
    <t>6-C</t>
  </si>
  <si>
    <t>7-B</t>
  </si>
  <si>
    <t>35-D</t>
  </si>
  <si>
    <t>52-I</t>
  </si>
  <si>
    <t>60-J</t>
  </si>
  <si>
    <t>64-G</t>
  </si>
  <si>
    <t>86-C</t>
  </si>
  <si>
    <t>87-J</t>
  </si>
  <si>
    <t>91-I</t>
  </si>
  <si>
    <t>112-A</t>
  </si>
  <si>
    <t>115-H</t>
  </si>
  <si>
    <t>131-F</t>
  </si>
  <si>
    <t>033</t>
  </si>
  <si>
    <t>4-E</t>
  </si>
  <si>
    <t>10-H</t>
  </si>
  <si>
    <t>12-J</t>
  </si>
  <si>
    <t>53-E</t>
  </si>
  <si>
    <t>54-G</t>
  </si>
  <si>
    <t>58-G</t>
  </si>
  <si>
    <t>75-D</t>
  </si>
  <si>
    <t>82-G</t>
  </si>
  <si>
    <t>98-E</t>
  </si>
  <si>
    <t>133-D</t>
  </si>
  <si>
    <t>136-D</t>
  </si>
  <si>
    <t>144-A</t>
  </si>
  <si>
    <t>034</t>
  </si>
  <si>
    <t>2-C</t>
  </si>
  <si>
    <t>28-E</t>
  </si>
  <si>
    <t>36-E</t>
  </si>
  <si>
    <t>46-H</t>
  </si>
  <si>
    <t>50-F</t>
  </si>
  <si>
    <t>56-C</t>
  </si>
  <si>
    <t>98-F</t>
  </si>
  <si>
    <t>100-A</t>
  </si>
  <si>
    <t>103-J</t>
  </si>
  <si>
    <t>109-C</t>
  </si>
  <si>
    <t>113-D</t>
  </si>
  <si>
    <t>140-H</t>
  </si>
  <si>
    <t>035</t>
  </si>
  <si>
    <t>7-E</t>
  </si>
  <si>
    <t>11-G</t>
  </si>
  <si>
    <t>23-H</t>
  </si>
  <si>
    <t>41-J</t>
  </si>
  <si>
    <t>42-C</t>
  </si>
  <si>
    <t>44-F</t>
  </si>
  <si>
    <t>78-C</t>
  </si>
  <si>
    <t>80-D</t>
  </si>
  <si>
    <t>89-G</t>
  </si>
  <si>
    <t>109-F</t>
  </si>
  <si>
    <t>125-D</t>
  </si>
  <si>
    <t>135-B</t>
  </si>
  <si>
    <t>037</t>
  </si>
  <si>
    <t>2-D</t>
  </si>
  <si>
    <t>8-B</t>
  </si>
  <si>
    <t>35-C</t>
  </si>
  <si>
    <t>41-G</t>
  </si>
  <si>
    <t>Shoots envelope not found</t>
  </si>
  <si>
    <t>47-A</t>
  </si>
  <si>
    <t>60-I</t>
  </si>
  <si>
    <t>84-J</t>
  </si>
  <si>
    <t>DEAD - No root or shoot envelope found</t>
  </si>
  <si>
    <t>96-E</t>
  </si>
  <si>
    <t>98-C</t>
  </si>
  <si>
    <t>135-H</t>
  </si>
  <si>
    <t>136-H</t>
  </si>
  <si>
    <t>139-H</t>
  </si>
  <si>
    <t>038</t>
  </si>
  <si>
    <t>5-J</t>
  </si>
  <si>
    <t>10-I</t>
  </si>
  <si>
    <t>15-J</t>
  </si>
  <si>
    <t>50-A</t>
  </si>
  <si>
    <t>50-C</t>
  </si>
  <si>
    <t>64-E</t>
  </si>
  <si>
    <t>80-I</t>
  </si>
  <si>
    <t>98-G</t>
  </si>
  <si>
    <t>108-B</t>
  </si>
  <si>
    <t>114-H</t>
  </si>
  <si>
    <t>117-I</t>
  </si>
  <si>
    <t>142-A</t>
  </si>
  <si>
    <t>039</t>
  </si>
  <si>
    <t>5-G</t>
  </si>
  <si>
    <t>10-A</t>
  </si>
  <si>
    <t>27-H</t>
  </si>
  <si>
    <t>39-G</t>
  </si>
  <si>
    <t>65-A</t>
  </si>
  <si>
    <t>70-C</t>
  </si>
  <si>
    <t>81-E</t>
  </si>
  <si>
    <t>88-E</t>
  </si>
  <si>
    <t>105-I</t>
  </si>
  <si>
    <t>I SAW 1 VERY TINY NODULE WITH TWO LOBES; Very small shoot, I think its likely less than 0.001 grams</t>
  </si>
  <si>
    <t>117-B</t>
  </si>
  <si>
    <t>117-E</t>
  </si>
  <si>
    <t>133-I</t>
  </si>
  <si>
    <t>041</t>
  </si>
  <si>
    <t>3-D</t>
  </si>
  <si>
    <t>23-A</t>
  </si>
  <si>
    <t>2 plants in shoots envelope</t>
  </si>
  <si>
    <t>28-H</t>
  </si>
  <si>
    <t>38-G</t>
  </si>
  <si>
    <t>62-F</t>
  </si>
  <si>
    <t>69-G</t>
  </si>
  <si>
    <t>84-G</t>
  </si>
  <si>
    <t>94-G</t>
  </si>
  <si>
    <t>105-E</t>
  </si>
  <si>
    <t>122-H</t>
  </si>
  <si>
    <t>131-H</t>
  </si>
  <si>
    <t>138-C</t>
  </si>
  <si>
    <t>042</t>
  </si>
  <si>
    <t>2-E</t>
  </si>
  <si>
    <t>14-D</t>
  </si>
  <si>
    <t>25-G</t>
  </si>
  <si>
    <t>49-D</t>
  </si>
  <si>
    <t>57-D</t>
  </si>
  <si>
    <t>66-D</t>
  </si>
  <si>
    <t>74-C</t>
  </si>
  <si>
    <t>81-G</t>
  </si>
  <si>
    <t>84-I</t>
  </si>
  <si>
    <t>113-G</t>
  </si>
  <si>
    <t>141-D</t>
  </si>
  <si>
    <t>142-D</t>
  </si>
  <si>
    <t>043</t>
  </si>
  <si>
    <t>13-G</t>
  </si>
  <si>
    <t>17-J</t>
  </si>
  <si>
    <t>21-I</t>
  </si>
  <si>
    <t>54-I</t>
  </si>
  <si>
    <t>60-A</t>
  </si>
  <si>
    <t>68-D</t>
  </si>
  <si>
    <t>90-A</t>
  </si>
  <si>
    <t>91-A</t>
  </si>
  <si>
    <t>94-E</t>
  </si>
  <si>
    <t>116-B</t>
  </si>
  <si>
    <t>120-D</t>
  </si>
  <si>
    <t>128-G</t>
  </si>
  <si>
    <t>044</t>
  </si>
  <si>
    <t>16-D</t>
  </si>
  <si>
    <t>18-B</t>
  </si>
  <si>
    <t>19-D</t>
  </si>
  <si>
    <t>41-F</t>
  </si>
  <si>
    <t>43-I</t>
  </si>
  <si>
    <t>45-D</t>
  </si>
  <si>
    <t>81-H</t>
  </si>
  <si>
    <t>93-A</t>
  </si>
  <si>
    <t>97-F</t>
  </si>
  <si>
    <t>119-C</t>
  </si>
  <si>
    <t>119-J</t>
  </si>
  <si>
    <t>121-C</t>
  </si>
  <si>
    <t>045</t>
  </si>
  <si>
    <t>15-H</t>
  </si>
  <si>
    <t>16-J</t>
  </si>
  <si>
    <t>34-E</t>
  </si>
  <si>
    <t>40-J</t>
  </si>
  <si>
    <t>53-F</t>
  </si>
  <si>
    <t>61-D</t>
  </si>
  <si>
    <t>88-G</t>
  </si>
  <si>
    <t>95-B</t>
  </si>
  <si>
    <t>102-F</t>
  </si>
  <si>
    <t>113-H</t>
  </si>
  <si>
    <t>114-C</t>
  </si>
  <si>
    <t>125-J</t>
  </si>
  <si>
    <t>046</t>
  </si>
  <si>
    <t>12-G</t>
  </si>
  <si>
    <t>18-A</t>
  </si>
  <si>
    <t>23-I</t>
  </si>
  <si>
    <t>41-I</t>
  </si>
  <si>
    <t>45-I</t>
  </si>
  <si>
    <t>64-H</t>
  </si>
  <si>
    <t>76-F</t>
  </si>
  <si>
    <t>85-D</t>
  </si>
  <si>
    <t>97-C</t>
  </si>
  <si>
    <t>127-A</t>
  </si>
  <si>
    <t>131-C</t>
  </si>
  <si>
    <t>137-C</t>
  </si>
  <si>
    <t>047</t>
  </si>
  <si>
    <t>20-F</t>
  </si>
  <si>
    <t>24-A</t>
  </si>
  <si>
    <t>33-C</t>
  </si>
  <si>
    <t>52-F</t>
  </si>
  <si>
    <t>60-B</t>
  </si>
  <si>
    <t>69-I</t>
  </si>
  <si>
    <t>89-E</t>
  </si>
  <si>
    <t>98-D</t>
  </si>
  <si>
    <t>106-D</t>
  </si>
  <si>
    <t>121-I</t>
  </si>
  <si>
    <t>124-C</t>
  </si>
  <si>
    <t>144-D</t>
  </si>
  <si>
    <t>048</t>
  </si>
  <si>
    <t>12-D</t>
  </si>
  <si>
    <t>25-F</t>
  </si>
  <si>
    <t>27-G</t>
  </si>
  <si>
    <t>42-J</t>
  </si>
  <si>
    <t>68-B</t>
  </si>
  <si>
    <t>68-I</t>
  </si>
  <si>
    <t>76-C</t>
  </si>
  <si>
    <t>76-H</t>
  </si>
  <si>
    <t>83-J</t>
  </si>
  <si>
    <t>123-D</t>
  </si>
  <si>
    <t>130-F</t>
  </si>
  <si>
    <t>135-G</t>
  </si>
  <si>
    <t>049</t>
  </si>
  <si>
    <t>2-B</t>
  </si>
  <si>
    <t>6-A</t>
  </si>
  <si>
    <t>15-C</t>
  </si>
  <si>
    <t>37-J</t>
  </si>
  <si>
    <t>46-B</t>
  </si>
  <si>
    <t>52-H</t>
  </si>
  <si>
    <t>85-F</t>
  </si>
  <si>
    <t>88-I</t>
  </si>
  <si>
    <t>100-E</t>
  </si>
  <si>
    <t>117-F</t>
  </si>
  <si>
    <t>137-G</t>
  </si>
  <si>
    <t>140-B</t>
  </si>
  <si>
    <t>050</t>
  </si>
  <si>
    <t>14-H</t>
  </si>
  <si>
    <t>33-A</t>
  </si>
  <si>
    <t>34-H</t>
  </si>
  <si>
    <t>42-I</t>
  </si>
  <si>
    <t>55-C</t>
  </si>
  <si>
    <t>60-G</t>
  </si>
  <si>
    <t>76-G</t>
  </si>
  <si>
    <t>78-B</t>
  </si>
  <si>
    <t>79-A</t>
  </si>
  <si>
    <t>119-D</t>
  </si>
  <si>
    <t>128-C</t>
  </si>
  <si>
    <t>130-E</t>
  </si>
  <si>
    <t>052</t>
  </si>
  <si>
    <t>1-J</t>
  </si>
  <si>
    <t>11-D</t>
  </si>
  <si>
    <t>34-D</t>
  </si>
  <si>
    <t>47-B</t>
  </si>
  <si>
    <t>49-B</t>
  </si>
  <si>
    <t>67-I</t>
  </si>
  <si>
    <t>78-I</t>
  </si>
  <si>
    <t>82-E</t>
  </si>
  <si>
    <t>105-G</t>
  </si>
  <si>
    <t>123-J</t>
  </si>
  <si>
    <t>142-F</t>
  </si>
  <si>
    <t>143-A</t>
  </si>
  <si>
    <t>053</t>
  </si>
  <si>
    <t>10-D</t>
  </si>
  <si>
    <t>11-H</t>
  </si>
  <si>
    <t>27-E</t>
  </si>
  <si>
    <t>44-J</t>
  </si>
  <si>
    <t>Missing roots envelope</t>
  </si>
  <si>
    <t>55-D</t>
  </si>
  <si>
    <t>63-F</t>
  </si>
  <si>
    <t>74-A</t>
  </si>
  <si>
    <t>very hairy</t>
  </si>
  <si>
    <t>90-F</t>
  </si>
  <si>
    <t>92-B</t>
  </si>
  <si>
    <t>110-A</t>
  </si>
  <si>
    <t>126-E</t>
  </si>
  <si>
    <t>137-F</t>
  </si>
  <si>
    <t>054</t>
  </si>
  <si>
    <t>7-G</t>
  </si>
  <si>
    <t>19-I</t>
  </si>
  <si>
    <t>20-H</t>
  </si>
  <si>
    <t>55-E</t>
  </si>
  <si>
    <t>55-H</t>
  </si>
  <si>
    <t>63-G</t>
  </si>
  <si>
    <t>74-G</t>
  </si>
  <si>
    <t>83-B</t>
  </si>
  <si>
    <t>103-E</t>
  </si>
  <si>
    <t>109-I</t>
  </si>
  <si>
    <t>123-C</t>
  </si>
  <si>
    <t>131-D</t>
  </si>
  <si>
    <t>055</t>
  </si>
  <si>
    <t>7-A</t>
  </si>
  <si>
    <t>19-F</t>
  </si>
  <si>
    <t>32-J</t>
  </si>
  <si>
    <t>40-I</t>
  </si>
  <si>
    <t>46-F</t>
  </si>
  <si>
    <t>61-J</t>
  </si>
  <si>
    <t>91-E</t>
  </si>
  <si>
    <t>VERY TINY WHITE NODS</t>
  </si>
  <si>
    <t>92-J</t>
  </si>
  <si>
    <t>93-G</t>
  </si>
  <si>
    <t>111-J</t>
  </si>
  <si>
    <t>121-G</t>
  </si>
  <si>
    <t>129-J</t>
  </si>
  <si>
    <t>056</t>
  </si>
  <si>
    <t>14-I</t>
  </si>
  <si>
    <t>28-F</t>
  </si>
  <si>
    <t>36-C</t>
  </si>
  <si>
    <t>47-C</t>
  </si>
  <si>
    <t>47-G</t>
  </si>
  <si>
    <t>72-D</t>
  </si>
  <si>
    <t>80-A</t>
  </si>
  <si>
    <t>94-J</t>
  </si>
  <si>
    <t>103-G</t>
  </si>
  <si>
    <t>123-E</t>
  </si>
  <si>
    <t>140-F</t>
  </si>
  <si>
    <t>141-C</t>
  </si>
  <si>
    <t>057</t>
  </si>
  <si>
    <t>5-I</t>
  </si>
  <si>
    <t>17-B</t>
  </si>
  <si>
    <t>26-I</t>
  </si>
  <si>
    <t>46-J</t>
  </si>
  <si>
    <t>70-F</t>
  </si>
  <si>
    <t>72-I</t>
  </si>
  <si>
    <t>81-A</t>
  </si>
  <si>
    <t>83-G</t>
  </si>
  <si>
    <t>94-F</t>
  </si>
  <si>
    <t>110-H</t>
  </si>
  <si>
    <t>136-E</t>
  </si>
  <si>
    <t>138-F</t>
  </si>
  <si>
    <t>058</t>
  </si>
  <si>
    <t>20-I</t>
  </si>
  <si>
    <t>31-F</t>
  </si>
  <si>
    <t>31-G</t>
  </si>
  <si>
    <t>42-D</t>
  </si>
  <si>
    <t>53-C</t>
  </si>
  <si>
    <t>59-A</t>
  </si>
  <si>
    <t>92-F</t>
  </si>
  <si>
    <t>93-F</t>
  </si>
  <si>
    <t>107-G</t>
  </si>
  <si>
    <t>113-J</t>
  </si>
  <si>
    <t>133-H</t>
  </si>
  <si>
    <t>134-C</t>
  </si>
  <si>
    <t>059</t>
  </si>
  <si>
    <t>7-I</t>
  </si>
  <si>
    <t>15-G</t>
  </si>
  <si>
    <t>16-A</t>
  </si>
  <si>
    <t>50-D</t>
  </si>
  <si>
    <t>67-B</t>
  </si>
  <si>
    <t>71-I</t>
  </si>
  <si>
    <t>77-J</t>
  </si>
  <si>
    <t>79-C</t>
  </si>
  <si>
    <t>100-G</t>
  </si>
  <si>
    <t>114-F</t>
  </si>
  <si>
    <t>129-D</t>
  </si>
  <si>
    <t>143-G</t>
  </si>
  <si>
    <t>060</t>
  </si>
  <si>
    <t>9-G</t>
  </si>
  <si>
    <t>13-E</t>
  </si>
  <si>
    <t>22-I</t>
  </si>
  <si>
    <t>44-A</t>
  </si>
  <si>
    <t>48-A</t>
  </si>
  <si>
    <t>50-G</t>
  </si>
  <si>
    <t>89-F</t>
  </si>
  <si>
    <t>91-D</t>
  </si>
  <si>
    <t>91-H</t>
  </si>
  <si>
    <t>114-A</t>
  </si>
  <si>
    <t>118-E</t>
  </si>
  <si>
    <t>132-E</t>
  </si>
  <si>
    <t>062</t>
  </si>
  <si>
    <t>10-G</t>
  </si>
  <si>
    <t>11-J</t>
  </si>
  <si>
    <t>12-B</t>
  </si>
  <si>
    <t>37-B</t>
  </si>
  <si>
    <t>42-E</t>
  </si>
  <si>
    <t>72-G</t>
  </si>
  <si>
    <t>73-E</t>
  </si>
  <si>
    <t>104-I</t>
  </si>
  <si>
    <t>107-E</t>
  </si>
  <si>
    <t>116-D</t>
  </si>
  <si>
    <t>130-J</t>
  </si>
  <si>
    <t>142-B</t>
  </si>
  <si>
    <t>063</t>
  </si>
  <si>
    <t>1-E</t>
  </si>
  <si>
    <t>5-C</t>
  </si>
  <si>
    <t>33-D</t>
  </si>
  <si>
    <t>43-G</t>
  </si>
  <si>
    <t>45-G</t>
  </si>
  <si>
    <t>54-A</t>
  </si>
  <si>
    <t>95-F</t>
  </si>
  <si>
    <t>96-C</t>
  </si>
  <si>
    <t>105-D</t>
  </si>
  <si>
    <t>113-I</t>
  </si>
  <si>
    <t>133-G</t>
  </si>
  <si>
    <t>134-H</t>
  </si>
  <si>
    <t>064</t>
  </si>
  <si>
    <t>9-J</t>
  </si>
  <si>
    <t>17-C</t>
  </si>
  <si>
    <t>26-H</t>
  </si>
  <si>
    <t>54-C</t>
  </si>
  <si>
    <t>59-D</t>
  </si>
  <si>
    <t>72-H</t>
  </si>
  <si>
    <t>78-F</t>
  </si>
  <si>
    <t>89-H</t>
  </si>
  <si>
    <t>96-J</t>
  </si>
  <si>
    <t>112-I</t>
  </si>
  <si>
    <t>132-I</t>
  </si>
  <si>
    <t>134-G</t>
  </si>
  <si>
    <t>065</t>
  </si>
  <si>
    <t>1-I</t>
  </si>
  <si>
    <t>2-A</t>
  </si>
  <si>
    <t>3-G</t>
  </si>
  <si>
    <t>39-A</t>
  </si>
  <si>
    <t>56-E</t>
  </si>
  <si>
    <t>64-J</t>
  </si>
  <si>
    <t>77-D</t>
  </si>
  <si>
    <t>82-I</t>
  </si>
  <si>
    <t>108-H</t>
  </si>
  <si>
    <t>115-D</t>
  </si>
  <si>
    <t>135-F</t>
  </si>
  <si>
    <t>143-H</t>
  </si>
  <si>
    <t>067</t>
  </si>
  <si>
    <t>2-H</t>
  </si>
  <si>
    <t>15-F</t>
  </si>
  <si>
    <t>34-B</t>
  </si>
  <si>
    <t>38-E</t>
  </si>
  <si>
    <t>59-F</t>
  </si>
  <si>
    <t>64-B</t>
  </si>
  <si>
    <t>77-G</t>
  </si>
  <si>
    <t>85-G</t>
  </si>
  <si>
    <t>87-A</t>
  </si>
  <si>
    <t>110-G</t>
  </si>
  <si>
    <t>122-F</t>
  </si>
  <si>
    <t>126-H</t>
  </si>
  <si>
    <t>068</t>
  </si>
  <si>
    <t>8-G</t>
  </si>
  <si>
    <t>Measurements from 8-E was 8_G.This should have a plant based on chloro and picture. Should it be switched with 8-E? EB - no roots envelope for 8-G; Shoots envelope not found</t>
  </si>
  <si>
    <t>30-I</t>
  </si>
  <si>
    <t>33-F</t>
  </si>
  <si>
    <t>43-J</t>
  </si>
  <si>
    <t>44-E</t>
  </si>
  <si>
    <t>56-I</t>
  </si>
  <si>
    <t>73-G</t>
  </si>
  <si>
    <t>82-J</t>
  </si>
  <si>
    <t>86-F</t>
  </si>
  <si>
    <t>120-F</t>
  </si>
  <si>
    <t>130-C</t>
  </si>
  <si>
    <t>131-G</t>
  </si>
  <si>
    <t>069</t>
  </si>
  <si>
    <t>3-A</t>
  </si>
  <si>
    <t>10-F</t>
  </si>
  <si>
    <t>24-G</t>
  </si>
  <si>
    <t>47-J</t>
  </si>
  <si>
    <t>57-C</t>
  </si>
  <si>
    <t>58-A</t>
  </si>
  <si>
    <t>75-G</t>
  </si>
  <si>
    <t>86-D</t>
  </si>
  <si>
    <t>98-I</t>
  </si>
  <si>
    <t>109-E</t>
  </si>
  <si>
    <t>123-I</t>
  </si>
  <si>
    <t>126-B</t>
  </si>
  <si>
    <t>070</t>
  </si>
  <si>
    <t>13-H</t>
  </si>
  <si>
    <t>29-F</t>
  </si>
  <si>
    <t>32-D</t>
  </si>
  <si>
    <t>58-E</t>
  </si>
  <si>
    <t>58-J</t>
  </si>
  <si>
    <t>64-A</t>
  </si>
  <si>
    <t>94-A</t>
  </si>
  <si>
    <t>101-D</t>
  </si>
  <si>
    <t>108-J</t>
  </si>
  <si>
    <t>131-E</t>
  </si>
  <si>
    <t>132-D</t>
  </si>
  <si>
    <t>No shoots in envelope</t>
  </si>
  <si>
    <t>141-B</t>
  </si>
  <si>
    <t>071</t>
  </si>
  <si>
    <t>6-I</t>
  </si>
  <si>
    <t>14-B</t>
  </si>
  <si>
    <t>34-F</t>
  </si>
  <si>
    <t>55-I</t>
  </si>
  <si>
    <t>59-C</t>
  </si>
  <si>
    <t>63-I</t>
  </si>
  <si>
    <t>95-E</t>
  </si>
  <si>
    <t>100-D</t>
  </si>
  <si>
    <t>101-F</t>
  </si>
  <si>
    <t>119-H</t>
  </si>
  <si>
    <t>137-J</t>
  </si>
  <si>
    <t>140-G</t>
  </si>
  <si>
    <t>072</t>
  </si>
  <si>
    <t>4-D</t>
  </si>
  <si>
    <t>8-J</t>
  </si>
  <si>
    <t>31-D</t>
  </si>
  <si>
    <t>50-H</t>
  </si>
  <si>
    <t>58-D</t>
  </si>
  <si>
    <t>62-H</t>
  </si>
  <si>
    <t>77-H</t>
  </si>
  <si>
    <t>78-E</t>
  </si>
  <si>
    <t>90-D</t>
  </si>
  <si>
    <t>109-A</t>
  </si>
  <si>
    <t>138-G</t>
  </si>
  <si>
    <t>142-I</t>
  </si>
  <si>
    <t>073</t>
  </si>
  <si>
    <t>2-J</t>
  </si>
  <si>
    <t>25-B</t>
  </si>
  <si>
    <t>30-C</t>
  </si>
  <si>
    <t>47-H</t>
  </si>
  <si>
    <t>57-E</t>
  </si>
  <si>
    <t>61-G</t>
  </si>
  <si>
    <t>74-F</t>
  </si>
  <si>
    <t>87-G</t>
  </si>
  <si>
    <t>93-H</t>
  </si>
  <si>
    <t>116-E</t>
  </si>
  <si>
    <t>133-B</t>
  </si>
  <si>
    <t>137-B</t>
  </si>
  <si>
    <t>074</t>
  </si>
  <si>
    <t>11-B</t>
  </si>
  <si>
    <t>17-F</t>
  </si>
  <si>
    <t>36-I</t>
  </si>
  <si>
    <t>47-I</t>
  </si>
  <si>
    <t>57-B</t>
  </si>
  <si>
    <t>57-I</t>
  </si>
  <si>
    <t>78-D</t>
  </si>
  <si>
    <t>80-G</t>
  </si>
  <si>
    <t>93-C</t>
  </si>
  <si>
    <t>112-F</t>
  </si>
  <si>
    <t>138-B</t>
  </si>
  <si>
    <t>143-I</t>
  </si>
  <si>
    <t>075</t>
  </si>
  <si>
    <t>16-C</t>
  </si>
  <si>
    <t>18-G</t>
  </si>
  <si>
    <t>24-E</t>
  </si>
  <si>
    <t>37-I</t>
  </si>
  <si>
    <t>55-G</t>
  </si>
  <si>
    <t>65-C</t>
  </si>
  <si>
    <t>80-F</t>
  </si>
  <si>
    <t>96-H</t>
  </si>
  <si>
    <t>104-H</t>
  </si>
  <si>
    <t>116-H</t>
  </si>
  <si>
    <t>119-G</t>
  </si>
  <si>
    <t>125-C</t>
  </si>
  <si>
    <t>076</t>
  </si>
  <si>
    <t>8-I</t>
  </si>
  <si>
    <t>9-E</t>
  </si>
  <si>
    <t>14-E</t>
  </si>
  <si>
    <t>43-A</t>
  </si>
  <si>
    <t>65-B</t>
  </si>
  <si>
    <t>70-D</t>
  </si>
  <si>
    <t>73-H</t>
  </si>
  <si>
    <t>74-B</t>
  </si>
  <si>
    <t>76-B</t>
  </si>
  <si>
    <t>109-D</t>
  </si>
  <si>
    <t>118-C</t>
  </si>
  <si>
    <t>128-E</t>
  </si>
  <si>
    <t>077</t>
  </si>
  <si>
    <t>22-E</t>
  </si>
  <si>
    <t>29-B</t>
  </si>
  <si>
    <t>32-G</t>
  </si>
  <si>
    <t>59-H</t>
  </si>
  <si>
    <t>61-B</t>
  </si>
  <si>
    <t>62-C</t>
  </si>
  <si>
    <t>95-J</t>
  </si>
  <si>
    <t>96-G</t>
  </si>
  <si>
    <t>108-G</t>
  </si>
  <si>
    <t>114-I</t>
  </si>
  <si>
    <t>119-B</t>
  </si>
  <si>
    <t>124-H</t>
  </si>
  <si>
    <t>078</t>
  </si>
  <si>
    <t>5-B</t>
  </si>
  <si>
    <t>6-B</t>
  </si>
  <si>
    <t>6-H</t>
  </si>
  <si>
    <t>55-F</t>
  </si>
  <si>
    <t>67-E</t>
  </si>
  <si>
    <t>69-D</t>
  </si>
  <si>
    <t>Moved data in 69E up to 69-D after not finding roots envelope - EMB</t>
  </si>
  <si>
    <t>80-C</t>
  </si>
  <si>
    <t>2 PLANTS, USED LARGER</t>
  </si>
  <si>
    <t>87-I</t>
  </si>
  <si>
    <t>100-I</t>
  </si>
  <si>
    <t>125-A</t>
  </si>
  <si>
    <t>133-A</t>
  </si>
  <si>
    <t>144-F</t>
  </si>
  <si>
    <t>079</t>
  </si>
  <si>
    <t>21-G</t>
  </si>
  <si>
    <t>24-D</t>
  </si>
  <si>
    <t>Possible contaimiantion from nodule count  (but could not be because many of them)</t>
  </si>
  <si>
    <t>25-D</t>
  </si>
  <si>
    <t>38-F</t>
  </si>
  <si>
    <t>55-B</t>
  </si>
  <si>
    <t>56-A</t>
  </si>
  <si>
    <t>96-F</t>
  </si>
  <si>
    <t>104-E</t>
  </si>
  <si>
    <t>107-D</t>
  </si>
  <si>
    <t>119-I</t>
  </si>
  <si>
    <t>122-C</t>
  </si>
  <si>
    <t>122-J</t>
  </si>
  <si>
    <t>080</t>
  </si>
  <si>
    <t>3-H</t>
  </si>
  <si>
    <t>27-C</t>
  </si>
  <si>
    <t>29-I</t>
  </si>
  <si>
    <t>44-G</t>
  </si>
  <si>
    <t>49-H</t>
  </si>
  <si>
    <t>50-J</t>
  </si>
  <si>
    <t>87-C</t>
  </si>
  <si>
    <t>92-E</t>
  </si>
  <si>
    <t>101-C</t>
  </si>
  <si>
    <t>122-E</t>
  </si>
  <si>
    <t>NP</t>
  </si>
  <si>
    <t>122-G</t>
  </si>
  <si>
    <t>no roots yet found, is shoots env in oven?;Shoots envelope found with correct label</t>
  </si>
  <si>
    <t>141-J</t>
  </si>
  <si>
    <t>081</t>
  </si>
  <si>
    <t>4-G</t>
  </si>
  <si>
    <t>19-G</t>
  </si>
  <si>
    <t>25-C</t>
  </si>
  <si>
    <t>44-I</t>
  </si>
  <si>
    <t>52-C</t>
  </si>
  <si>
    <t>54-F</t>
  </si>
  <si>
    <t>73-D</t>
  </si>
  <si>
    <t>85-B</t>
  </si>
  <si>
    <t>103-B</t>
  </si>
  <si>
    <t>114-E</t>
  </si>
  <si>
    <t>Shoots envelope not found, there was a VERY TINY ROOT IN ENVELOPE</t>
  </si>
  <si>
    <t>114-G</t>
  </si>
  <si>
    <t>139-A</t>
  </si>
  <si>
    <t>082</t>
  </si>
  <si>
    <t>12-H</t>
  </si>
  <si>
    <t>23-J</t>
  </si>
  <si>
    <t>34-C</t>
  </si>
  <si>
    <t>43-E</t>
  </si>
  <si>
    <t>60-C</t>
  </si>
  <si>
    <t>72-J</t>
  </si>
  <si>
    <t>84-C</t>
  </si>
  <si>
    <t>99-E</t>
  </si>
  <si>
    <t>107-A</t>
  </si>
  <si>
    <t>124-F</t>
  </si>
  <si>
    <t>135-D</t>
  </si>
  <si>
    <t>140-C</t>
  </si>
  <si>
    <t>083</t>
  </si>
  <si>
    <t>31-C</t>
  </si>
  <si>
    <t>34-I</t>
  </si>
  <si>
    <t>36-D</t>
  </si>
  <si>
    <t>49-J</t>
  </si>
  <si>
    <t>52-B</t>
  </si>
  <si>
    <t>63-D</t>
  </si>
  <si>
    <t>75-I</t>
  </si>
  <si>
    <t>85-H</t>
  </si>
  <si>
    <t>93-J</t>
  </si>
  <si>
    <t>112-B</t>
  </si>
  <si>
    <t>129-F</t>
  </si>
  <si>
    <t>130-H</t>
  </si>
  <si>
    <t>084</t>
  </si>
  <si>
    <t>9-D</t>
  </si>
  <si>
    <t>31-I</t>
  </si>
  <si>
    <t>32-I</t>
  </si>
  <si>
    <t>45-J</t>
  </si>
  <si>
    <t>47-D</t>
  </si>
  <si>
    <t>53-I</t>
  </si>
  <si>
    <t>86-H</t>
  </si>
  <si>
    <t>95-I</t>
  </si>
  <si>
    <t>105-A</t>
  </si>
  <si>
    <t>111-E</t>
  </si>
  <si>
    <t>112-E</t>
  </si>
  <si>
    <t>136-C</t>
  </si>
  <si>
    <t>085</t>
  </si>
  <si>
    <t>10-C</t>
  </si>
  <si>
    <t>10-E</t>
  </si>
  <si>
    <t>24-J</t>
  </si>
  <si>
    <t>40-B</t>
  </si>
  <si>
    <t>48-D</t>
  </si>
  <si>
    <t>51-F</t>
  </si>
  <si>
    <t>85-E</t>
  </si>
  <si>
    <t>92-D</t>
  </si>
  <si>
    <t>106-E</t>
  </si>
  <si>
    <t>117-J</t>
  </si>
  <si>
    <t>126-J</t>
  </si>
  <si>
    <t>142-H</t>
  </si>
  <si>
    <t>086</t>
  </si>
  <si>
    <t>7-F</t>
  </si>
  <si>
    <t>17-E</t>
  </si>
  <si>
    <t>26-E</t>
  </si>
  <si>
    <t>46-G</t>
  </si>
  <si>
    <t>53-D</t>
  </si>
  <si>
    <t>67-D</t>
  </si>
  <si>
    <t>88-A</t>
  </si>
  <si>
    <t>97-E</t>
  </si>
  <si>
    <t>99-C</t>
  </si>
  <si>
    <t>110-I</t>
  </si>
  <si>
    <t>115-A</t>
  </si>
  <si>
    <t>135-I</t>
  </si>
  <si>
    <t>087</t>
  </si>
  <si>
    <t>22-B</t>
  </si>
  <si>
    <t>24-I</t>
  </si>
  <si>
    <t>36-B</t>
  </si>
  <si>
    <t>43-H</t>
  </si>
  <si>
    <t>51-E</t>
  </si>
  <si>
    <t>65-I</t>
  </si>
  <si>
    <t>82-B</t>
  </si>
  <si>
    <t>86-G</t>
  </si>
  <si>
    <t>106-H</t>
  </si>
  <si>
    <t>114-J</t>
  </si>
  <si>
    <t>Missing information</t>
  </si>
  <si>
    <t>124-B</t>
  </si>
  <si>
    <t>142-J</t>
  </si>
  <si>
    <t>088</t>
  </si>
  <si>
    <t>23-D</t>
  </si>
  <si>
    <t>28-J</t>
  </si>
  <si>
    <t>29-E</t>
  </si>
  <si>
    <t>40-H</t>
  </si>
  <si>
    <t>43-F</t>
  </si>
  <si>
    <t>72-F</t>
  </si>
  <si>
    <t>74-J</t>
  </si>
  <si>
    <t>84-A</t>
  </si>
  <si>
    <t>102-D</t>
  </si>
  <si>
    <t>110-J</t>
  </si>
  <si>
    <t>114-B</t>
  </si>
  <si>
    <t>144-C</t>
  </si>
  <si>
    <t>089</t>
  </si>
  <si>
    <t>16-I</t>
  </si>
  <si>
    <t>35-B</t>
  </si>
  <si>
    <t>36-J</t>
  </si>
  <si>
    <t>37-G</t>
  </si>
  <si>
    <t>63-C</t>
  </si>
  <si>
    <t>64-I</t>
  </si>
  <si>
    <t>89-I</t>
  </si>
  <si>
    <t>93-E</t>
  </si>
  <si>
    <t>98-J</t>
  </si>
  <si>
    <t>112-J</t>
  </si>
  <si>
    <t>127-H</t>
  </si>
  <si>
    <t>139-E</t>
  </si>
  <si>
    <t>090</t>
  </si>
  <si>
    <t>2-G</t>
  </si>
  <si>
    <t>6-G</t>
  </si>
  <si>
    <t>32-B</t>
  </si>
  <si>
    <t>40-G</t>
  </si>
  <si>
    <t>56-F</t>
  </si>
  <si>
    <t>60-F</t>
  </si>
  <si>
    <t>73-F</t>
  </si>
  <si>
    <t>89-J</t>
  </si>
  <si>
    <t>105-H</t>
  </si>
  <si>
    <t>125-H</t>
  </si>
  <si>
    <t>132-F</t>
  </si>
  <si>
    <t>143-E</t>
  </si>
  <si>
    <t>091</t>
  </si>
  <si>
    <t>9-I</t>
  </si>
  <si>
    <t>13-F</t>
  </si>
  <si>
    <t>22-F</t>
  </si>
  <si>
    <t>40-C</t>
  </si>
  <si>
    <t>62-B</t>
  </si>
  <si>
    <t>69-E</t>
  </si>
  <si>
    <t>93-D</t>
  </si>
  <si>
    <t>97-H</t>
  </si>
  <si>
    <t>104-A</t>
  </si>
  <si>
    <t>118-H</t>
  </si>
  <si>
    <t>120-A</t>
  </si>
  <si>
    <t>135-E</t>
  </si>
  <si>
    <t>092</t>
  </si>
  <si>
    <t>9-C</t>
  </si>
  <si>
    <t>11-C</t>
  </si>
  <si>
    <t>20-B</t>
  </si>
  <si>
    <t>48-G</t>
  </si>
  <si>
    <t>52-D</t>
  </si>
  <si>
    <t>70-A</t>
  </si>
  <si>
    <t>76-D</t>
  </si>
  <si>
    <t>79-B</t>
  </si>
  <si>
    <t>97-D</t>
  </si>
  <si>
    <t>118-B</t>
  </si>
  <si>
    <t>132-G</t>
  </si>
  <si>
    <t>144-J</t>
  </si>
  <si>
    <t>093</t>
  </si>
  <si>
    <t>18-I</t>
  </si>
  <si>
    <t>28-A</t>
  </si>
  <si>
    <t>31-E</t>
  </si>
  <si>
    <t>38-J</t>
  </si>
  <si>
    <t>61-C</t>
  </si>
  <si>
    <t>64-D</t>
  </si>
  <si>
    <t>92-G</t>
  </si>
  <si>
    <t>104-J</t>
  </si>
  <si>
    <t>108-D</t>
  </si>
  <si>
    <t>123-F</t>
  </si>
  <si>
    <t>136-G</t>
  </si>
  <si>
    <t>144-B</t>
  </si>
  <si>
    <t>094</t>
  </si>
  <si>
    <t>10-B</t>
  </si>
  <si>
    <t>19-H</t>
  </si>
  <si>
    <t>21-A</t>
  </si>
  <si>
    <t>45-E</t>
  </si>
  <si>
    <t>58-H</t>
  </si>
  <si>
    <t>59-I</t>
  </si>
  <si>
    <t>81-F</t>
  </si>
  <si>
    <t>91-J</t>
  </si>
  <si>
    <t>95-G</t>
  </si>
  <si>
    <t>113-A</t>
  </si>
  <si>
    <t>121-D</t>
  </si>
  <si>
    <t>133-F</t>
  </si>
  <si>
    <t>095</t>
  </si>
  <si>
    <t>9-F</t>
  </si>
  <si>
    <t>29-H</t>
  </si>
  <si>
    <t>34-G</t>
  </si>
  <si>
    <t>61-A</t>
  </si>
  <si>
    <t>65-F</t>
  </si>
  <si>
    <t>70-I</t>
  </si>
  <si>
    <t>103-A</t>
  </si>
  <si>
    <t>105-B</t>
  </si>
  <si>
    <t>107-C</t>
  </si>
  <si>
    <t>136-B</t>
  </si>
  <si>
    <t>138-D</t>
  </si>
  <si>
    <t>139-J</t>
  </si>
  <si>
    <t>096</t>
  </si>
  <si>
    <t>18-H</t>
  </si>
  <si>
    <t>25-J</t>
  </si>
  <si>
    <t>30-G</t>
  </si>
  <si>
    <t>47-F</t>
  </si>
  <si>
    <t>65-E</t>
  </si>
  <si>
    <t>72-E</t>
  </si>
  <si>
    <t>73-A</t>
  </si>
  <si>
    <t>75-E</t>
  </si>
  <si>
    <t>83-F</t>
  </si>
  <si>
    <t>123-A</t>
  </si>
  <si>
    <t>128-H</t>
  </si>
  <si>
    <t>136-A</t>
  </si>
  <si>
    <t>097</t>
  </si>
  <si>
    <t>28-C</t>
  </si>
  <si>
    <t>Dry</t>
  </si>
  <si>
    <t>28-D</t>
  </si>
  <si>
    <t>36-A</t>
  </si>
  <si>
    <t>41-C</t>
  </si>
  <si>
    <t>41-E</t>
  </si>
  <si>
    <t>44-H</t>
  </si>
  <si>
    <t>77-C</t>
  </si>
  <si>
    <t>96-A</t>
  </si>
  <si>
    <t>100-F</t>
  </si>
  <si>
    <t>115-E</t>
  </si>
  <si>
    <t>131-A</t>
  </si>
  <si>
    <t>139-I</t>
  </si>
  <si>
    <t>098</t>
  </si>
  <si>
    <t>6-E</t>
  </si>
  <si>
    <t>26-B</t>
  </si>
  <si>
    <t>31-B</t>
  </si>
  <si>
    <t>51-B</t>
  </si>
  <si>
    <t>51-I</t>
  </si>
  <si>
    <t>58-B</t>
  </si>
  <si>
    <t>76-E</t>
  </si>
  <si>
    <t>78-J</t>
  </si>
  <si>
    <t>94-B</t>
  </si>
  <si>
    <t>111-G</t>
  </si>
  <si>
    <t>119-A</t>
  </si>
  <si>
    <t>121-E</t>
  </si>
  <si>
    <t>099</t>
  </si>
  <si>
    <t>10-J</t>
  </si>
  <si>
    <t>26-F</t>
  </si>
  <si>
    <t>32-F</t>
  </si>
  <si>
    <t>38-I</t>
  </si>
  <si>
    <t>46-C</t>
  </si>
  <si>
    <t>46-E</t>
  </si>
  <si>
    <t>73-C</t>
  </si>
  <si>
    <t>79-I</t>
  </si>
  <si>
    <t>89-B</t>
  </si>
  <si>
    <t>109-H</t>
  </si>
  <si>
    <t>134-F</t>
  </si>
  <si>
    <t>136-J</t>
  </si>
  <si>
    <t>100</t>
  </si>
  <si>
    <t>3-J</t>
  </si>
  <si>
    <t>17-G</t>
  </si>
  <si>
    <t>22-C</t>
  </si>
  <si>
    <t>41-H</t>
  </si>
  <si>
    <t>54-H</t>
  </si>
  <si>
    <t>62-J</t>
  </si>
  <si>
    <t>79-E</t>
  </si>
  <si>
    <t>93-I</t>
  </si>
  <si>
    <t>106-G</t>
  </si>
  <si>
    <t>111-H</t>
  </si>
  <si>
    <t>121-B</t>
  </si>
  <si>
    <t>133-E</t>
  </si>
  <si>
    <t>101</t>
  </si>
  <si>
    <t>1-D</t>
  </si>
  <si>
    <t>30-F</t>
  </si>
  <si>
    <t>35-E</t>
  </si>
  <si>
    <t>52-J</t>
  </si>
  <si>
    <t>53-G</t>
  </si>
  <si>
    <t>71-G</t>
  </si>
  <si>
    <t>78-A</t>
  </si>
  <si>
    <t>81-I</t>
  </si>
  <si>
    <t>82-F</t>
  </si>
  <si>
    <t>115-J</t>
  </si>
  <si>
    <t>117-A</t>
  </si>
  <si>
    <t>135-A</t>
  </si>
  <si>
    <t>102</t>
  </si>
  <si>
    <t>4-A</t>
  </si>
  <si>
    <t>4-J</t>
  </si>
  <si>
    <t>21-J</t>
  </si>
  <si>
    <t>41-B</t>
  </si>
  <si>
    <t>49-C</t>
  </si>
  <si>
    <t>65-J</t>
  </si>
  <si>
    <t>=VAR(J651:M651)/AVERAGE(J651:M651</t>
  </si>
  <si>
    <t>73-J</t>
  </si>
  <si>
    <t>96-I</t>
  </si>
  <si>
    <t>102-G</t>
  </si>
  <si>
    <t>110-D</t>
  </si>
  <si>
    <t>117-G</t>
  </si>
  <si>
    <t>128-A</t>
  </si>
  <si>
    <t>103</t>
  </si>
  <si>
    <t>11-E</t>
  </si>
  <si>
    <t>16-H</t>
  </si>
  <si>
    <t>32-C</t>
  </si>
  <si>
    <t>40-D</t>
  </si>
  <si>
    <t>48-F</t>
  </si>
  <si>
    <t>71-E</t>
  </si>
  <si>
    <t>80-J</t>
  </si>
  <si>
    <t>92-I</t>
  </si>
  <si>
    <t>98-H</t>
  </si>
  <si>
    <t>111-C</t>
  </si>
  <si>
    <t>112-G</t>
  </si>
  <si>
    <t>142-G</t>
  </si>
  <si>
    <t>104</t>
  </si>
  <si>
    <t>3-F</t>
  </si>
  <si>
    <t>5-H</t>
  </si>
  <si>
    <t>27-F</t>
  </si>
  <si>
    <t>37-E</t>
  </si>
  <si>
    <t>63-H</t>
  </si>
  <si>
    <t>63-J</t>
  </si>
  <si>
    <t>88-F</t>
  </si>
  <si>
    <t>99-J</t>
  </si>
  <si>
    <t>101-E</t>
  </si>
  <si>
    <t>112-D</t>
  </si>
  <si>
    <t>113-F</t>
  </si>
  <si>
    <t>129-A</t>
  </si>
  <si>
    <t>105</t>
  </si>
  <si>
    <t>8-C</t>
  </si>
  <si>
    <t>15-D</t>
  </si>
  <si>
    <t>15-I</t>
  </si>
  <si>
    <t>41-A</t>
  </si>
  <si>
    <t>43-D</t>
  </si>
  <si>
    <t>72-C</t>
  </si>
  <si>
    <t>83-D</t>
  </si>
  <si>
    <t>83-E</t>
  </si>
  <si>
    <t>101-B</t>
  </si>
  <si>
    <t>126-C</t>
  </si>
  <si>
    <t>127-D</t>
  </si>
  <si>
    <t>140-D</t>
  </si>
  <si>
    <t>106</t>
  </si>
  <si>
    <t>1-F</t>
  </si>
  <si>
    <t>4-B</t>
  </si>
  <si>
    <t>21-H</t>
  </si>
  <si>
    <t>38-D</t>
  </si>
  <si>
    <t>63-A</t>
  </si>
  <si>
    <t>68-J</t>
  </si>
  <si>
    <t>85-I</t>
  </si>
  <si>
    <t>86-I</t>
  </si>
  <si>
    <t>103-D</t>
  </si>
  <si>
    <t>124-G</t>
  </si>
  <si>
    <t>126-D</t>
  </si>
  <si>
    <t>140-J</t>
  </si>
  <si>
    <t>107</t>
  </si>
  <si>
    <t>20-G</t>
  </si>
  <si>
    <t>22-A</t>
  </si>
  <si>
    <t>30-E</t>
  </si>
  <si>
    <t>56-J</t>
  </si>
  <si>
    <t>59-E</t>
  </si>
  <si>
    <t>60-D</t>
  </si>
  <si>
    <t>77-A</t>
  </si>
  <si>
    <t>83-C</t>
  </si>
  <si>
    <t>95-H</t>
  </si>
  <si>
    <t>2 roots, kept longest one</t>
  </si>
  <si>
    <t>136-I</t>
  </si>
  <si>
    <t>138-A</t>
  </si>
  <si>
    <t>141-I</t>
  </si>
  <si>
    <t>108</t>
  </si>
  <si>
    <t>13-A</t>
  </si>
  <si>
    <t>20-D</t>
  </si>
  <si>
    <t>35-F</t>
  </si>
  <si>
    <t>51-A</t>
  </si>
  <si>
    <t>67-F</t>
  </si>
  <si>
    <t>71-B</t>
  </si>
  <si>
    <t>75-B</t>
  </si>
  <si>
    <t>84-E</t>
  </si>
  <si>
    <t>104-G</t>
  </si>
  <si>
    <t>122-A</t>
  </si>
  <si>
    <t>128-I</t>
  </si>
  <si>
    <t>143-C</t>
  </si>
  <si>
    <t>109</t>
  </si>
  <si>
    <t>12-C</t>
  </si>
  <si>
    <t>30-J</t>
  </si>
  <si>
    <t>35-A</t>
  </si>
  <si>
    <t>39-I</t>
  </si>
  <si>
    <t>40-E</t>
  </si>
  <si>
    <t>66-A</t>
  </si>
  <si>
    <t>97-I</t>
  </si>
  <si>
    <t>103-C</t>
  </si>
  <si>
    <t>106-B</t>
  </si>
  <si>
    <t>117-C</t>
  </si>
  <si>
    <t>133-C</t>
  </si>
  <si>
    <t>144-E</t>
  </si>
  <si>
    <t>110</t>
  </si>
  <si>
    <t>11-F</t>
  </si>
  <si>
    <t>14-A</t>
  </si>
  <si>
    <t>27-A</t>
  </si>
  <si>
    <t>37-H</t>
  </si>
  <si>
    <t>70-B</t>
  </si>
  <si>
    <t>No shoot found in shoots envelope</t>
  </si>
  <si>
    <t>71-H</t>
  </si>
  <si>
    <t>81-B</t>
  </si>
  <si>
    <t>85-A</t>
  </si>
  <si>
    <t>92-C</t>
  </si>
  <si>
    <t>121-J</t>
  </si>
  <si>
    <t>129-B</t>
  </si>
  <si>
    <t>Tiny root</t>
  </si>
  <si>
    <t>130-D</t>
  </si>
  <si>
    <t>111</t>
  </si>
  <si>
    <t>4-C</t>
  </si>
  <si>
    <t>7-H</t>
  </si>
  <si>
    <t>35-J</t>
  </si>
  <si>
    <t>37-A</t>
  </si>
  <si>
    <t>41-D</t>
  </si>
  <si>
    <t>43-B</t>
  </si>
  <si>
    <t>74-H</t>
  </si>
  <si>
    <t>81-D</t>
  </si>
  <si>
    <t>90-B</t>
  </si>
  <si>
    <t>126-I</t>
  </si>
  <si>
    <t>135-J</t>
  </si>
  <si>
    <t>140-A</t>
  </si>
  <si>
    <t>112</t>
  </si>
  <si>
    <t>12-A</t>
  </si>
  <si>
    <t>14-F</t>
  </si>
  <si>
    <t>22-G</t>
  </si>
  <si>
    <t>40-A</t>
  </si>
  <si>
    <t>52-A</t>
  </si>
  <si>
    <t>68-H</t>
  </si>
  <si>
    <t>97-J</t>
  </si>
  <si>
    <t>102-E</t>
  </si>
  <si>
    <t>106-C</t>
  </si>
  <si>
    <t>111-I</t>
  </si>
  <si>
    <t>116-A</t>
  </si>
  <si>
    <t>138-I</t>
  </si>
  <si>
    <t>Has a root envelope with roots &amp; correct label</t>
  </si>
  <si>
    <t>113</t>
  </si>
  <si>
    <t>13-I</t>
  </si>
  <si>
    <t>15-E</t>
  </si>
  <si>
    <t>21-F</t>
  </si>
  <si>
    <t>58-F</t>
  </si>
  <si>
    <t>70-E</t>
  </si>
  <si>
    <t>72-B</t>
  </si>
  <si>
    <t>98-A</t>
  </si>
  <si>
    <t>100-B</t>
  </si>
  <si>
    <t>102-J</t>
  </si>
  <si>
    <t>119-E</t>
  </si>
  <si>
    <t>120-H</t>
  </si>
  <si>
    <t>134-E</t>
  </si>
  <si>
    <t>114</t>
  </si>
  <si>
    <t>13-D</t>
  </si>
  <si>
    <t>22-J</t>
  </si>
  <si>
    <t>30-A</t>
  </si>
  <si>
    <t>2 roots, took the slightly larger one</t>
  </si>
  <si>
    <t>50-B</t>
  </si>
  <si>
    <t>59-J</t>
  </si>
  <si>
    <t>68-C</t>
  </si>
  <si>
    <t>79-F</t>
  </si>
  <si>
    <t>94-C</t>
  </si>
  <si>
    <t>95-A</t>
  </si>
  <si>
    <t>120-E</t>
  </si>
  <si>
    <t>126-A</t>
  </si>
  <si>
    <t>141-E</t>
  </si>
  <si>
    <t>115</t>
  </si>
  <si>
    <t>17-D</t>
  </si>
  <si>
    <t>34-A</t>
  </si>
  <si>
    <t>36-H</t>
  </si>
  <si>
    <t>59-B</t>
  </si>
  <si>
    <t>63-B</t>
  </si>
  <si>
    <t>71-D</t>
  </si>
  <si>
    <t>76-J</t>
  </si>
  <si>
    <t>101-J</t>
  </si>
  <si>
    <t>105-C</t>
  </si>
  <si>
    <t>113-B</t>
  </si>
  <si>
    <t>120-J</t>
  </si>
  <si>
    <t>141-H</t>
  </si>
  <si>
    <t>116</t>
  </si>
  <si>
    <t>4-H</t>
  </si>
  <si>
    <t>5-A</t>
  </si>
  <si>
    <t>29-A</t>
  </si>
  <si>
    <t>50-E</t>
  </si>
  <si>
    <t>65-D</t>
  </si>
  <si>
    <t>67-J</t>
  </si>
  <si>
    <t>74-I</t>
  </si>
  <si>
    <t>80-E</t>
  </si>
  <si>
    <t>90-E</t>
  </si>
  <si>
    <t>118-A</t>
  </si>
  <si>
    <t>118-F</t>
  </si>
  <si>
    <t>137-E</t>
  </si>
  <si>
    <t>117</t>
  </si>
  <si>
    <t>24-H</t>
  </si>
  <si>
    <t>30-D</t>
  </si>
  <si>
    <t>32-E</t>
  </si>
  <si>
    <t>48-E</t>
  </si>
  <si>
    <t>62-E</t>
  </si>
  <si>
    <t>66-C</t>
  </si>
  <si>
    <t>74-E</t>
  </si>
  <si>
    <t>95-D</t>
  </si>
  <si>
    <t>99-D</t>
  </si>
  <si>
    <t>120-B</t>
  </si>
  <si>
    <t>130-A</t>
  </si>
  <si>
    <t>138-H</t>
  </si>
  <si>
    <t>118</t>
  </si>
  <si>
    <t>7-D</t>
  </si>
  <si>
    <t>very little plant</t>
  </si>
  <si>
    <t>9-B</t>
  </si>
  <si>
    <t>SEE COMMENT FOR 9-A; emb moved 0.003 in pot 9A down to pot 9B</t>
  </si>
  <si>
    <t>26-C</t>
  </si>
  <si>
    <t>53-J</t>
  </si>
  <si>
    <t>65-H</t>
  </si>
  <si>
    <t>66-G</t>
  </si>
  <si>
    <t>79-G</t>
  </si>
  <si>
    <t>82-D</t>
  </si>
  <si>
    <t>VERY FINE WHITE, EXC. 1 BIG NODULE</t>
  </si>
  <si>
    <t>103-H</t>
  </si>
  <si>
    <t>VERY TINY NODULES</t>
  </si>
  <si>
    <t>112-H</t>
  </si>
  <si>
    <t>Tiny plant</t>
  </si>
  <si>
    <t>132-J</t>
  </si>
  <si>
    <t>Very tiny root; very tiny nodules;Shoots envelope not found</t>
  </si>
  <si>
    <t>136-F</t>
  </si>
  <si>
    <t>119</t>
  </si>
  <si>
    <t>1-G</t>
  </si>
  <si>
    <t>13-J</t>
  </si>
  <si>
    <t>31-H</t>
  </si>
  <si>
    <t>37-F</t>
  </si>
  <si>
    <t>54-D</t>
  </si>
  <si>
    <t>69-J</t>
  </si>
  <si>
    <t>86-B</t>
  </si>
  <si>
    <t>104-D</t>
  </si>
  <si>
    <t>107-B</t>
  </si>
  <si>
    <t>113-C</t>
  </si>
  <si>
    <t>124-J</t>
  </si>
  <si>
    <t>143-J</t>
  </si>
  <si>
    <t>120</t>
  </si>
  <si>
    <t>16-B</t>
  </si>
  <si>
    <t>18-E</t>
  </si>
  <si>
    <t>29-C</t>
  </si>
  <si>
    <t>48-H</t>
  </si>
  <si>
    <t>49-G</t>
  </si>
  <si>
    <t>60-H</t>
  </si>
  <si>
    <t>79-H</t>
  </si>
  <si>
    <t>88-B</t>
  </si>
  <si>
    <t>106-I</t>
  </si>
  <si>
    <t>134-D</t>
  </si>
  <si>
    <t>139-F</t>
  </si>
  <si>
    <t>143-D</t>
  </si>
  <si>
    <t>121</t>
  </si>
  <si>
    <t>6-J</t>
  </si>
  <si>
    <t>13-C</t>
  </si>
  <si>
    <t>27-D</t>
  </si>
  <si>
    <t>38-H</t>
  </si>
  <si>
    <t>51-J</t>
  </si>
  <si>
    <t>56-B</t>
  </si>
  <si>
    <t>88-C</t>
  </si>
  <si>
    <t>MAG-EMB-ELP</t>
  </si>
  <si>
    <t>it seems like there are two roots-ORIG COUNT 8L&amp;2UL-recounted for longest and hairiest root REV COUNT 2L&amp;2UL</t>
  </si>
  <si>
    <t>102-I</t>
  </si>
  <si>
    <t>104-C</t>
  </si>
  <si>
    <t>TINY ROOT, NO NODULES</t>
  </si>
  <si>
    <t>120-I</t>
  </si>
  <si>
    <t>127-E</t>
  </si>
  <si>
    <t>129-E</t>
  </si>
  <si>
    <t>122</t>
  </si>
  <si>
    <t>6-D</t>
  </si>
  <si>
    <t>17-A</t>
  </si>
  <si>
    <t>20-J</t>
  </si>
  <si>
    <t>53-A</t>
  </si>
  <si>
    <t>56-G</t>
  </si>
  <si>
    <t>64-C</t>
  </si>
  <si>
    <t>82-H</t>
  </si>
  <si>
    <t>93-B</t>
  </si>
  <si>
    <t>108-I</t>
  </si>
  <si>
    <t>117-H</t>
  </si>
  <si>
    <t>125-B</t>
  </si>
  <si>
    <t>140-E</t>
  </si>
  <si>
    <t>123</t>
  </si>
  <si>
    <t>16-G</t>
  </si>
  <si>
    <t>17-H</t>
  </si>
  <si>
    <t>23-F</t>
  </si>
  <si>
    <t>45-F</t>
  </si>
  <si>
    <t>56-D</t>
  </si>
  <si>
    <t>72-A</t>
  </si>
  <si>
    <t>77-B</t>
  </si>
  <si>
    <t>90-I</t>
  </si>
  <si>
    <t>107-J</t>
  </si>
  <si>
    <t>129-G</t>
  </si>
  <si>
    <t>139-C</t>
  </si>
  <si>
    <t>143-B</t>
  </si>
  <si>
    <t>EXC</t>
  </si>
  <si>
    <t>1-B</t>
  </si>
  <si>
    <t>12-E</t>
  </si>
  <si>
    <t>36-F</t>
  </si>
  <si>
    <t>39-J</t>
  </si>
  <si>
    <t>48-I</t>
  </si>
  <si>
    <t>60-E</t>
  </si>
  <si>
    <t>91-F</t>
  </si>
  <si>
    <t>92-A</t>
  </si>
  <si>
    <t>108-C</t>
  </si>
  <si>
    <t>NO NODS, JUST ONE TINY ROOT</t>
  </si>
  <si>
    <t>111-B</t>
  </si>
  <si>
    <t>118-G</t>
  </si>
  <si>
    <t>127-I</t>
  </si>
  <si>
    <t>Possible contamination root</t>
  </si>
  <si>
    <t>MC2</t>
  </si>
  <si>
    <t>145-A</t>
  </si>
  <si>
    <t>145-I</t>
  </si>
  <si>
    <t>146-A</t>
  </si>
  <si>
    <t>146-J</t>
  </si>
  <si>
    <t>147-C</t>
  </si>
  <si>
    <t>147-F</t>
  </si>
  <si>
    <t>g</t>
  </si>
  <si>
    <t>147-I</t>
  </si>
  <si>
    <t>help with label, says should be MIX_V_g</t>
  </si>
  <si>
    <t>148-C</t>
  </si>
  <si>
    <t>h</t>
  </si>
  <si>
    <t>148-F</t>
  </si>
  <si>
    <t>dead</t>
  </si>
  <si>
    <t>148-I</t>
  </si>
  <si>
    <t>MIX</t>
  </si>
  <si>
    <t>145-C</t>
  </si>
  <si>
    <t>145-D</t>
  </si>
  <si>
    <t>145-J</t>
  </si>
  <si>
    <t>e</t>
  </si>
  <si>
    <t>146-D</t>
  </si>
  <si>
    <t>146-I</t>
  </si>
  <si>
    <t>147-B</t>
  </si>
  <si>
    <t>f</t>
  </si>
  <si>
    <t>147-H</t>
  </si>
  <si>
    <t>148-B</t>
  </si>
  <si>
    <t>148-E</t>
  </si>
  <si>
    <t>145-F</t>
  </si>
  <si>
    <t>145-G</t>
  </si>
  <si>
    <t>146-C</t>
  </si>
  <si>
    <t>146-H</t>
  </si>
  <si>
    <t>147-G</t>
  </si>
  <si>
    <t>148-A</t>
  </si>
  <si>
    <t>148-G</t>
  </si>
  <si>
    <t>145-H</t>
  </si>
  <si>
    <t>146-B</t>
  </si>
  <si>
    <t>146-F</t>
  </si>
  <si>
    <t>147-A</t>
  </si>
  <si>
    <t/>
  </si>
  <si>
    <t>148-H</t>
  </si>
  <si>
    <t>148-J</t>
  </si>
  <si>
    <t>NIG</t>
  </si>
  <si>
    <t>5-D</t>
  </si>
  <si>
    <t>8-D</t>
  </si>
  <si>
    <t>28-I</t>
  </si>
  <si>
    <t>39-D</t>
  </si>
  <si>
    <t>48-C</t>
  </si>
  <si>
    <t>49-A</t>
  </si>
  <si>
    <t>87-H</t>
  </si>
  <si>
    <t>99-B</t>
  </si>
  <si>
    <t>99-F</t>
  </si>
  <si>
    <t>130-G</t>
  </si>
  <si>
    <t>140-I</t>
  </si>
  <si>
    <t>143-F</t>
  </si>
  <si>
    <t>UNI</t>
  </si>
  <si>
    <t>8-A</t>
  </si>
  <si>
    <t>9-A</t>
  </si>
  <si>
    <t>THIS COULD BE POT 9-B; 9-A HAS NO NODS PER LTB; tiny plant weighed roots at 0.014 (altho there was a bit of cotton that could account for the heavier than usual for the TRL/UNI roots</t>
  </si>
  <si>
    <t>33-I</t>
  </si>
  <si>
    <t>not dead --&gt; uni/trl were entered - should mark all 12 as 'not dead'?</t>
  </si>
  <si>
    <t>39-E</t>
  </si>
  <si>
    <t>68-G</t>
  </si>
  <si>
    <t>tiny plant</t>
  </si>
  <si>
    <t>69-B</t>
  </si>
  <si>
    <t>-</t>
  </si>
  <si>
    <t>86-E</t>
  </si>
  <si>
    <t>WHITE; tiny plant</t>
  </si>
  <si>
    <t>86-J</t>
  </si>
  <si>
    <t>90-G</t>
  </si>
  <si>
    <t>115-G</t>
  </si>
  <si>
    <t>118-D</t>
  </si>
  <si>
    <t>124-I</t>
  </si>
  <si>
    <t>none</t>
  </si>
  <si>
    <t>145-B</t>
  </si>
  <si>
    <t>145-E</t>
  </si>
  <si>
    <t>146-E</t>
  </si>
  <si>
    <t xml:space="preserve">Harvested </t>
  </si>
  <si>
    <t>146-G</t>
  </si>
  <si>
    <t>Harvested</t>
  </si>
  <si>
    <t>147-D</t>
  </si>
  <si>
    <t>envelope for roots says MIX_V_g is Tray 147-D and weight is 0.095; there is no other location for this root</t>
  </si>
  <si>
    <t>147-E</t>
  </si>
  <si>
    <t>147-J</t>
  </si>
  <si>
    <t>148-D</t>
  </si>
  <si>
    <t>Double check pot placement- LTB</t>
  </si>
  <si>
    <t>Plant</t>
  </si>
  <si>
    <t>Nodule</t>
  </si>
  <si>
    <t>Ind.Label</t>
  </si>
  <si>
    <t>Nodule.area</t>
  </si>
  <si>
    <t>Nodule.lobes</t>
  </si>
  <si>
    <t>dilution.counted</t>
  </si>
  <si>
    <t>spot.1</t>
  </si>
  <si>
    <t>spot.2</t>
  </si>
  <si>
    <t>spot.3</t>
  </si>
  <si>
    <t>spot.4</t>
  </si>
  <si>
    <t>spot.5</t>
  </si>
  <si>
    <t>spot.avg</t>
  </si>
  <si>
    <t>Counted by</t>
  </si>
  <si>
    <t>Comments</t>
  </si>
  <si>
    <t>Total_CFU_released</t>
  </si>
  <si>
    <t>001.O.a</t>
  </si>
  <si>
    <t xml:space="preserve">  </t>
  </si>
  <si>
    <t>SG</t>
  </si>
  <si>
    <t xml:space="preserve">No growth </t>
  </si>
  <si>
    <t>001.O.b</t>
  </si>
  <si>
    <t>NEED TO CHECK</t>
  </si>
  <si>
    <t>More than 5</t>
  </si>
  <si>
    <t>001.O.c</t>
  </si>
  <si>
    <t>CONTA;NO RHIZOBIA</t>
  </si>
  <si>
    <t>001.S.a</t>
  </si>
  <si>
    <t>this plate had no colonies in the 5th dil</t>
  </si>
  <si>
    <t>001.S.b</t>
  </si>
  <si>
    <t>NO GROWTH</t>
  </si>
  <si>
    <t>001.S.c</t>
  </si>
  <si>
    <t>001.V.a</t>
  </si>
  <si>
    <t>001.V.b</t>
  </si>
  <si>
    <t>001.V.c</t>
  </si>
  <si>
    <t>012.O.a</t>
  </si>
  <si>
    <t>No growth</t>
  </si>
  <si>
    <t>Merged;increase dil</t>
  </si>
  <si>
    <t>Only one colony in dil3, try with dil2.</t>
  </si>
  <si>
    <t>5-Merged;6-No growth</t>
  </si>
  <si>
    <t>012.O.b</t>
  </si>
  <si>
    <t>Merged;increase dil. Contaminated dil3, and dil4. I don't see any rhizo in dil4</t>
  </si>
  <si>
    <t>Only one colony in dil5, try with dil 4</t>
  </si>
  <si>
    <t>Merged;increase dil. Only one not contaminated spot in dil6, and has 6 colonies</t>
  </si>
  <si>
    <t>012.O.c</t>
  </si>
  <si>
    <t>Conta.</t>
  </si>
  <si>
    <t>012.S.a</t>
  </si>
  <si>
    <t xml:space="preserve">Only a couple of colonies in dil4, but no in dil3. Go up one dil to dil3. </t>
  </si>
  <si>
    <r>
      <rPr>
        <strike/>
        <u val="double"/>
        <sz val="11"/>
        <color rgb="FF000000"/>
        <rFont val="Calibri"/>
        <family val="2"/>
      </rPr>
      <t>Merged;increase dil</t>
    </r>
    <r>
      <rPr>
        <sz val="11"/>
        <color rgb="FF000000"/>
        <rFont val="Calibri"/>
        <family val="2"/>
      </rPr>
      <t>,2nd attempt worked with 5</t>
    </r>
  </si>
  <si>
    <t>Contamination in dil5 and 6, I don't see any rhizo</t>
  </si>
  <si>
    <t>Conta</t>
  </si>
  <si>
    <t>012.S.b</t>
  </si>
  <si>
    <t>Dil5 is overpopulated but dil6 doesn't have any colony?</t>
  </si>
  <si>
    <t>Only a couple of colonies in dil5. Needs dil4</t>
  </si>
  <si>
    <t>012.S.c</t>
  </si>
  <si>
    <t>No growth in dil3 and 4</t>
  </si>
  <si>
    <t>Massive rhizo, needs lower dilution</t>
  </si>
  <si>
    <r>
      <rPr>
        <strike/>
        <sz val="11"/>
        <color rgb="FF000000"/>
        <rFont val="Calibri"/>
        <family val="2"/>
      </rPr>
      <t>Conta ,</t>
    </r>
    <r>
      <rPr>
        <sz val="11"/>
        <color rgb="FF000000"/>
        <rFont val="Calibri"/>
        <family val="2"/>
      </rPr>
      <t>second attempt worked with 6</t>
    </r>
  </si>
  <si>
    <t>012.V.a</t>
  </si>
  <si>
    <t>Not growth. Slight contamination in dil3</t>
  </si>
  <si>
    <t xml:space="preserve">Not growth.  No contamination. </t>
  </si>
  <si>
    <t>012.V.b</t>
  </si>
  <si>
    <t>012.V.c</t>
  </si>
  <si>
    <t>044.O.a</t>
  </si>
  <si>
    <t>Massive contamination. But I would try dil6 spot</t>
  </si>
  <si>
    <t>I can see rhizo In plate 4 but very merged. Try dil5 Spot plating</t>
  </si>
  <si>
    <t>I can see rhizo in the contamination of dil6. I plated dil5 in half of a plate but every thing has contamination</t>
  </si>
  <si>
    <t>044.O.b</t>
  </si>
  <si>
    <t xml:space="preserve">empty plate. Try dil 2 spot. Dil2 is empty. Try Dil1. Dil1 is also emty. </t>
  </si>
  <si>
    <t>Massive contamination. I tried dil3 and massive contamination</t>
  </si>
  <si>
    <t>Massive contamination. I did full plaste of dil3, and I don't see rhizo, only contamination</t>
  </si>
  <si>
    <t>I can see colonies in dil5. Plate in biggerplate.</t>
  </si>
  <si>
    <t>Massive contamination. DOn't know which dil to choose</t>
  </si>
  <si>
    <t xml:space="preserve">Try spot plating dil8. </t>
  </si>
  <si>
    <t>044.O.c</t>
  </si>
  <si>
    <t>Dil4 nice and clean but overgrew. Try dil4 again spot</t>
  </si>
  <si>
    <t>Massive contamination. Try with dil5 in bigger plate?. I plated dil5 in full plate and I only see the dense contaminant and not rhizo</t>
  </si>
  <si>
    <t>Full of contamination. I don't know which dilution to plate</t>
  </si>
  <si>
    <t>A lot of contamination. Plate Dil8. Ful plate of dil6 contaminated</t>
  </si>
  <si>
    <t>044.S.a</t>
  </si>
  <si>
    <t xml:space="preserve">Rhizobia in dil4 overgrew a lot. Try spot dil6. Maybe try dil5 spot. </t>
  </si>
  <si>
    <t>No contamination. Dil4 overgrew. Plate Dil4 spot.</t>
  </si>
  <si>
    <t xml:space="preserve">Empty plate. Try dil4 Spot. Very few colonies, try with dil 3. </t>
  </si>
  <si>
    <t>Massive contamination. Dont know which dilution to choose. Chose dil5 in bigger plate but I don't see rhizo, only the contaminant with high density</t>
  </si>
  <si>
    <t>044.S.b</t>
  </si>
  <si>
    <t>Plate dil2 in big plate. Dil3 has a few rhizobia and few contaminats. High contamination in dil2 in big plate</t>
  </si>
  <si>
    <t>M</t>
  </si>
  <si>
    <t>M from merged</t>
  </si>
  <si>
    <t>I don't see any rhizobi here. Oly contaminants. Maybe try with dil 4 in bigger plate. I tried dil4 in bigger plate. All contaminated</t>
  </si>
  <si>
    <t>044.S.c</t>
  </si>
  <si>
    <t>Massive contamination. I don't know which what dilution to try</t>
  </si>
  <si>
    <t>Dil4 nice and clean. But needs an extra dilution. Dil5 spot</t>
  </si>
  <si>
    <t>Massive contamination. Maybe try dil6 in biggerp late</t>
  </si>
  <si>
    <t>Massive contaminaiton and mucoid. Maybe try dil6 in bigger plate</t>
  </si>
  <si>
    <t>Massive contamination. I don't know which what dilution to try. I tried dil4 and was massively contaminated in the plate</t>
  </si>
  <si>
    <t>044.V.a</t>
  </si>
  <si>
    <t>I can see a lot of rhizo in dil4, prepare dil5 and spot plate. They are around 60-80 per spot.</t>
  </si>
  <si>
    <t>I can see rhizo in the contamination of dil4. Prepare dil 5 and spot plate</t>
  </si>
  <si>
    <t>044.V.b</t>
  </si>
  <si>
    <t>No contaminants, very few rhizo. Try dil 2.</t>
  </si>
  <si>
    <t>I don't see rhizo or contaminants. Go for dil2 spot</t>
  </si>
  <si>
    <t xml:space="preserve">I don't see rhizo, only contaminants. Maybe go for dil3 in bigger plate. Dil 3  in single plate full of contamination. </t>
  </si>
  <si>
    <t>Spot plate dil4. I can see a few colonies growing very slow</t>
  </si>
  <si>
    <t>DIL5 2,1,3,0,0. Spot plate dil4</t>
  </si>
  <si>
    <t>I can see small dots in dil6. Try it in a bigger plate</t>
  </si>
  <si>
    <t>044.V.c</t>
  </si>
  <si>
    <t xml:space="preserve">no contamination few rhizo. Try spot of dil2. </t>
  </si>
  <si>
    <t>Massive contamination. Dont know which dilution to choose. Chose dilution 2 and there is massive contamination in the single plate</t>
  </si>
  <si>
    <t>Empty plate. Try dilution 4. Spot. Dilution4 has heavy contamination. counted through heavy cont</t>
  </si>
  <si>
    <t>Massive contamination. Try with dil5 in bigger plate?. Massive contamination on dil5 in the bigg plate.</t>
  </si>
  <si>
    <t>I can see rhizo in dil5. I plated dil6 in a bigger plate and i only see a smear, i don't see individual colonies of anything</t>
  </si>
  <si>
    <t>059.O.a</t>
  </si>
  <si>
    <t>I see veryfew rhizo in dil5. Contamination. Go to dil4 in bigger plate. In dil4 I only see the dense contamination. Not rhizo</t>
  </si>
  <si>
    <t>I don't see rhizo in Dil5. A lot of contaminants. Go up to dil4 in big plates</t>
  </si>
  <si>
    <t>I don't see any rhizo in dil5 or 6. Plate dil 4 in bigger plate</t>
  </si>
  <si>
    <t>059.O.b</t>
  </si>
  <si>
    <t>No Contamination. Go for Dil5.</t>
  </si>
  <si>
    <t>more than 5</t>
  </si>
  <si>
    <t>I don't see rhizo, only contaminants. Go for dil4 in bigger plate</t>
  </si>
  <si>
    <t>I can see colonies in dil5. Repeat dil5 in bigger plate. Dil 5 in bigger plate ony has one contaminant. Not rhizo. Probably because of the long storage of the dilutions.</t>
  </si>
  <si>
    <t>I can see contaminants in dil5, but also small rhizo. Plate Dil5 in big plate. In bigger plate of Dil5 I only see the contamination</t>
  </si>
  <si>
    <t>Contaminants but don't see rhizo. Plate dil5 in big plate. I only see contaminants in Dil5 bigger plate</t>
  </si>
  <si>
    <t>059.O.c</t>
  </si>
  <si>
    <t>Very few colonies in dil3. Not contamination. Go to dil2, spot</t>
  </si>
  <si>
    <t>N</t>
  </si>
  <si>
    <t>No contamination or rhizobo. Go to dil1 or 2, spot. Dil2 in big plate is empty.</t>
  </si>
  <si>
    <t xml:space="preserve">It looks like contamination. Go for dil6 spot. Spot6 also highly contaminated. I don't know for which dil to go </t>
  </si>
  <si>
    <t>Full contamination In dil5 and 6. Plate dil5 in big plate</t>
  </si>
  <si>
    <t>059.S.a</t>
  </si>
  <si>
    <t>Plate dil6. High contamination in Dil6 and I don't see rhizo</t>
  </si>
  <si>
    <t>Plate dil6. High contamination in Dil6</t>
  </si>
  <si>
    <t>There are contaminants in Dil4, but I can see tiny rhizobia. Plate Dil4 in bigger plate. I plated Dil4 in bigger plate but very dense contamination colonies are filling the plate.</t>
  </si>
  <si>
    <t>059.S.b</t>
  </si>
  <si>
    <t>I don't see any rhizo in dil3. But there are contaminants. Plate Dil2 in big plate. I see all contamination in Dil2</t>
  </si>
  <si>
    <t>I see a few rhizo in Dil5. Go to dil4 in bigger plate. In Dil4 I only see contaminatns. Not rhizo</t>
  </si>
  <si>
    <t xml:space="preserve">Hard to tell, All i see are contaminants. </t>
  </si>
  <si>
    <t xml:space="preserve">I see contaminants in dil5, but it is mucoid. Plate dil5 in bigger plate. I plated dil6 in bigger plate and I only see a contaminant. </t>
  </si>
  <si>
    <t>059.S.c</t>
  </si>
  <si>
    <t>A lot of contamination. Plate Dil6</t>
  </si>
  <si>
    <t>059.V.a</t>
  </si>
  <si>
    <t xml:space="preserve">Dil4 overgrew, Plate dil4 again. Spot. </t>
  </si>
  <si>
    <t>Plate dil6. There is contamination but rhizobia were contable. Dil6 still has some contamination but a few rhizo are countable</t>
  </si>
  <si>
    <t xml:space="preserve">Plate dil6. </t>
  </si>
  <si>
    <t>A lot of contamination. Plate dil5 in bigger plate.</t>
  </si>
  <si>
    <t>059.V.b</t>
  </si>
  <si>
    <t>Plate dil5 spot</t>
  </si>
  <si>
    <t>Empty plate. Plate dil4, spot. DIl4 grew nicely</t>
  </si>
  <si>
    <t>Empty plate. Plate dil4, spot. Dil4 grew nicely</t>
  </si>
  <si>
    <t>059.V.c</t>
  </si>
  <si>
    <t>Contaminants but don't see rhizo. Plate dil1 in big plate. I did full plate abut see a lot of contamination</t>
  </si>
  <si>
    <t>Looks like massive contamination. But try with spot dil6</t>
  </si>
  <si>
    <t>I see a few colonies in dil5. No contamination. Plate dil4 spot. There were some contaminants in dil4, but a I could also observe very few colonies</t>
  </si>
  <si>
    <t>I don't see rhizo in Dil5, but there is some mucosity that might tell that there was rhizobia. Plate Dil5 in biggerp late. I did a bigger plate of dil6 and I don't see any rhizo</t>
  </si>
  <si>
    <t xml:space="preserve">I don't see rhizo in Dil5, but there is some mucosity that might tell that there was rhizobia. Plate Dil5 in biggerp late. I did it in a bigger plate of Dil6 and still contamination </t>
  </si>
  <si>
    <t>070.O.a</t>
  </si>
  <si>
    <t>3-Conta;4-No growth</t>
  </si>
  <si>
    <t>Conta,Merged</t>
  </si>
  <si>
    <t>Merged</t>
  </si>
  <si>
    <t>070.O.b</t>
  </si>
  <si>
    <t>070.O.c</t>
  </si>
  <si>
    <t>070.S.a</t>
  </si>
  <si>
    <t>070.S.b</t>
  </si>
  <si>
    <t>070.S.c</t>
  </si>
  <si>
    <t>merged</t>
  </si>
  <si>
    <t>070.V.a</t>
  </si>
  <si>
    <t>Dilution 3 has one colony and ilution 4 has one colony</t>
  </si>
  <si>
    <t>070.V.b</t>
  </si>
  <si>
    <t>Very few colonies in dil3, only three dots grew,1,1,1,0,0</t>
  </si>
  <si>
    <t>I only see one colony in all dil3</t>
  </si>
  <si>
    <t>Empty plate</t>
  </si>
  <si>
    <t>Dil5 seems to have only 3 dots, with colonies 9,1,3. The other dots dont have anything</t>
  </si>
  <si>
    <t>070.V.c</t>
  </si>
  <si>
    <t>I only see three colonies in dil5: 0,1,1,1,0</t>
  </si>
  <si>
    <t>077.O.a</t>
  </si>
  <si>
    <t>MERGED</t>
  </si>
  <si>
    <t>077.O.b</t>
  </si>
  <si>
    <t>Further incubation</t>
  </si>
  <si>
    <t>VERY TINY COLONIES;FURTHER INCUBATED; higher dil suggested</t>
  </si>
  <si>
    <t>077.O.c</t>
  </si>
  <si>
    <t>MERGED,NO GROWTH IN 4</t>
  </si>
  <si>
    <t>MERGED+CONTA</t>
  </si>
  <si>
    <t>CONTA</t>
  </si>
  <si>
    <t>077.S.a</t>
  </si>
  <si>
    <t>This plate had conta.the rhizobia was growing in between the widespread conta</t>
  </si>
  <si>
    <t>VERY TINY COLONIES;FURTHER INCUBATED;very tiny colonies</t>
  </si>
  <si>
    <t>077.S.b</t>
  </si>
  <si>
    <t>077.S.c</t>
  </si>
  <si>
    <t>Conta+no growth</t>
  </si>
  <si>
    <t>077.V.a</t>
  </si>
  <si>
    <t>077.V.b</t>
  </si>
  <si>
    <t>077.V.c</t>
  </si>
  <si>
    <t>112.O.a</t>
  </si>
  <si>
    <t>m</t>
  </si>
  <si>
    <t xml:space="preserve">The contamination in dil5 is covering all the dots. I don't see rhizo in dil6, but very few contaminants there. I plated dil5 in big plate but I can't distinguish contamination from partner, everything looks like contaminatoin </t>
  </si>
  <si>
    <t>112.O.b</t>
  </si>
  <si>
    <t>looks clean but needs dil5. spot</t>
  </si>
  <si>
    <t>Not sure if it s contamination or rhizobia, but needs dil5</t>
  </si>
  <si>
    <t>The fact that i am not seeing colonies in O.b.5 and O.b.6 is making me doubt. Are these rhizo? Replate 4</t>
  </si>
  <si>
    <t>I don't see colonies in dil6</t>
  </si>
  <si>
    <t>I don't see colonies in dil6 or dil5. I plated dil7 and found very few rhizo and very few contaminants</t>
  </si>
  <si>
    <t>112.O.c</t>
  </si>
  <si>
    <t>There is contamination, and very few rhizobia. Dil2 in bigger plate. Dil2 empty. This is weird considering i saw some rhizobia previously in dil?3. Maybe the dilution Was not good after the long storage</t>
  </si>
  <si>
    <t>I don't see rhizo in dil5, but yes a contaminant. Try dil4 in bigger plate?</t>
  </si>
  <si>
    <t>Few contaminants in dil5, not rhizo. Maybe try dil4 in bigger plate</t>
  </si>
  <si>
    <t>112.S.a</t>
  </si>
  <si>
    <t>I can see a few rhizo in contamination. Plate dil4 in bigger plate. I plated dil4 in bigger plate but I only see contamination and no rhizo</t>
  </si>
  <si>
    <t>I see contamination on both dilutions, not rhizo. Plate dil4. I plated dil5 in a bigger plate but I only see contaminats growing</t>
  </si>
  <si>
    <t>Countable through contamination</t>
  </si>
  <si>
    <t>112.S.b</t>
  </si>
  <si>
    <t>There is contamination in Dil3, and very few rhizobia. Dil2 in bigger plate. I plated Dil2 and didn't get anything, probably problems with long storage</t>
  </si>
  <si>
    <t>Counted through contamination</t>
  </si>
  <si>
    <t>112.S.c</t>
  </si>
  <si>
    <t xml:space="preserve">These NA are from dilution mistakes I made, I added 100ul by mistake. </t>
  </si>
  <si>
    <t>Plate dil5 in a bigger plate</t>
  </si>
  <si>
    <t>112.V.a</t>
  </si>
  <si>
    <t>Try dil2 in spot</t>
  </si>
  <si>
    <t>Few rhizo in dil5, but looks clean. Plate dil4 spot. In dil5 looks 1,1,3,2,0</t>
  </si>
  <si>
    <t xml:space="preserve">see few rhizo in dil5 and few contaminants. Try dil 4 in bigger plate. Dil 5 was plated in bigger plate and I didn't see any rhizo. Probably because the dilutions were stored for a long time </t>
  </si>
  <si>
    <t>112.V.b</t>
  </si>
  <si>
    <t>I don't see rhizo in dil3, but yes contaminatns. Maybe try dil2 in bigger plate</t>
  </si>
  <si>
    <t>Clean plate. Maybe try dil4 spot</t>
  </si>
  <si>
    <t>Countable through contamination. But it looks like there is 13 and 10 in dil5, but I can see a bunch in dil6. So I will let it grow slightly more</t>
  </si>
  <si>
    <t>112.V.c</t>
  </si>
  <si>
    <t>117.O.a</t>
  </si>
  <si>
    <t>Massive contamination in both dilutions. Try dil 5, spot?.</t>
  </si>
  <si>
    <t>117.O.b</t>
  </si>
  <si>
    <t xml:space="preserve">Highly contaminated in both dilutions. </t>
  </si>
  <si>
    <t xml:space="preserve">Plate dilution 6 spot. </t>
  </si>
  <si>
    <t>Both dilutions contaminated</t>
  </si>
  <si>
    <t>There is growth in dil5, but there is a lot of contamination. Countable through the contamination</t>
  </si>
  <si>
    <t>117.O.c</t>
  </si>
  <si>
    <t>Uncountable din dil6</t>
  </si>
  <si>
    <t>117.S.a</t>
  </si>
  <si>
    <t>Empty plate. Try dil4. Maybe the plate was dry</t>
  </si>
  <si>
    <t>I see maybe very few colonies through contamination. Try dil4 in bigger plate</t>
  </si>
  <si>
    <t xml:space="preserve">There is a lot of contamination but I can count one dot through the contamination. </t>
  </si>
  <si>
    <t>117.S.b</t>
  </si>
  <si>
    <t>Heave contamination, maybe dil6. Dil6 also has high contamination</t>
  </si>
  <si>
    <t>117.S.d</t>
  </si>
  <si>
    <t>Not rhizobia in dil3. Go up one dilution. Dil2 in big plate</t>
  </si>
  <si>
    <t>I don't see any rhizo in dil5. Maybe dil 4 in a bigger plate</t>
  </si>
  <si>
    <t>117.V.a</t>
  </si>
  <si>
    <t>It was countable through the contamination</t>
  </si>
  <si>
    <t xml:space="preserve">I can see a lot of rhizo in dil3 with the contaminants. After incubation I saw them in dil4. </t>
  </si>
  <si>
    <t xml:space="preserve">There is cont but it is the contamination that allows count. Plate Dil4. I plated dil4 but I see mostly contamination </t>
  </si>
  <si>
    <t>Not rhizobia in dil5. There are contaminants. Move to dil4 in big plate</t>
  </si>
  <si>
    <t>Not rhizobia in dil5. There is one contaminant. Dil4 in big plate.</t>
  </si>
  <si>
    <t>117.V.b</t>
  </si>
  <si>
    <t>Not rhizobia in dil3. There are contaminants. Move to dil2 big plate.</t>
  </si>
  <si>
    <t>Heavy contamination. I don't see rhizo</t>
  </si>
  <si>
    <t>117.V.c</t>
  </si>
  <si>
    <t>Heave contamination. I don't see rhizo. needs dil2 in a big plate</t>
  </si>
  <si>
    <t xml:space="preserve">Contamination in dil5 is very dense so I can't see rhizo. </t>
  </si>
  <si>
    <t>DSN</t>
  </si>
  <si>
    <t>DSN: Done with stored nodules. Not reliable</t>
  </si>
  <si>
    <t>cont</t>
  </si>
  <si>
    <t>Inoculum</t>
  </si>
  <si>
    <t>DNA_ext_by</t>
  </si>
  <si>
    <t>DNA_Ext_date</t>
  </si>
  <si>
    <t>Nucleic acid concen</t>
  </si>
  <si>
    <t>260/280</t>
  </si>
  <si>
    <t>260/230</t>
  </si>
  <si>
    <t>MC2_O_A</t>
  </si>
  <si>
    <t>MIX_O_A</t>
  </si>
  <si>
    <t>MIX_V_A</t>
  </si>
  <si>
    <t>MIX_S_E</t>
  </si>
  <si>
    <t>MIX_S_A</t>
  </si>
  <si>
    <t>MIX_V_E</t>
  </si>
  <si>
    <t>MC2_V_A</t>
  </si>
  <si>
    <t>MIX_O_G</t>
  </si>
  <si>
    <t>MC2_O_B</t>
  </si>
  <si>
    <t>MIX_V_F</t>
  </si>
  <si>
    <t>MIX_S_F</t>
  </si>
  <si>
    <t>MIX_O_E</t>
  </si>
  <si>
    <t>MIX_V_B</t>
  </si>
  <si>
    <t>MIX_S_B</t>
  </si>
  <si>
    <t>MIX_O_B</t>
  </si>
  <si>
    <t>MC2_V_B</t>
  </si>
  <si>
    <t>MIX_V_C</t>
  </si>
  <si>
    <t>MIX_O_C</t>
  </si>
  <si>
    <t>MC2_V_C</t>
  </si>
  <si>
    <t>MC2_O_C</t>
  </si>
  <si>
    <t>MIX_O_F</t>
  </si>
  <si>
    <t>MC2_V_G</t>
  </si>
  <si>
    <t>MIX_S_D</t>
  </si>
  <si>
    <t>MIX_O_D</t>
  </si>
  <si>
    <t>MC2_V_D</t>
  </si>
  <si>
    <t>MIX_O_H</t>
  </si>
  <si>
    <t>MIX_S_C</t>
  </si>
  <si>
    <t>MIX_V_D</t>
  </si>
  <si>
    <t>MC2_O_D</t>
  </si>
  <si>
    <t>MIX_1</t>
  </si>
  <si>
    <t>MIX_2</t>
  </si>
  <si>
    <t>MIX_3</t>
  </si>
  <si>
    <t>MIX_4</t>
  </si>
  <si>
    <t>Full_Label</t>
  </si>
  <si>
    <t>Strain Code</t>
  </si>
  <si>
    <t>Reps</t>
  </si>
  <si>
    <t>Hosts</t>
  </si>
  <si>
    <t>Total</t>
  </si>
  <si>
    <t>AVT_ON_01</t>
  </si>
  <si>
    <t>AVT_ON_02</t>
  </si>
  <si>
    <t>AVT_ON_03</t>
  </si>
  <si>
    <t>AVT_ON_04</t>
  </si>
  <si>
    <t>AVT_ON_05</t>
  </si>
  <si>
    <t>AVT_ON_06</t>
  </si>
  <si>
    <t>AVT_ON_07</t>
  </si>
  <si>
    <t>AVT_ON_08</t>
  </si>
  <si>
    <t>AVT_ON_09</t>
  </si>
  <si>
    <t>AVT_ON_10</t>
  </si>
  <si>
    <t>AVT_ON_11</t>
  </si>
  <si>
    <t>AVT_ON_12</t>
  </si>
  <si>
    <t>AVT_ON_13</t>
  </si>
  <si>
    <t>AVT_ON_14</t>
  </si>
  <si>
    <t>AVT_ON_15</t>
  </si>
  <si>
    <t>AVT_ON_16</t>
  </si>
  <si>
    <t>AVT_ON_17</t>
  </si>
  <si>
    <t>AVT_ON_18</t>
  </si>
  <si>
    <t>AVT_ON_19</t>
  </si>
  <si>
    <t>AVT_ON_20</t>
  </si>
  <si>
    <t>AVT_ON_21</t>
  </si>
  <si>
    <t>AVT_ON_22</t>
  </si>
  <si>
    <t>AVT_ON_23</t>
  </si>
  <si>
    <t>AVT_ON_24</t>
  </si>
  <si>
    <t>AVT_ON_25</t>
  </si>
  <si>
    <t>AVT_ON_26</t>
  </si>
  <si>
    <t>AVT_ON_28</t>
  </si>
  <si>
    <t>AVT_ON_29</t>
  </si>
  <si>
    <t>AVT_ON_30</t>
  </si>
  <si>
    <t>AVT_SN_31</t>
  </si>
  <si>
    <t>AVT_SN_32</t>
  </si>
  <si>
    <t>AVT_SN_33</t>
  </si>
  <si>
    <t>AVT_SN_34</t>
  </si>
  <si>
    <t>AVT_SN_35</t>
  </si>
  <si>
    <t>AVT_SN_37</t>
  </si>
  <si>
    <t>AVT_SN_38</t>
  </si>
  <si>
    <t>AVT_SN_39</t>
  </si>
  <si>
    <t>AVT_SN_41</t>
  </si>
  <si>
    <t>AVT_SN_42</t>
  </si>
  <si>
    <t>AVT_SN_43</t>
  </si>
  <si>
    <t>AVT_SN_44</t>
  </si>
  <si>
    <t>AVT_SN_45</t>
  </si>
  <si>
    <t>AVT_SN_46</t>
  </si>
  <si>
    <t>AVT_SN_47</t>
  </si>
  <si>
    <t>AVT_SN_48</t>
  </si>
  <si>
    <t>AVT_SN_49</t>
  </si>
  <si>
    <t>AVT_SN_50</t>
  </si>
  <si>
    <t>AVT_SN_52</t>
  </si>
  <si>
    <t>AVT_SN_53</t>
  </si>
  <si>
    <t>AVT_SN_54</t>
  </si>
  <si>
    <t>AVT_SN_55</t>
  </si>
  <si>
    <t>AVT_SN_56</t>
  </si>
  <si>
    <t>AVT_SN_57</t>
  </si>
  <si>
    <t>AVT_SN_58</t>
  </si>
  <si>
    <t>AVT_SN_59</t>
  </si>
  <si>
    <t>AVT_SN_60</t>
  </si>
  <si>
    <t>AVT_VN_62</t>
  </si>
  <si>
    <t>AVT_VN_63</t>
  </si>
  <si>
    <t>AVT_VN_64</t>
  </si>
  <si>
    <t>AVT_VN_65</t>
  </si>
  <si>
    <t>AVT_VN_67</t>
  </si>
  <si>
    <t>AVT_VN_68</t>
  </si>
  <si>
    <t>AVT_VN_69</t>
  </si>
  <si>
    <t>AVT_VN_70</t>
  </si>
  <si>
    <t>AVT_VN_71</t>
  </si>
  <si>
    <t>AVT_VN_72</t>
  </si>
  <si>
    <t>AVT_VN_73</t>
  </si>
  <si>
    <t>AVT_VN_74</t>
  </si>
  <si>
    <t>AVT_VN_75</t>
  </si>
  <si>
    <t>AVT_VN_76</t>
  </si>
  <si>
    <t>AVT_VN_77</t>
  </si>
  <si>
    <t>AVT_VN_78</t>
  </si>
  <si>
    <t>AVT_VN_79</t>
  </si>
  <si>
    <t>AVT_VN_80</t>
  </si>
  <si>
    <t>AVT_VN_81</t>
  </si>
  <si>
    <t>AVT_VN_82</t>
  </si>
  <si>
    <t>AVT_VN_83</t>
  </si>
  <si>
    <t>AVT_VN_84</t>
  </si>
  <si>
    <t>AVT_VN_85</t>
  </si>
  <si>
    <t>AVT_VN_86</t>
  </si>
  <si>
    <t>AVT_VN_87</t>
  </si>
  <si>
    <t>AVT_VN_88</t>
  </si>
  <si>
    <t>AVT_VN_89</t>
  </si>
  <si>
    <t>AVT_VN_90</t>
  </si>
  <si>
    <t>AVT_ON_91</t>
  </si>
  <si>
    <t>AVT_SN_92</t>
  </si>
  <si>
    <t>AVT_SN_93</t>
  </si>
  <si>
    <t>AVT_SN_94</t>
  </si>
  <si>
    <t>AVT_VN_95</t>
  </si>
  <si>
    <t>AVT_VN_96</t>
  </si>
  <si>
    <t>AVT_ON_97</t>
  </si>
  <si>
    <t>AVT_ON_98</t>
  </si>
  <si>
    <t>AVT_ON_99</t>
  </si>
  <si>
    <t>AVT_ON_100</t>
  </si>
  <si>
    <t>AVT_ON_101</t>
  </si>
  <si>
    <t>AVT_ON_102</t>
  </si>
  <si>
    <t>AVT_ON_103</t>
  </si>
  <si>
    <t>AVT_ON_104</t>
  </si>
  <si>
    <t>AVT_ON_105</t>
  </si>
  <si>
    <t>AVT_SN_106</t>
  </si>
  <si>
    <t>AVT_SN_107</t>
  </si>
  <si>
    <t>AVT_SN_108</t>
  </si>
  <si>
    <t>AVT_SN_109</t>
  </si>
  <si>
    <t>AVT_SN_110</t>
  </si>
  <si>
    <t>AVT_SN_111</t>
  </si>
  <si>
    <t>AVT_SN_112</t>
  </si>
  <si>
    <t>AVT_SN_113</t>
  </si>
  <si>
    <t>AVT_SN_114</t>
  </si>
  <si>
    <t>AVT_VN_115</t>
  </si>
  <si>
    <t>AVT_VN_116</t>
  </si>
  <si>
    <t>AVT_VN_117</t>
  </si>
  <si>
    <t>AVT_VN_118</t>
  </si>
  <si>
    <t>AVT_VN_119</t>
  </si>
  <si>
    <t>AVT_VN_120</t>
  </si>
  <si>
    <t>AVT_VN_121</t>
  </si>
  <si>
    <t>AVT_VN_122</t>
  </si>
  <si>
    <t>AVT_VN_123</t>
  </si>
  <si>
    <t>Exceed</t>
  </si>
  <si>
    <t>True Leaf</t>
  </si>
  <si>
    <t>TRL</t>
  </si>
  <si>
    <t>Nitragin Gold</t>
  </si>
  <si>
    <t>117 Strain Mixture</t>
  </si>
  <si>
    <t>Uninculated</t>
  </si>
  <si>
    <t>Alive?</t>
  </si>
  <si>
    <t>059_S_c</t>
  </si>
  <si>
    <t>070_V_c</t>
  </si>
  <si>
    <t>001_S_c</t>
  </si>
  <si>
    <t>112_V_c</t>
  </si>
  <si>
    <t>012_O_c</t>
  </si>
  <si>
    <t>112_S_c</t>
  </si>
  <si>
    <t>001_V_c</t>
  </si>
  <si>
    <t>077_V_c</t>
  </si>
  <si>
    <t>070_S_c</t>
  </si>
  <si>
    <t>112_V_a</t>
  </si>
  <si>
    <t>Done</t>
  </si>
  <si>
    <t>070_O_a</t>
  </si>
  <si>
    <t>117_S_d</t>
  </si>
  <si>
    <t>This was done</t>
  </si>
  <si>
    <t>112_O_a</t>
  </si>
  <si>
    <t>001_S_a</t>
  </si>
  <si>
    <t>059_V_a</t>
  </si>
  <si>
    <t>059_O_a</t>
  </si>
  <si>
    <t>044_O_a</t>
  </si>
  <si>
    <t>044_V_a</t>
  </si>
  <si>
    <t>001_V_a</t>
  </si>
  <si>
    <t>001_O_a</t>
  </si>
  <si>
    <t>044_S_a</t>
  </si>
  <si>
    <t>077_V_a</t>
  </si>
  <si>
    <t>112_S_a</t>
  </si>
  <si>
    <t>012_V_a</t>
  </si>
  <si>
    <t>117_V_a</t>
  </si>
  <si>
    <t>077_O_a</t>
  </si>
  <si>
    <t>070_S_a</t>
  </si>
  <si>
    <t>117_O_a</t>
  </si>
  <si>
    <t>070_V_a</t>
  </si>
  <si>
    <t>117_S_a</t>
  </si>
  <si>
    <t>077_S_a</t>
  </si>
  <si>
    <t>012_S_a</t>
  </si>
  <si>
    <t>001_O_b</t>
  </si>
  <si>
    <t>112_S_b</t>
  </si>
  <si>
    <t>044_O_b</t>
  </si>
  <si>
    <t>044_V_b</t>
  </si>
  <si>
    <t>044_S_b</t>
  </si>
  <si>
    <t>012_V_b</t>
  </si>
  <si>
    <t>117_S_b</t>
  </si>
  <si>
    <t>059_S_b</t>
  </si>
  <si>
    <t>001_V_b</t>
  </si>
  <si>
    <t>012_O_b</t>
  </si>
  <si>
    <t>112_V_b</t>
  </si>
  <si>
    <t>070_V_b</t>
  </si>
  <si>
    <t>070_O_b</t>
  </si>
  <si>
    <t>077_O_b</t>
  </si>
  <si>
    <t>077_V_b</t>
  </si>
  <si>
    <t>012_S_b</t>
  </si>
  <si>
    <t>077_S_b</t>
  </si>
  <si>
    <t>117_V_b</t>
  </si>
  <si>
    <t>001_S_b</t>
  </si>
  <si>
    <t>070_S_b</t>
  </si>
  <si>
    <t>117_O_b</t>
  </si>
  <si>
    <t>059_O_b</t>
  </si>
  <si>
    <t>112_O_b</t>
  </si>
  <si>
    <t>059_S_a</t>
  </si>
  <si>
    <t>059_V_b</t>
  </si>
  <si>
    <t>059_V_c</t>
  </si>
  <si>
    <t>059_O_c</t>
  </si>
  <si>
    <t>012_S_c</t>
  </si>
  <si>
    <t>044_S_c</t>
  </si>
  <si>
    <t>012_V_c</t>
  </si>
  <si>
    <t>012_O_a</t>
  </si>
  <si>
    <t>044_O_c</t>
  </si>
  <si>
    <t>070_O_c</t>
  </si>
  <si>
    <t>001_O_c</t>
  </si>
  <si>
    <t>117_O_c</t>
  </si>
  <si>
    <t>077_O_c</t>
  </si>
  <si>
    <t>077_S_c</t>
  </si>
  <si>
    <t>044_V_c</t>
  </si>
  <si>
    <t>112_O_c</t>
  </si>
  <si>
    <t>117_V_c</t>
  </si>
  <si>
    <t>001_O_d</t>
  </si>
  <si>
    <t>001_S_d</t>
  </si>
  <si>
    <t>001_V_d</t>
  </si>
  <si>
    <t>002_O_a</t>
  </si>
  <si>
    <t>002_O_b</t>
  </si>
  <si>
    <t>002_O_c</t>
  </si>
  <si>
    <t>002_O_d</t>
  </si>
  <si>
    <t>002_S_a</t>
  </si>
  <si>
    <t>002_S_b</t>
  </si>
  <si>
    <t>002_S_c</t>
  </si>
  <si>
    <t>002_S_d</t>
  </si>
  <si>
    <t>002_V_a</t>
  </si>
  <si>
    <t>002_V_b</t>
  </si>
  <si>
    <t>002_V_c</t>
  </si>
  <si>
    <t>002_V_d</t>
  </si>
  <si>
    <t>003_O_a</t>
  </si>
  <si>
    <t>003_O_b</t>
  </si>
  <si>
    <t>003_O_c</t>
  </si>
  <si>
    <t>003_O_d</t>
  </si>
  <si>
    <t>003_S_a</t>
  </si>
  <si>
    <t>003_S_b</t>
  </si>
  <si>
    <t>003_S_c</t>
  </si>
  <si>
    <t>003_S_d</t>
  </si>
  <si>
    <t>003_V_a</t>
  </si>
  <si>
    <t>003_V_b</t>
  </si>
  <si>
    <t>003_V_c</t>
  </si>
  <si>
    <t>003_V_d</t>
  </si>
  <si>
    <t>004_O_a</t>
  </si>
  <si>
    <t>004_O_b</t>
  </si>
  <si>
    <t>004_O_c</t>
  </si>
  <si>
    <t>004_O_d</t>
  </si>
  <si>
    <t>004_S_a</t>
  </si>
  <si>
    <t>004_S_b</t>
  </si>
  <si>
    <t>004_S_c</t>
  </si>
  <si>
    <t>004_S_d</t>
  </si>
  <si>
    <t>004_V_a</t>
  </si>
  <si>
    <t>004_V_b</t>
  </si>
  <si>
    <t>004_V_c</t>
  </si>
  <si>
    <t>004_V_d</t>
  </si>
  <si>
    <t>005_O_a</t>
  </si>
  <si>
    <t>005_O_b</t>
  </si>
  <si>
    <t>005_O_c</t>
  </si>
  <si>
    <t>005_O_d</t>
  </si>
  <si>
    <t>005_S_a</t>
  </si>
  <si>
    <t>005_S_b</t>
  </si>
  <si>
    <t>005_S_c</t>
  </si>
  <si>
    <t>005_S_d</t>
  </si>
  <si>
    <t>005_V_a</t>
  </si>
  <si>
    <t>005_V_b</t>
  </si>
  <si>
    <t>005_V_c</t>
  </si>
  <si>
    <t>005_V_d</t>
  </si>
  <si>
    <t>006_O_a</t>
  </si>
  <si>
    <t>006_O_b</t>
  </si>
  <si>
    <t>006_O_c</t>
  </si>
  <si>
    <t>006_O_d</t>
  </si>
  <si>
    <t>006_S_a</t>
  </si>
  <si>
    <t>006_S_b</t>
  </si>
  <si>
    <t>006_S_c</t>
  </si>
  <si>
    <t>006_S_d</t>
  </si>
  <si>
    <t>006_V_a</t>
  </si>
  <si>
    <t>006_V_b</t>
  </si>
  <si>
    <t>006_V_c</t>
  </si>
  <si>
    <t>006_V_d</t>
  </si>
  <si>
    <t>007_O_a</t>
  </si>
  <si>
    <t>007_O_b</t>
  </si>
  <si>
    <t>007_O_c</t>
  </si>
  <si>
    <t>007_O_d</t>
  </si>
  <si>
    <t>007_S_a</t>
  </si>
  <si>
    <t>007_S_b</t>
  </si>
  <si>
    <t>007_S_c</t>
  </si>
  <si>
    <t>007_S_d</t>
  </si>
  <si>
    <t>007_V_a</t>
  </si>
  <si>
    <t>007_V_b</t>
  </si>
  <si>
    <t>007_V_c</t>
  </si>
  <si>
    <t>007_V_d</t>
  </si>
  <si>
    <t>008_O_a</t>
  </si>
  <si>
    <t>008_O_b</t>
  </si>
  <si>
    <t>008_O_c</t>
  </si>
  <si>
    <t>008_O_d</t>
  </si>
  <si>
    <t>008_S_a</t>
  </si>
  <si>
    <t>008_S_b</t>
  </si>
  <si>
    <t>008_S_c</t>
  </si>
  <si>
    <t>008_S_d</t>
  </si>
  <si>
    <t>008_V_a</t>
  </si>
  <si>
    <t>008_V_b</t>
  </si>
  <si>
    <t>008_V_c</t>
  </si>
  <si>
    <t>008_V_d</t>
  </si>
  <si>
    <t>009_O_a</t>
  </si>
  <si>
    <t>009_O_b</t>
  </si>
  <si>
    <t>009_O_c</t>
  </si>
  <si>
    <t>009_O_d</t>
  </si>
  <si>
    <t>009_S_a</t>
  </si>
  <si>
    <t>009_S_b</t>
  </si>
  <si>
    <t>009_S_c</t>
  </si>
  <si>
    <t>009_S_d</t>
  </si>
  <si>
    <t>009_V_a</t>
  </si>
  <si>
    <t>009_V_b</t>
  </si>
  <si>
    <t>009_V_c</t>
  </si>
  <si>
    <t>009_V_d</t>
  </si>
  <si>
    <t>010_O_a</t>
  </si>
  <si>
    <t>010_O_b</t>
  </si>
  <si>
    <t>010_O_c</t>
  </si>
  <si>
    <t>010_O_d</t>
  </si>
  <si>
    <t>010_S_a</t>
  </si>
  <si>
    <t>010_S_b</t>
  </si>
  <si>
    <t>010_S_c</t>
  </si>
  <si>
    <t>010_S_d</t>
  </si>
  <si>
    <t>010_V_a</t>
  </si>
  <si>
    <t>010_V_b</t>
  </si>
  <si>
    <t>010_V_c</t>
  </si>
  <si>
    <t>010_V_d</t>
  </si>
  <si>
    <t>011_O_a</t>
  </si>
  <si>
    <t>011_O_b</t>
  </si>
  <si>
    <t>011_O_c</t>
  </si>
  <si>
    <t>011_O_d</t>
  </si>
  <si>
    <t>011_S_a</t>
  </si>
  <si>
    <t>011_S_b</t>
  </si>
  <si>
    <t>011_S_c</t>
  </si>
  <si>
    <t>011_S_d</t>
  </si>
  <si>
    <t>011_V_a</t>
  </si>
  <si>
    <t>011_V_b</t>
  </si>
  <si>
    <t>011_V_c</t>
  </si>
  <si>
    <t>011_V_d</t>
  </si>
  <si>
    <t>012_O_d</t>
  </si>
  <si>
    <t>012_S_d</t>
  </si>
  <si>
    <t>012_V_d</t>
  </si>
  <si>
    <t>013_O_a</t>
  </si>
  <si>
    <t>013_O_b</t>
  </si>
  <si>
    <t>013_O_c</t>
  </si>
  <si>
    <t>013_O_d</t>
  </si>
  <si>
    <t>013_S_a</t>
  </si>
  <si>
    <t>013_S_b</t>
  </si>
  <si>
    <t>013_S_c</t>
  </si>
  <si>
    <t>013_S_d</t>
  </si>
  <si>
    <t>013_V_a</t>
  </si>
  <si>
    <t>013_V_b</t>
  </si>
  <si>
    <t>013_V_c</t>
  </si>
  <si>
    <t>013_V_d</t>
  </si>
  <si>
    <t>014_O_a</t>
  </si>
  <si>
    <t>014_O_b</t>
  </si>
  <si>
    <t>014_O_c</t>
  </si>
  <si>
    <t>014_O_d</t>
  </si>
  <si>
    <t>014_S_a</t>
  </si>
  <si>
    <t>014_S_b</t>
  </si>
  <si>
    <t>014_S_c</t>
  </si>
  <si>
    <t>014_S_d</t>
  </si>
  <si>
    <t>014_V_a</t>
  </si>
  <si>
    <t>014_V_b</t>
  </si>
  <si>
    <t>014_V_c</t>
  </si>
  <si>
    <t>014_V_d</t>
  </si>
  <si>
    <t>015_O_a</t>
  </si>
  <si>
    <t>015_O_b</t>
  </si>
  <si>
    <t>015_O_c</t>
  </si>
  <si>
    <t>015_O_d</t>
  </si>
  <si>
    <t>015_S_a</t>
  </si>
  <si>
    <t>015_S_b</t>
  </si>
  <si>
    <t>015_S_c</t>
  </si>
  <si>
    <t>015_S_d</t>
  </si>
  <si>
    <t>015_V_a</t>
  </si>
  <si>
    <t>015_V_b</t>
  </si>
  <si>
    <t>015_V_c</t>
  </si>
  <si>
    <t>015_V_d</t>
  </si>
  <si>
    <t>016_O_a</t>
  </si>
  <si>
    <t>016_O_b</t>
  </si>
  <si>
    <t>016_O_c</t>
  </si>
  <si>
    <t>016_O_d</t>
  </si>
  <si>
    <t>016_S_a</t>
  </si>
  <si>
    <t>016_S_b</t>
  </si>
  <si>
    <t>016_S_c</t>
  </si>
  <si>
    <t>016_S_d</t>
  </si>
  <si>
    <t>016_V_a</t>
  </si>
  <si>
    <t>016_V_b</t>
  </si>
  <si>
    <t>016_V_c</t>
  </si>
  <si>
    <t>016_V_d</t>
  </si>
  <si>
    <t>017_O_a</t>
  </si>
  <si>
    <t>017_O_b</t>
  </si>
  <si>
    <t>017_O_c</t>
  </si>
  <si>
    <t>017_O_d</t>
  </si>
  <si>
    <t>017_S_a</t>
  </si>
  <si>
    <t>017_S_b</t>
  </si>
  <si>
    <t>017_S_c</t>
  </si>
  <si>
    <t>017_S_d</t>
  </si>
  <si>
    <t>017_V_a</t>
  </si>
  <si>
    <t>017_V_b</t>
  </si>
  <si>
    <t>017_V_c</t>
  </si>
  <si>
    <t>017_V_d</t>
  </si>
  <si>
    <t>018_O_a</t>
  </si>
  <si>
    <t>018_O_b</t>
  </si>
  <si>
    <t>018_O_c</t>
  </si>
  <si>
    <t>018_O_d</t>
  </si>
  <si>
    <t>018_S_a</t>
  </si>
  <si>
    <t>018_S_b</t>
  </si>
  <si>
    <t>018_S_c</t>
  </si>
  <si>
    <t>018_S_d</t>
  </si>
  <si>
    <t>018_V_a</t>
  </si>
  <si>
    <t>018_V_b</t>
  </si>
  <si>
    <t>018_V_c</t>
  </si>
  <si>
    <t>018_V_d</t>
  </si>
  <si>
    <t>019_O_a</t>
  </si>
  <si>
    <t>019_O_b</t>
  </si>
  <si>
    <t>019_O_c</t>
  </si>
  <si>
    <t>019_O_d</t>
  </si>
  <si>
    <t>019_S_a</t>
  </si>
  <si>
    <t>019_S_b</t>
  </si>
  <si>
    <t>019_S_c</t>
  </si>
  <si>
    <t>019_S_d</t>
  </si>
  <si>
    <t>019_V_a</t>
  </si>
  <si>
    <t>019_V_b</t>
  </si>
  <si>
    <t>019_V_c</t>
  </si>
  <si>
    <t>019_V_d</t>
  </si>
  <si>
    <t>020_O_a</t>
  </si>
  <si>
    <t>020_O_b</t>
  </si>
  <si>
    <t>020_O_c</t>
  </si>
  <si>
    <t>020_O_d</t>
  </si>
  <si>
    <t>020_S_a</t>
  </si>
  <si>
    <t>020_S_b</t>
  </si>
  <si>
    <t>020_S_c</t>
  </si>
  <si>
    <t>020_S_d</t>
  </si>
  <si>
    <t>020_V_a</t>
  </si>
  <si>
    <t>020_V_b</t>
  </si>
  <si>
    <t>020_V_c</t>
  </si>
  <si>
    <t>020_V_d</t>
  </si>
  <si>
    <t>021_O_a</t>
  </si>
  <si>
    <t>021_O_b</t>
  </si>
  <si>
    <t>021_O_c</t>
  </si>
  <si>
    <t>021_O_d</t>
  </si>
  <si>
    <t>021_S_a</t>
  </si>
  <si>
    <t>021_S_b</t>
  </si>
  <si>
    <t>021_S_c</t>
  </si>
  <si>
    <t>021_S_d</t>
  </si>
  <si>
    <t>021_V_a</t>
  </si>
  <si>
    <t>021_V_b</t>
  </si>
  <si>
    <t>021_V_c</t>
  </si>
  <si>
    <t>021_V_d</t>
  </si>
  <si>
    <t>022_O_a</t>
  </si>
  <si>
    <t>022_O_b</t>
  </si>
  <si>
    <t>022_O_c</t>
  </si>
  <si>
    <t>022_O_d</t>
  </si>
  <si>
    <t>022_S_a</t>
  </si>
  <si>
    <t>022_S_b</t>
  </si>
  <si>
    <t>022_S_c</t>
  </si>
  <si>
    <t>022_S_d</t>
  </si>
  <si>
    <t>022_V_a</t>
  </si>
  <si>
    <t>022_V_b</t>
  </si>
  <si>
    <t>022_V_c</t>
  </si>
  <si>
    <t>022_V_d</t>
  </si>
  <si>
    <t>023_O_a</t>
  </si>
  <si>
    <t>023_O_b</t>
  </si>
  <si>
    <t>023_O_c</t>
  </si>
  <si>
    <t>023_O_d</t>
  </si>
  <si>
    <t>023_S_a</t>
  </si>
  <si>
    <t>023_S_b</t>
  </si>
  <si>
    <t>023_S_c</t>
  </si>
  <si>
    <t>023_S_d</t>
  </si>
  <si>
    <t>023_V_a</t>
  </si>
  <si>
    <t>023_V_b</t>
  </si>
  <si>
    <t>023_V_c</t>
  </si>
  <si>
    <t>023_V_d</t>
  </si>
  <si>
    <t>024_O_a</t>
  </si>
  <si>
    <t>024_O_b</t>
  </si>
  <si>
    <t>024_O_c</t>
  </si>
  <si>
    <t>024_O_d</t>
  </si>
  <si>
    <t>024_S_a</t>
  </si>
  <si>
    <t>024_S_b</t>
  </si>
  <si>
    <t>024_S_c</t>
  </si>
  <si>
    <t>024_S_d</t>
  </si>
  <si>
    <t>024_V_a</t>
  </si>
  <si>
    <t>024_V_b</t>
  </si>
  <si>
    <t>024_V_c</t>
  </si>
  <si>
    <t>024_V_d</t>
  </si>
  <si>
    <t>025_O_a</t>
  </si>
  <si>
    <t>025_O_b</t>
  </si>
  <si>
    <t>025_O_c</t>
  </si>
  <si>
    <t>025_O_d</t>
  </si>
  <si>
    <t>025_S_a</t>
  </si>
  <si>
    <t>025_S_b</t>
  </si>
  <si>
    <t>025_S_c</t>
  </si>
  <si>
    <t>025_S_d</t>
  </si>
  <si>
    <t>025_V_a</t>
  </si>
  <si>
    <t>025_V_b</t>
  </si>
  <si>
    <t>025_V_c</t>
  </si>
  <si>
    <t>025_V_d</t>
  </si>
  <si>
    <t>026_O_a</t>
  </si>
  <si>
    <t>026_O_b</t>
  </si>
  <si>
    <t>026_O_c</t>
  </si>
  <si>
    <t>026_O_d</t>
  </si>
  <si>
    <t>026_S_a</t>
  </si>
  <si>
    <t>026_S_b</t>
  </si>
  <si>
    <t>026_S_c</t>
  </si>
  <si>
    <t>026_S_d</t>
  </si>
  <si>
    <t>026_V_a</t>
  </si>
  <si>
    <t>026_V_b</t>
  </si>
  <si>
    <t>026_V_c</t>
  </si>
  <si>
    <t>026_V_d</t>
  </si>
  <si>
    <t>028_O_a</t>
  </si>
  <si>
    <t>028_O_b</t>
  </si>
  <si>
    <t>028_O_c</t>
  </si>
  <si>
    <t>028_O_d</t>
  </si>
  <si>
    <t>028_S_a</t>
  </si>
  <si>
    <t>028_S_b</t>
  </si>
  <si>
    <t>028_S_c</t>
  </si>
  <si>
    <t>028_S_d</t>
  </si>
  <si>
    <t>028_V_a</t>
  </si>
  <si>
    <t>028_V_b</t>
  </si>
  <si>
    <t>028_V_c</t>
  </si>
  <si>
    <t>028_V_d</t>
  </si>
  <si>
    <t>029_O_a</t>
  </si>
  <si>
    <t>029_O_b</t>
  </si>
  <si>
    <t>029_O_c</t>
  </si>
  <si>
    <t>029_O_d</t>
  </si>
  <si>
    <t>029_S_a</t>
  </si>
  <si>
    <t>029_S_b</t>
  </si>
  <si>
    <t>029_S_c</t>
  </si>
  <si>
    <t>029_S_d</t>
  </si>
  <si>
    <t>029_V_a</t>
  </si>
  <si>
    <t>029_V_b</t>
  </si>
  <si>
    <t>029_V_c</t>
  </si>
  <si>
    <t>029_V_d</t>
  </si>
  <si>
    <t>030_O_a</t>
  </si>
  <si>
    <t>030_O_b</t>
  </si>
  <si>
    <t>030_O_c</t>
  </si>
  <si>
    <t>030_O_d</t>
  </si>
  <si>
    <t>030_S_a</t>
  </si>
  <si>
    <t>030_S_b</t>
  </si>
  <si>
    <t>030_S_c</t>
  </si>
  <si>
    <t>030_S_d</t>
  </si>
  <si>
    <t>030_V_a</t>
  </si>
  <si>
    <t>030_V_b</t>
  </si>
  <si>
    <t>030_V_c</t>
  </si>
  <si>
    <t>030_V_d</t>
  </si>
  <si>
    <t>031_O_a</t>
  </si>
  <si>
    <t>031_O_b</t>
  </si>
  <si>
    <t>031_O_c</t>
  </si>
  <si>
    <t>031_O_d</t>
  </si>
  <si>
    <t>031_S_a</t>
  </si>
  <si>
    <t>031_S_b</t>
  </si>
  <si>
    <t>031_S_c</t>
  </si>
  <si>
    <t>031_S_d</t>
  </si>
  <si>
    <t>031_V_a</t>
  </si>
  <si>
    <t>031_V_b</t>
  </si>
  <si>
    <t>031_V_c</t>
  </si>
  <si>
    <t>031_V_d</t>
  </si>
  <si>
    <t>032_O_a</t>
  </si>
  <si>
    <t>032_O_b</t>
  </si>
  <si>
    <t>032_O_c</t>
  </si>
  <si>
    <t>032_O_d</t>
  </si>
  <si>
    <t>032_S_a</t>
  </si>
  <si>
    <t>032_S_b</t>
  </si>
  <si>
    <t>032_S_c</t>
  </si>
  <si>
    <t>032_S_d</t>
  </si>
  <si>
    <t>032_V_a</t>
  </si>
  <si>
    <t>032_V_b</t>
  </si>
  <si>
    <t>032_V_c</t>
  </si>
  <si>
    <t>032_V_d</t>
  </si>
  <si>
    <t>033_O_a</t>
  </si>
  <si>
    <t>033_O_b</t>
  </si>
  <si>
    <t>033_O_c</t>
  </si>
  <si>
    <t>033_O_d</t>
  </si>
  <si>
    <t>033_S_a</t>
  </si>
  <si>
    <t>033_S_b</t>
  </si>
  <si>
    <t>033_S_c</t>
  </si>
  <si>
    <t>033_S_d</t>
  </si>
  <si>
    <t>033_V_a</t>
  </si>
  <si>
    <t>033_V_b</t>
  </si>
  <si>
    <t>033_V_c</t>
  </si>
  <si>
    <t>033_V_d</t>
  </si>
  <si>
    <t>034_O_a</t>
  </si>
  <si>
    <t>034_O_b</t>
  </si>
  <si>
    <t>034_O_c</t>
  </si>
  <si>
    <t>034_O_d</t>
  </si>
  <si>
    <t>034_S_a</t>
  </si>
  <si>
    <t>034_S_b</t>
  </si>
  <si>
    <t>034_S_c</t>
  </si>
  <si>
    <t>034_S_d</t>
  </si>
  <si>
    <t>034_V_a</t>
  </si>
  <si>
    <t>034_V_b</t>
  </si>
  <si>
    <t>034_V_c</t>
  </si>
  <si>
    <t>034_V_d</t>
  </si>
  <si>
    <t>035_O_a</t>
  </si>
  <si>
    <t>035_O_b</t>
  </si>
  <si>
    <t>035_O_c</t>
  </si>
  <si>
    <t>035_O_d</t>
  </si>
  <si>
    <t>035_S_a</t>
  </si>
  <si>
    <t>035_S_b</t>
  </si>
  <si>
    <t>035_S_c</t>
  </si>
  <si>
    <t>035_S_d</t>
  </si>
  <si>
    <t>035_V_a</t>
  </si>
  <si>
    <t>035_V_b</t>
  </si>
  <si>
    <t>035_V_c</t>
  </si>
  <si>
    <t>035_V_d</t>
  </si>
  <si>
    <t>037_O_a</t>
  </si>
  <si>
    <t>037_O_b</t>
  </si>
  <si>
    <t>037_O_c</t>
  </si>
  <si>
    <t>037_O_d</t>
  </si>
  <si>
    <t>037_S_a</t>
  </si>
  <si>
    <t>037_S_b</t>
  </si>
  <si>
    <t>037_S_c</t>
  </si>
  <si>
    <t>037_S_d</t>
  </si>
  <si>
    <t>037_V_a</t>
  </si>
  <si>
    <t>037_V_b</t>
  </si>
  <si>
    <t>037_V_c</t>
  </si>
  <si>
    <t>037_V_d</t>
  </si>
  <si>
    <t>038_O_a</t>
  </si>
  <si>
    <t>038_O_b</t>
  </si>
  <si>
    <t>038_O_c</t>
  </si>
  <si>
    <t>038_O_d</t>
  </si>
  <si>
    <t>038_S_a</t>
  </si>
  <si>
    <t>038_S_b</t>
  </si>
  <si>
    <t>038_S_c</t>
  </si>
  <si>
    <t>038_S_d</t>
  </si>
  <si>
    <t>038_V_a</t>
  </si>
  <si>
    <t>038_V_b</t>
  </si>
  <si>
    <t>038_V_c</t>
  </si>
  <si>
    <t>038_V_d</t>
  </si>
  <si>
    <t>039_O_a</t>
  </si>
  <si>
    <t>039_O_b</t>
  </si>
  <si>
    <t>039_O_c</t>
  </si>
  <si>
    <t>039_O_d</t>
  </si>
  <si>
    <t>039_S_a</t>
  </si>
  <si>
    <t>039_S_b</t>
  </si>
  <si>
    <t>039_S_c</t>
  </si>
  <si>
    <t>039_S_d</t>
  </si>
  <si>
    <t>039_V_a</t>
  </si>
  <si>
    <t>039_V_b</t>
  </si>
  <si>
    <t>039_V_c</t>
  </si>
  <si>
    <t>039_V_d</t>
  </si>
  <si>
    <t>041_O_a</t>
  </si>
  <si>
    <t>041_O_b</t>
  </si>
  <si>
    <t>041_O_c</t>
  </si>
  <si>
    <t>041_O_d</t>
  </si>
  <si>
    <t>041_S_a</t>
  </si>
  <si>
    <t>041_S_b</t>
  </si>
  <si>
    <t>041_S_c</t>
  </si>
  <si>
    <t>041_S_d</t>
  </si>
  <si>
    <t>041_V_a</t>
  </si>
  <si>
    <t>041_V_b</t>
  </si>
  <si>
    <t>041_V_c</t>
  </si>
  <si>
    <t>041_V_d</t>
  </si>
  <si>
    <t>042_O_a</t>
  </si>
  <si>
    <t>042_O_b</t>
  </si>
  <si>
    <t>042_O_c</t>
  </si>
  <si>
    <t>042_O_d</t>
  </si>
  <si>
    <t>042_S_a</t>
  </si>
  <si>
    <t>042_S_b</t>
  </si>
  <si>
    <t>042_S_c</t>
  </si>
  <si>
    <t>042_S_d</t>
  </si>
  <si>
    <t>042_V_a</t>
  </si>
  <si>
    <t>042_V_b</t>
  </si>
  <si>
    <t>042_V_c</t>
  </si>
  <si>
    <t>042_V_d</t>
  </si>
  <si>
    <t>043_O_a</t>
  </si>
  <si>
    <t>043_O_b</t>
  </si>
  <si>
    <t>043_O_c</t>
  </si>
  <si>
    <t>043_O_d</t>
  </si>
  <si>
    <t>043_S_a</t>
  </si>
  <si>
    <t>043_S_b</t>
  </si>
  <si>
    <t>043_S_c</t>
  </si>
  <si>
    <t>043_S_d</t>
  </si>
  <si>
    <t>043_V_a</t>
  </si>
  <si>
    <t>043_V_b</t>
  </si>
  <si>
    <t>043_V_c</t>
  </si>
  <si>
    <t>043_V_d</t>
  </si>
  <si>
    <t>044_O_d</t>
  </si>
  <si>
    <t>044_S_d</t>
  </si>
  <si>
    <t>044_V_d</t>
  </si>
  <si>
    <t>045_O_a</t>
  </si>
  <si>
    <t>045_O_b</t>
  </si>
  <si>
    <t>045_O_c</t>
  </si>
  <si>
    <t>045_O_d</t>
  </si>
  <si>
    <t>045_S_a</t>
  </si>
  <si>
    <t>045_S_b</t>
  </si>
  <si>
    <t>045_S_c</t>
  </si>
  <si>
    <t>045_S_d</t>
  </si>
  <si>
    <t>045_V_a</t>
  </si>
  <si>
    <t>045_V_b</t>
  </si>
  <si>
    <t>045_V_c</t>
  </si>
  <si>
    <t>045_V_d</t>
  </si>
  <si>
    <t>046_O_a</t>
  </si>
  <si>
    <t>046_O_b</t>
  </si>
  <si>
    <t>046_O_c</t>
  </si>
  <si>
    <t>046_O_d</t>
  </si>
  <si>
    <t>046_S_a</t>
  </si>
  <si>
    <t>046_S_b</t>
  </si>
  <si>
    <t>046_S_c</t>
  </si>
  <si>
    <t>046_S_d</t>
  </si>
  <si>
    <t>046_V_a</t>
  </si>
  <si>
    <t>046_V_b</t>
  </si>
  <si>
    <t>046_V_c</t>
  </si>
  <si>
    <t>046_V_d</t>
  </si>
  <si>
    <t>047_O_a</t>
  </si>
  <si>
    <t>047_O_b</t>
  </si>
  <si>
    <t>047_O_c</t>
  </si>
  <si>
    <t>047_O_d</t>
  </si>
  <si>
    <t>047_S_a</t>
  </si>
  <si>
    <t>047_S_b</t>
  </si>
  <si>
    <t>047_S_c</t>
  </si>
  <si>
    <t>047_S_d</t>
  </si>
  <si>
    <t>047_V_a</t>
  </si>
  <si>
    <t>047_V_b</t>
  </si>
  <si>
    <t>047_V_c</t>
  </si>
  <si>
    <t>047_V_d</t>
  </si>
  <si>
    <t>048_O_a</t>
  </si>
  <si>
    <t>048_O_b</t>
  </si>
  <si>
    <t>048_O_c</t>
  </si>
  <si>
    <t>048_O_d</t>
  </si>
  <si>
    <t>048_S_a</t>
  </si>
  <si>
    <t>048_S_b</t>
  </si>
  <si>
    <t>048_S_c</t>
  </si>
  <si>
    <t>048_S_d</t>
  </si>
  <si>
    <t>048_V_a</t>
  </si>
  <si>
    <t>048_V_b</t>
  </si>
  <si>
    <t>048_V_c</t>
  </si>
  <si>
    <t>048_V_d</t>
  </si>
  <si>
    <t>049_O_a</t>
  </si>
  <si>
    <t>049_O_b</t>
  </si>
  <si>
    <t>049_O_c</t>
  </si>
  <si>
    <t>049_O_d</t>
  </si>
  <si>
    <t>049_S_a</t>
  </si>
  <si>
    <t>049_S_b</t>
  </si>
  <si>
    <t>049_S_c</t>
  </si>
  <si>
    <t>049_S_d</t>
  </si>
  <si>
    <t>049_V_a</t>
  </si>
  <si>
    <t>049_V_b</t>
  </si>
  <si>
    <t>049_V_c</t>
  </si>
  <si>
    <t>049_V_d</t>
  </si>
  <si>
    <t>050_O_a</t>
  </si>
  <si>
    <t>050_O_b</t>
  </si>
  <si>
    <t>050_O_c</t>
  </si>
  <si>
    <t>050_O_d</t>
  </si>
  <si>
    <t>050_S_a</t>
  </si>
  <si>
    <t>050_S_b</t>
  </si>
  <si>
    <t>050_S_c</t>
  </si>
  <si>
    <t>050_S_d</t>
  </si>
  <si>
    <t>050_V_a</t>
  </si>
  <si>
    <t>050_V_b</t>
  </si>
  <si>
    <t>050_V_c</t>
  </si>
  <si>
    <t>050_V_d</t>
  </si>
  <si>
    <t>052_O_a</t>
  </si>
  <si>
    <t>052_O_b</t>
  </si>
  <si>
    <t>052_O_c</t>
  </si>
  <si>
    <t>052_O_d</t>
  </si>
  <si>
    <t>052_S_a</t>
  </si>
  <si>
    <t>052_S_b</t>
  </si>
  <si>
    <t>052_S_c</t>
  </si>
  <si>
    <t>052_S_d</t>
  </si>
  <si>
    <t>052_V_a</t>
  </si>
  <si>
    <t>052_V_b</t>
  </si>
  <si>
    <t>052_V_c</t>
  </si>
  <si>
    <t>052_V_d</t>
  </si>
  <si>
    <t>053_O_a</t>
  </si>
  <si>
    <t>053_O_b</t>
  </si>
  <si>
    <t>053_O_c</t>
  </si>
  <si>
    <t>053_O_d</t>
  </si>
  <si>
    <t>053_S_a</t>
  </si>
  <si>
    <t>053_S_b</t>
  </si>
  <si>
    <t>053_S_c</t>
  </si>
  <si>
    <t>053_S_d</t>
  </si>
  <si>
    <t>053_V_a</t>
  </si>
  <si>
    <t>053_V_b</t>
  </si>
  <si>
    <t>053_V_c</t>
  </si>
  <si>
    <t>053_V_d</t>
  </si>
  <si>
    <t>054_O_a</t>
  </si>
  <si>
    <t>054_O_b</t>
  </si>
  <si>
    <t>054_O_c</t>
  </si>
  <si>
    <t>054_O_d</t>
  </si>
  <si>
    <t>054_S_a</t>
  </si>
  <si>
    <t>054_S_b</t>
  </si>
  <si>
    <t>054_S_c</t>
  </si>
  <si>
    <t>054_S_d</t>
  </si>
  <si>
    <t>054_V_a</t>
  </si>
  <si>
    <t>054_V_b</t>
  </si>
  <si>
    <t>054_V_c</t>
  </si>
  <si>
    <t>054_V_d</t>
  </si>
  <si>
    <t>055_O_a</t>
  </si>
  <si>
    <t>055_O_b</t>
  </si>
  <si>
    <t>055_O_c</t>
  </si>
  <si>
    <t>055_O_d</t>
  </si>
  <si>
    <t>055_S_a</t>
  </si>
  <si>
    <t>055_S_b</t>
  </si>
  <si>
    <t>055_S_c</t>
  </si>
  <si>
    <t>055_S_d</t>
  </si>
  <si>
    <t>055_V_a</t>
  </si>
  <si>
    <t>055_V_b</t>
  </si>
  <si>
    <t>055_V_c</t>
  </si>
  <si>
    <t>055_V_d</t>
  </si>
  <si>
    <t>056_O_a</t>
  </si>
  <si>
    <t>056_O_b</t>
  </si>
  <si>
    <t>056_O_c</t>
  </si>
  <si>
    <t>056_O_d</t>
  </si>
  <si>
    <t>056_S_a</t>
  </si>
  <si>
    <t>056_S_b</t>
  </si>
  <si>
    <t>056_S_c</t>
  </si>
  <si>
    <t>056_S_d</t>
  </si>
  <si>
    <t>056_V_a</t>
  </si>
  <si>
    <t>056_V_b</t>
  </si>
  <si>
    <t>056_V_c</t>
  </si>
  <si>
    <t>056_V_d</t>
  </si>
  <si>
    <t>057_O_a</t>
  </si>
  <si>
    <t>057_O_b</t>
  </si>
  <si>
    <t>057_O_c</t>
  </si>
  <si>
    <t>057_O_d</t>
  </si>
  <si>
    <t>057_S_a</t>
  </si>
  <si>
    <t>057_S_b</t>
  </si>
  <si>
    <t>057_S_c</t>
  </si>
  <si>
    <t>057_S_d</t>
  </si>
  <si>
    <t>057_V_a</t>
  </si>
  <si>
    <t>057_V_b</t>
  </si>
  <si>
    <t>057_V_c</t>
  </si>
  <si>
    <t>057_V_d</t>
  </si>
  <si>
    <t>058_O_a</t>
  </si>
  <si>
    <t>058_O_b</t>
  </si>
  <si>
    <t>058_O_c</t>
  </si>
  <si>
    <t>058_O_d</t>
  </si>
  <si>
    <t>058_S_a</t>
  </si>
  <si>
    <t>058_S_b</t>
  </si>
  <si>
    <t>058_S_c</t>
  </si>
  <si>
    <t>058_S_d</t>
  </si>
  <si>
    <t>058_V_a</t>
  </si>
  <si>
    <t>058_V_b</t>
  </si>
  <si>
    <t>058_V_c</t>
  </si>
  <si>
    <t>058_V_d</t>
  </si>
  <si>
    <t>059_O_d</t>
  </si>
  <si>
    <t>059_S_d</t>
  </si>
  <si>
    <t>059_V_d</t>
  </si>
  <si>
    <t>060_O_a</t>
  </si>
  <si>
    <t>060_O_b</t>
  </si>
  <si>
    <t>060_O_c</t>
  </si>
  <si>
    <t>060_O_d</t>
  </si>
  <si>
    <t>060_S_a</t>
  </si>
  <si>
    <t>060_S_b</t>
  </si>
  <si>
    <t>060_S_c</t>
  </si>
  <si>
    <t>060_S_d</t>
  </si>
  <si>
    <t>060_V_a</t>
  </si>
  <si>
    <t>060_V_b</t>
  </si>
  <si>
    <t>060_V_c</t>
  </si>
  <si>
    <t>060_V_d</t>
  </si>
  <si>
    <t>062_O_a</t>
  </si>
  <si>
    <t>062_O_b</t>
  </si>
  <si>
    <t>062_O_c</t>
  </si>
  <si>
    <t>062_O_d</t>
  </si>
  <si>
    <t>062_S_a</t>
  </si>
  <si>
    <t>062_S_b</t>
  </si>
  <si>
    <t>062_S_c</t>
  </si>
  <si>
    <t>062_S_d</t>
  </si>
  <si>
    <t>062_V_a</t>
  </si>
  <si>
    <t>062_V_b</t>
  </si>
  <si>
    <t>062_V_c</t>
  </si>
  <si>
    <t>062_V_d</t>
  </si>
  <si>
    <t>063_O_a</t>
  </si>
  <si>
    <t>063_O_b</t>
  </si>
  <si>
    <t>063_O_c</t>
  </si>
  <si>
    <t>063_O_d</t>
  </si>
  <si>
    <t>063_S_a</t>
  </si>
  <si>
    <t>063_S_b</t>
  </si>
  <si>
    <t>063_S_c</t>
  </si>
  <si>
    <t>063_S_d</t>
  </si>
  <si>
    <t>063_V_a</t>
  </si>
  <si>
    <t>063_V_b</t>
  </si>
  <si>
    <t>063_V_c</t>
  </si>
  <si>
    <t>063_V_d</t>
  </si>
  <si>
    <t>064_O_a</t>
  </si>
  <si>
    <t>064_O_b</t>
  </si>
  <si>
    <t>064_O_c</t>
  </si>
  <si>
    <t>064_O_d</t>
  </si>
  <si>
    <t>064_S_a</t>
  </si>
  <si>
    <t>064_S_b</t>
  </si>
  <si>
    <t>064_S_c</t>
  </si>
  <si>
    <t>064_S_d</t>
  </si>
  <si>
    <t>064_V_a</t>
  </si>
  <si>
    <t>064_V_b</t>
  </si>
  <si>
    <t>064_V_c</t>
  </si>
  <si>
    <t>064_V_d</t>
  </si>
  <si>
    <t>065_O_a</t>
  </si>
  <si>
    <t>065_O_b</t>
  </si>
  <si>
    <t>065_O_c</t>
  </si>
  <si>
    <t>065_O_d</t>
  </si>
  <si>
    <t>065_S_a</t>
  </si>
  <si>
    <t>065_S_b</t>
  </si>
  <si>
    <t>065_S_c</t>
  </si>
  <si>
    <t>065_S_d</t>
  </si>
  <si>
    <t>065_V_a</t>
  </si>
  <si>
    <t>065_V_b</t>
  </si>
  <si>
    <t>065_V_c</t>
  </si>
  <si>
    <t>065_V_d</t>
  </si>
  <si>
    <t>067_O_a</t>
  </si>
  <si>
    <t>067_O_b</t>
  </si>
  <si>
    <t>067_O_c</t>
  </si>
  <si>
    <t>067_O_d</t>
  </si>
  <si>
    <t>067_S_a</t>
  </si>
  <si>
    <t>067_S_b</t>
  </si>
  <si>
    <t>067_S_c</t>
  </si>
  <si>
    <t>067_S_d</t>
  </si>
  <si>
    <t>067_V_a</t>
  </si>
  <si>
    <t>067_V_b</t>
  </si>
  <si>
    <t>067_V_c</t>
  </si>
  <si>
    <t>067_V_d</t>
  </si>
  <si>
    <t>068_O_a</t>
  </si>
  <si>
    <t>068_O_b</t>
  </si>
  <si>
    <t>068_O_c</t>
  </si>
  <si>
    <t>068_O_d</t>
  </si>
  <si>
    <t>068_S_a</t>
  </si>
  <si>
    <t>068_S_b</t>
  </si>
  <si>
    <t>068_S_c</t>
  </si>
  <si>
    <t>068_S_d</t>
  </si>
  <si>
    <t>068_V_a</t>
  </si>
  <si>
    <t>068_V_b</t>
  </si>
  <si>
    <t>068_V_c</t>
  </si>
  <si>
    <t>068_V_d</t>
  </si>
  <si>
    <t>069_O_a</t>
  </si>
  <si>
    <t>069_O_b</t>
  </si>
  <si>
    <t>069_O_c</t>
  </si>
  <si>
    <t>069_O_d</t>
  </si>
  <si>
    <t>069_S_a</t>
  </si>
  <si>
    <t>069_S_b</t>
  </si>
  <si>
    <t>069_S_c</t>
  </si>
  <si>
    <t>069_S_d</t>
  </si>
  <si>
    <t>069_V_a</t>
  </si>
  <si>
    <t>069_V_b</t>
  </si>
  <si>
    <t>069_V_c</t>
  </si>
  <si>
    <t>069_V_d</t>
  </si>
  <si>
    <t>070_O_d</t>
  </si>
  <si>
    <t>070_S_d</t>
  </si>
  <si>
    <t>070_V_d</t>
  </si>
  <si>
    <t>071_O_a</t>
  </si>
  <si>
    <t>071_O_b</t>
  </si>
  <si>
    <t>071_O_c</t>
  </si>
  <si>
    <t>071_O_d</t>
  </si>
  <si>
    <t>071_S_a</t>
  </si>
  <si>
    <t>071_S_b</t>
  </si>
  <si>
    <t>071_S_c</t>
  </si>
  <si>
    <t>071_S_d</t>
  </si>
  <si>
    <t>071_V_a</t>
  </si>
  <si>
    <t>071_V_b</t>
  </si>
  <si>
    <t>071_V_c</t>
  </si>
  <si>
    <t>071_V_d</t>
  </si>
  <si>
    <t>072_O_a</t>
  </si>
  <si>
    <t>072_O_b</t>
  </si>
  <si>
    <t>072_O_c</t>
  </si>
  <si>
    <t>072_O_d</t>
  </si>
  <si>
    <t>072_S_a</t>
  </si>
  <si>
    <t>072_S_b</t>
  </si>
  <si>
    <t>072_S_c</t>
  </si>
  <si>
    <t>072_S_d</t>
  </si>
  <si>
    <t>072_V_a</t>
  </si>
  <si>
    <t>072_V_b</t>
  </si>
  <si>
    <t>072_V_c</t>
  </si>
  <si>
    <t>072_V_d</t>
  </si>
  <si>
    <t>073_O_a</t>
  </si>
  <si>
    <t>073_O_b</t>
  </si>
  <si>
    <t>073_O_c</t>
  </si>
  <si>
    <t>073_O_d</t>
  </si>
  <si>
    <t>073_S_a</t>
  </si>
  <si>
    <t>073_S_b</t>
  </si>
  <si>
    <t>073_S_c</t>
  </si>
  <si>
    <t>073_S_d</t>
  </si>
  <si>
    <t>073_V_a</t>
  </si>
  <si>
    <t>073_V_b</t>
  </si>
  <si>
    <t>073_V_c</t>
  </si>
  <si>
    <t>073_V_d</t>
  </si>
  <si>
    <t>074_O_a</t>
  </si>
  <si>
    <t>074_O_b</t>
  </si>
  <si>
    <t>074_O_c</t>
  </si>
  <si>
    <t>074_O_d</t>
  </si>
  <si>
    <t>074_S_a</t>
  </si>
  <si>
    <t>074_S_b</t>
  </si>
  <si>
    <t>074_S_c</t>
  </si>
  <si>
    <t>074_S_d</t>
  </si>
  <si>
    <t>074_V_a</t>
  </si>
  <si>
    <t>074_V_b</t>
  </si>
  <si>
    <t>074_V_c</t>
  </si>
  <si>
    <t>074_V_d</t>
  </si>
  <si>
    <t>075_O_a</t>
  </si>
  <si>
    <t>075_O_b</t>
  </si>
  <si>
    <t>075_O_c</t>
  </si>
  <si>
    <t>075_O_d</t>
  </si>
  <si>
    <t>075_S_a</t>
  </si>
  <si>
    <t>075_S_b</t>
  </si>
  <si>
    <t>075_S_c</t>
  </si>
  <si>
    <t>075_S_d</t>
  </si>
  <si>
    <t>075_V_a</t>
  </si>
  <si>
    <t>075_V_b</t>
  </si>
  <si>
    <t>075_V_c</t>
  </si>
  <si>
    <t>075_V_d</t>
  </si>
  <si>
    <t>076_O_a</t>
  </si>
  <si>
    <t>076_O_b</t>
  </si>
  <si>
    <t>076_O_c</t>
  </si>
  <si>
    <t>076_O_d</t>
  </si>
  <si>
    <t>076_S_a</t>
  </si>
  <si>
    <t>076_S_b</t>
  </si>
  <si>
    <t>076_S_c</t>
  </si>
  <si>
    <t>076_S_d</t>
  </si>
  <si>
    <t>076_V_a</t>
  </si>
  <si>
    <t>076_V_b</t>
  </si>
  <si>
    <t>076_V_c</t>
  </si>
  <si>
    <t>076_V_d</t>
  </si>
  <si>
    <t>077_O_d</t>
  </si>
  <si>
    <t>077_S_d</t>
  </si>
  <si>
    <t>077_V_d</t>
  </si>
  <si>
    <t>078_O_a</t>
  </si>
  <si>
    <t>078_O_b</t>
  </si>
  <si>
    <t>078_O_c</t>
  </si>
  <si>
    <t>078_O_d</t>
  </si>
  <si>
    <t>078_S_a</t>
  </si>
  <si>
    <t>078_S_b</t>
  </si>
  <si>
    <t>078_S_c</t>
  </si>
  <si>
    <t>078_S_d</t>
  </si>
  <si>
    <t>078_V_a</t>
  </si>
  <si>
    <t>078_V_b</t>
  </si>
  <si>
    <t>078_V_c</t>
  </si>
  <si>
    <t>078_V_d</t>
  </si>
  <si>
    <t>079_O_a</t>
  </si>
  <si>
    <t>079_O_b</t>
  </si>
  <si>
    <t>079_O_c</t>
  </si>
  <si>
    <t>079_O_d</t>
  </si>
  <si>
    <t>079_S_a</t>
  </si>
  <si>
    <t>079_S_b</t>
  </si>
  <si>
    <t>079_S_c</t>
  </si>
  <si>
    <t>079_S_d</t>
  </si>
  <si>
    <t>079_V_a</t>
  </si>
  <si>
    <t>079_V_b</t>
  </si>
  <si>
    <t>079_V_c</t>
  </si>
  <si>
    <t>079_V_d</t>
  </si>
  <si>
    <t>080_O_a</t>
  </si>
  <si>
    <t>080_O_b</t>
  </si>
  <si>
    <t>080_O_c</t>
  </si>
  <si>
    <t>080_O_d</t>
  </si>
  <si>
    <t>080_S_a</t>
  </si>
  <si>
    <t>080_S_b</t>
  </si>
  <si>
    <t>080_S_c</t>
  </si>
  <si>
    <t>080_S_d</t>
  </si>
  <si>
    <t>080_V_a</t>
  </si>
  <si>
    <t>080_V_b</t>
  </si>
  <si>
    <t>080_V_c</t>
  </si>
  <si>
    <t>080_V_d</t>
  </si>
  <si>
    <t>081_O_a</t>
  </si>
  <si>
    <t>081_O_b</t>
  </si>
  <si>
    <t>081_O_c</t>
  </si>
  <si>
    <t>081_O_d</t>
  </si>
  <si>
    <t>081_S_a</t>
  </si>
  <si>
    <t>081_S_b</t>
  </si>
  <si>
    <t>081_S_c</t>
  </si>
  <si>
    <t>081_S_d</t>
  </si>
  <si>
    <t>081_V_a</t>
  </si>
  <si>
    <t>081_V_b</t>
  </si>
  <si>
    <t>081_V_c</t>
  </si>
  <si>
    <t>081_V_d</t>
  </si>
  <si>
    <t>082_O_a</t>
  </si>
  <si>
    <t>082_O_b</t>
  </si>
  <si>
    <t>082_O_c</t>
  </si>
  <si>
    <t>082_O_d</t>
  </si>
  <si>
    <t>082_S_a</t>
  </si>
  <si>
    <t>082_S_b</t>
  </si>
  <si>
    <t>082_S_c</t>
  </si>
  <si>
    <t>082_S_d</t>
  </si>
  <si>
    <t>082_V_a</t>
  </si>
  <si>
    <t>082_V_b</t>
  </si>
  <si>
    <t>082_V_c</t>
  </si>
  <si>
    <t>082_V_d</t>
  </si>
  <si>
    <t>083_O_a</t>
  </si>
  <si>
    <t>083_O_b</t>
  </si>
  <si>
    <t>083_O_c</t>
  </si>
  <si>
    <t>083_O_d</t>
  </si>
  <si>
    <t>083_S_a</t>
  </si>
  <si>
    <t>083_S_b</t>
  </si>
  <si>
    <t>083_S_c</t>
  </si>
  <si>
    <t>083_S_d</t>
  </si>
  <si>
    <t>083_V_a</t>
  </si>
  <si>
    <t>083_V_b</t>
  </si>
  <si>
    <t>083_V_c</t>
  </si>
  <si>
    <t>083_V_d</t>
  </si>
  <si>
    <t>084_O_a</t>
  </si>
  <si>
    <t>084_O_b</t>
  </si>
  <si>
    <t>084_O_c</t>
  </si>
  <si>
    <t>084_O_d</t>
  </si>
  <si>
    <t>084_S_a</t>
  </si>
  <si>
    <t>084_S_b</t>
  </si>
  <si>
    <t>084_S_c</t>
  </si>
  <si>
    <t>084_S_d</t>
  </si>
  <si>
    <t>084_V_a</t>
  </si>
  <si>
    <t>084_V_b</t>
  </si>
  <si>
    <t>084_V_c</t>
  </si>
  <si>
    <t>084_V_d</t>
  </si>
  <si>
    <t>085_O_a</t>
  </si>
  <si>
    <t>085_O_b</t>
  </si>
  <si>
    <t>085_O_c</t>
  </si>
  <si>
    <t>085_O_d</t>
  </si>
  <si>
    <t>085_S_a</t>
  </si>
  <si>
    <t>085_S_b</t>
  </si>
  <si>
    <t>085_S_c</t>
  </si>
  <si>
    <t>085_S_d</t>
  </si>
  <si>
    <t>085_V_a</t>
  </si>
  <si>
    <t>085_V_b</t>
  </si>
  <si>
    <t>085_V_c</t>
  </si>
  <si>
    <t>085_V_d</t>
  </si>
  <si>
    <t>086_O_a</t>
  </si>
  <si>
    <t>086_O_b</t>
  </si>
  <si>
    <t>086_O_c</t>
  </si>
  <si>
    <t>086_O_d</t>
  </si>
  <si>
    <t>086_S_a</t>
  </si>
  <si>
    <t>086_S_b</t>
  </si>
  <si>
    <t>086_S_c</t>
  </si>
  <si>
    <t>086_S_d</t>
  </si>
  <si>
    <t>086_V_a</t>
  </si>
  <si>
    <t>086_V_b</t>
  </si>
  <si>
    <t>086_V_c</t>
  </si>
  <si>
    <t>086_V_d</t>
  </si>
  <si>
    <t>087_O_a</t>
  </si>
  <si>
    <t>087_O_b</t>
  </si>
  <si>
    <t>087_O_c</t>
  </si>
  <si>
    <t>087_O_d</t>
  </si>
  <si>
    <t>087_S_a</t>
  </si>
  <si>
    <t>087_S_b</t>
  </si>
  <si>
    <t>087_S_c</t>
  </si>
  <si>
    <t>087_S_d</t>
  </si>
  <si>
    <t>087_V_a</t>
  </si>
  <si>
    <t>087_V_b</t>
  </si>
  <si>
    <t>087_V_c</t>
  </si>
  <si>
    <t>087_V_d</t>
  </si>
  <si>
    <t>088_O_a</t>
  </si>
  <si>
    <t>088_O_b</t>
  </si>
  <si>
    <t>088_O_c</t>
  </si>
  <si>
    <t>088_O_d</t>
  </si>
  <si>
    <t>088_S_a</t>
  </si>
  <si>
    <t>088_S_b</t>
  </si>
  <si>
    <t>088_S_c</t>
  </si>
  <si>
    <t>088_S_d</t>
  </si>
  <si>
    <t>088_V_a</t>
  </si>
  <si>
    <t>088_V_b</t>
  </si>
  <si>
    <t>088_V_c</t>
  </si>
  <si>
    <t>088_V_d</t>
  </si>
  <si>
    <t>089_O_a</t>
  </si>
  <si>
    <t>089_O_b</t>
  </si>
  <si>
    <t>089_O_c</t>
  </si>
  <si>
    <t>089_O_d</t>
  </si>
  <si>
    <t>089_S_a</t>
  </si>
  <si>
    <t>089_S_b</t>
  </si>
  <si>
    <t>089_S_c</t>
  </si>
  <si>
    <t>089_S_d</t>
  </si>
  <si>
    <t>089_V_a</t>
  </si>
  <si>
    <t>089_V_b</t>
  </si>
  <si>
    <t>089_V_c</t>
  </si>
  <si>
    <t>089_V_d</t>
  </si>
  <si>
    <t>090_O_a</t>
  </si>
  <si>
    <t>090_O_b</t>
  </si>
  <si>
    <t>090_O_c</t>
  </si>
  <si>
    <t>090_O_d</t>
  </si>
  <si>
    <t>090_S_a</t>
  </si>
  <si>
    <t>090_S_b</t>
  </si>
  <si>
    <t>090_S_c</t>
  </si>
  <si>
    <t>090_S_d</t>
  </si>
  <si>
    <t>090_V_a</t>
  </si>
  <si>
    <t>090_V_b</t>
  </si>
  <si>
    <t>090_V_c</t>
  </si>
  <si>
    <t>090_V_d</t>
  </si>
  <si>
    <t>091_O_a</t>
  </si>
  <si>
    <t>091_O_b</t>
  </si>
  <si>
    <t>091_O_c</t>
  </si>
  <si>
    <t>091_O_d</t>
  </si>
  <si>
    <t>091_S_a</t>
  </si>
  <si>
    <t>091_S_b</t>
  </si>
  <si>
    <t>091_S_c</t>
  </si>
  <si>
    <t>091_S_d</t>
  </si>
  <si>
    <t>091_V_a</t>
  </si>
  <si>
    <t>091_V_b</t>
  </si>
  <si>
    <t>091_V_c</t>
  </si>
  <si>
    <t>091_V_d</t>
  </si>
  <si>
    <t>092_O_a</t>
  </si>
  <si>
    <t>092_O_b</t>
  </si>
  <si>
    <t>092_O_c</t>
  </si>
  <si>
    <t>092_O_d</t>
  </si>
  <si>
    <t>092_S_a</t>
  </si>
  <si>
    <t>092_S_b</t>
  </si>
  <si>
    <t>092_S_c</t>
  </si>
  <si>
    <t>092_S_d</t>
  </si>
  <si>
    <t>092_V_a</t>
  </si>
  <si>
    <t>092_V_b</t>
  </si>
  <si>
    <t>092_V_c</t>
  </si>
  <si>
    <t>092_V_d</t>
  </si>
  <si>
    <t>093_O_a</t>
  </si>
  <si>
    <t>093_O_b</t>
  </si>
  <si>
    <t>093_O_c</t>
  </si>
  <si>
    <t>093_O_d</t>
  </si>
  <si>
    <t>093_S_a</t>
  </si>
  <si>
    <t>093_S_b</t>
  </si>
  <si>
    <t>093_S_c</t>
  </si>
  <si>
    <t>093_S_d</t>
  </si>
  <si>
    <t>093_V_a</t>
  </si>
  <si>
    <t>093_V_b</t>
  </si>
  <si>
    <t>093_V_c</t>
  </si>
  <si>
    <t>093_V_d</t>
  </si>
  <si>
    <t>094_O_a</t>
  </si>
  <si>
    <t>094_O_b</t>
  </si>
  <si>
    <t>094_O_c</t>
  </si>
  <si>
    <t>094_O_d</t>
  </si>
  <si>
    <t>094_S_a</t>
  </si>
  <si>
    <t>094_S_b</t>
  </si>
  <si>
    <t>094_S_c</t>
  </si>
  <si>
    <t>094_S_d</t>
  </si>
  <si>
    <t>094_V_a</t>
  </si>
  <si>
    <t>094_V_b</t>
  </si>
  <si>
    <t>094_V_c</t>
  </si>
  <si>
    <t>094_V_d</t>
  </si>
  <si>
    <t>095_O_a</t>
  </si>
  <si>
    <t>095_O_b</t>
  </si>
  <si>
    <t>095_O_c</t>
  </si>
  <si>
    <t>095_O_d</t>
  </si>
  <si>
    <t>095_S_a</t>
  </si>
  <si>
    <t>095_S_b</t>
  </si>
  <si>
    <t>095_S_c</t>
  </si>
  <si>
    <t>095_S_d</t>
  </si>
  <si>
    <t>095_V_a</t>
  </si>
  <si>
    <t>095_V_b</t>
  </si>
  <si>
    <t>095_V_c</t>
  </si>
  <si>
    <t>095_V_d</t>
  </si>
  <si>
    <t>096_O_a</t>
  </si>
  <si>
    <t>096_O_b</t>
  </si>
  <si>
    <t>096_O_c</t>
  </si>
  <si>
    <t>096_O_d</t>
  </si>
  <si>
    <t>096_S_a</t>
  </si>
  <si>
    <t>096_S_b</t>
  </si>
  <si>
    <t>096_S_c</t>
  </si>
  <si>
    <t>096_S_d</t>
  </si>
  <si>
    <t>096_V_a</t>
  </si>
  <si>
    <t>096_V_b</t>
  </si>
  <si>
    <t>096_V_c</t>
  </si>
  <si>
    <t>096_V_d</t>
  </si>
  <si>
    <t>097_O_a</t>
  </si>
  <si>
    <t>097_O_b</t>
  </si>
  <si>
    <t>097_O_c</t>
  </si>
  <si>
    <t>097_O_d</t>
  </si>
  <si>
    <t>097_S_a</t>
  </si>
  <si>
    <t>097_S_b</t>
  </si>
  <si>
    <t>097_S_c</t>
  </si>
  <si>
    <t>097_S_d</t>
  </si>
  <si>
    <t>097_V_a</t>
  </si>
  <si>
    <t>097_V_b</t>
  </si>
  <si>
    <t>097_V_c</t>
  </si>
  <si>
    <t>097_V_d</t>
  </si>
  <si>
    <t>098_O_a</t>
  </si>
  <si>
    <t>098_O_b</t>
  </si>
  <si>
    <t>098_O_c</t>
  </si>
  <si>
    <t>098_O_d</t>
  </si>
  <si>
    <t>098_S_a</t>
  </si>
  <si>
    <t>098_S_b</t>
  </si>
  <si>
    <t>098_S_c</t>
  </si>
  <si>
    <t>098_S_d</t>
  </si>
  <si>
    <t>098_V_a</t>
  </si>
  <si>
    <t>098_V_b</t>
  </si>
  <si>
    <t>098_V_c</t>
  </si>
  <si>
    <t>098_V_d</t>
  </si>
  <si>
    <t>099_O_a</t>
  </si>
  <si>
    <t>099_O_b</t>
  </si>
  <si>
    <t>099_O_c</t>
  </si>
  <si>
    <t>099_O_d</t>
  </si>
  <si>
    <t>099_S_a</t>
  </si>
  <si>
    <t>099_S_b</t>
  </si>
  <si>
    <t>099_S_c</t>
  </si>
  <si>
    <t>099_S_d</t>
  </si>
  <si>
    <t>099_V_a</t>
  </si>
  <si>
    <t>099_V_b</t>
  </si>
  <si>
    <t>099_V_c</t>
  </si>
  <si>
    <t>099_V_d</t>
  </si>
  <si>
    <t>100_O_a</t>
  </si>
  <si>
    <t>100_O_b</t>
  </si>
  <si>
    <t>100_O_c</t>
  </si>
  <si>
    <t>100_O_d</t>
  </si>
  <si>
    <t>100_S_a</t>
  </si>
  <si>
    <t>100_S_b</t>
  </si>
  <si>
    <t>100_S_c</t>
  </si>
  <si>
    <t>100_S_d</t>
  </si>
  <si>
    <t>100_V_a</t>
  </si>
  <si>
    <t>100_V_b</t>
  </si>
  <si>
    <t>100_V_c</t>
  </si>
  <si>
    <t>100_V_d</t>
  </si>
  <si>
    <t>101_O_a</t>
  </si>
  <si>
    <t>101_O_b</t>
  </si>
  <si>
    <t>101_O_c</t>
  </si>
  <si>
    <t>101_O_d</t>
  </si>
  <si>
    <t>101_S_a</t>
  </si>
  <si>
    <t>101_S_b</t>
  </si>
  <si>
    <t>101_S_c</t>
  </si>
  <si>
    <t>101_S_d</t>
  </si>
  <si>
    <t>101_V_a</t>
  </si>
  <si>
    <t>101_V_b</t>
  </si>
  <si>
    <t>101_V_c</t>
  </si>
  <si>
    <t>101_V_d</t>
  </si>
  <si>
    <t>102_O_a</t>
  </si>
  <si>
    <t>102_O_b</t>
  </si>
  <si>
    <t>102_O_c</t>
  </si>
  <si>
    <t>102_O_d</t>
  </si>
  <si>
    <t>102_S_a</t>
  </si>
  <si>
    <t>102_S_b</t>
  </si>
  <si>
    <t>102_S_c</t>
  </si>
  <si>
    <t>102_S_d</t>
  </si>
  <si>
    <t>102_V_a</t>
  </si>
  <si>
    <t>102_V_b</t>
  </si>
  <si>
    <t>102_V_c</t>
  </si>
  <si>
    <t>102_V_d</t>
  </si>
  <si>
    <t>103_O_a</t>
  </si>
  <si>
    <t>103_O_b</t>
  </si>
  <si>
    <t>103_O_c</t>
  </si>
  <si>
    <t>103_O_d</t>
  </si>
  <si>
    <t>103_S_a</t>
  </si>
  <si>
    <t>103_S_b</t>
  </si>
  <si>
    <t>103_S_c</t>
  </si>
  <si>
    <t>103_S_d</t>
  </si>
  <si>
    <t>103_V_a</t>
  </si>
  <si>
    <t>103_V_b</t>
  </si>
  <si>
    <t>103_V_c</t>
  </si>
  <si>
    <t>103_V_d</t>
  </si>
  <si>
    <t>104_O_a</t>
  </si>
  <si>
    <t>104_O_b</t>
  </si>
  <si>
    <t>104_O_c</t>
  </si>
  <si>
    <t>104_O_d</t>
  </si>
  <si>
    <t>104_S_a</t>
  </si>
  <si>
    <t>104_S_b</t>
  </si>
  <si>
    <t>104_S_c</t>
  </si>
  <si>
    <t>104_S_d</t>
  </si>
  <si>
    <t>104_V_a</t>
  </si>
  <si>
    <t>104_V_b</t>
  </si>
  <si>
    <t>104_V_c</t>
  </si>
  <si>
    <t>104_V_d</t>
  </si>
  <si>
    <t>105_O_a</t>
  </si>
  <si>
    <t>105_O_b</t>
  </si>
  <si>
    <t>105_O_c</t>
  </si>
  <si>
    <t>105_O_d</t>
  </si>
  <si>
    <t>105_S_a</t>
  </si>
  <si>
    <t>105_S_b</t>
  </si>
  <si>
    <t>105_S_c</t>
  </si>
  <si>
    <t>105_S_d</t>
  </si>
  <si>
    <t>105_V_a</t>
  </si>
  <si>
    <t>105_V_b</t>
  </si>
  <si>
    <t>105_V_c</t>
  </si>
  <si>
    <t>105_V_d</t>
  </si>
  <si>
    <t>106_O_a</t>
  </si>
  <si>
    <t>106_O_b</t>
  </si>
  <si>
    <t>106_O_c</t>
  </si>
  <si>
    <t>106_O_d</t>
  </si>
  <si>
    <t>106_S_a</t>
  </si>
  <si>
    <t>106_S_b</t>
  </si>
  <si>
    <t>106_S_c</t>
  </si>
  <si>
    <t>106_S_d</t>
  </si>
  <si>
    <t>106_V_a</t>
  </si>
  <si>
    <t>106_V_b</t>
  </si>
  <si>
    <t>106_V_c</t>
  </si>
  <si>
    <t>106_V_d</t>
  </si>
  <si>
    <t>107_O_a</t>
  </si>
  <si>
    <t>107_O_b</t>
  </si>
  <si>
    <t>107_O_c</t>
  </si>
  <si>
    <t>107_O_d</t>
  </si>
  <si>
    <t>107_S_a</t>
  </si>
  <si>
    <t>107_S_b</t>
  </si>
  <si>
    <t>107_S_c</t>
  </si>
  <si>
    <t>107_S_d</t>
  </si>
  <si>
    <t>107_V_a</t>
  </si>
  <si>
    <t>107_V_b</t>
  </si>
  <si>
    <t>107_V_c</t>
  </si>
  <si>
    <t>107_V_d</t>
  </si>
  <si>
    <t>108_O_a</t>
  </si>
  <si>
    <t>108_O_b</t>
  </si>
  <si>
    <t>108_O_c</t>
  </si>
  <si>
    <t>108_O_d</t>
  </si>
  <si>
    <t>108_S_a</t>
  </si>
  <si>
    <t>108_S_b</t>
  </si>
  <si>
    <t>108_S_c</t>
  </si>
  <si>
    <t>108_S_d</t>
  </si>
  <si>
    <t>108_V_a</t>
  </si>
  <si>
    <t>108_V_b</t>
  </si>
  <si>
    <t>108_V_c</t>
  </si>
  <si>
    <t>108_V_d</t>
  </si>
  <si>
    <t>109_O_a</t>
  </si>
  <si>
    <t>109_O_b</t>
  </si>
  <si>
    <t>109_O_c</t>
  </si>
  <si>
    <t>109_O_d</t>
  </si>
  <si>
    <t>109_S_a</t>
  </si>
  <si>
    <t>109_S_b</t>
  </si>
  <si>
    <t>109_S_c</t>
  </si>
  <si>
    <t>109_S_d</t>
  </si>
  <si>
    <t>109_V_a</t>
  </si>
  <si>
    <t>109_V_b</t>
  </si>
  <si>
    <t>109_V_c</t>
  </si>
  <si>
    <t>109_V_d</t>
  </si>
  <si>
    <t>110_O_a</t>
  </si>
  <si>
    <t>110_O_b</t>
  </si>
  <si>
    <t>110_O_c</t>
  </si>
  <si>
    <t>110_O_d</t>
  </si>
  <si>
    <t>110_S_a</t>
  </si>
  <si>
    <t>110_S_b</t>
  </si>
  <si>
    <t>110_S_c</t>
  </si>
  <si>
    <t>110_S_d</t>
  </si>
  <si>
    <t>110_V_a</t>
  </si>
  <si>
    <t>110_V_b</t>
  </si>
  <si>
    <t>110_V_c</t>
  </si>
  <si>
    <t>110_V_d</t>
  </si>
  <si>
    <t>111_O_a</t>
  </si>
  <si>
    <t>111_O_b</t>
  </si>
  <si>
    <t>111_O_c</t>
  </si>
  <si>
    <t>111_O_d</t>
  </si>
  <si>
    <t>111_S_a</t>
  </si>
  <si>
    <t>111_S_b</t>
  </si>
  <si>
    <t>111_S_c</t>
  </si>
  <si>
    <t>111_S_d</t>
  </si>
  <si>
    <t>111_V_a</t>
  </si>
  <si>
    <t>111_V_b</t>
  </si>
  <si>
    <t>111_V_c</t>
  </si>
  <si>
    <t>111_V_d</t>
  </si>
  <si>
    <t>112_O_d</t>
  </si>
  <si>
    <t>112_S_d</t>
  </si>
  <si>
    <t>112_V_d</t>
  </si>
  <si>
    <t>113_O_a</t>
  </si>
  <si>
    <t>113_O_b</t>
  </si>
  <si>
    <t>113_O_c</t>
  </si>
  <si>
    <t>113_O_d</t>
  </si>
  <si>
    <t>113_S_a</t>
  </si>
  <si>
    <t>113_S_b</t>
  </si>
  <si>
    <t>113_S_c</t>
  </si>
  <si>
    <t>113_S_d</t>
  </si>
  <si>
    <t>113_V_a</t>
  </si>
  <si>
    <t>113_V_b</t>
  </si>
  <si>
    <t>113_V_c</t>
  </si>
  <si>
    <t>113_V_d</t>
  </si>
  <si>
    <t>114_O_a</t>
  </si>
  <si>
    <t>114_O_b</t>
  </si>
  <si>
    <t>114_O_c</t>
  </si>
  <si>
    <t>114_O_d</t>
  </si>
  <si>
    <t>114_S_a</t>
  </si>
  <si>
    <t>114_S_b</t>
  </si>
  <si>
    <t>114_S_c</t>
  </si>
  <si>
    <t>114_S_d</t>
  </si>
  <si>
    <t>114_V_a</t>
  </si>
  <si>
    <t>114_V_b</t>
  </si>
  <si>
    <t>114_V_c</t>
  </si>
  <si>
    <t>114_V_d</t>
  </si>
  <si>
    <t>115_O_a</t>
  </si>
  <si>
    <t>115_O_b</t>
  </si>
  <si>
    <t>115_O_c</t>
  </si>
  <si>
    <t>115_O_d</t>
  </si>
  <si>
    <t>115_S_a</t>
  </si>
  <si>
    <t>115_S_b</t>
  </si>
  <si>
    <t>115_S_c</t>
  </si>
  <si>
    <t>115_S_d</t>
  </si>
  <si>
    <t>115_V_a</t>
  </si>
  <si>
    <t>115_V_b</t>
  </si>
  <si>
    <t>115_V_c</t>
  </si>
  <si>
    <t>115_V_d</t>
  </si>
  <si>
    <t>116_O_a</t>
  </si>
  <si>
    <t>116_O_b</t>
  </si>
  <si>
    <t>116_O_c</t>
  </si>
  <si>
    <t>116_O_d</t>
  </si>
  <si>
    <t>116_S_a</t>
  </si>
  <si>
    <t>116_S_b</t>
  </si>
  <si>
    <t>116_S_c</t>
  </si>
  <si>
    <t>116_S_d</t>
  </si>
  <si>
    <t>116_V_a</t>
  </si>
  <si>
    <t>116_V_b</t>
  </si>
  <si>
    <t>116_V_c</t>
  </si>
  <si>
    <t>116_V_d</t>
  </si>
  <si>
    <t>117_O_d</t>
  </si>
  <si>
    <t>117_S_c</t>
  </si>
  <si>
    <t>117_V_d</t>
  </si>
  <si>
    <t>118_O_a</t>
  </si>
  <si>
    <t>118_O_b</t>
  </si>
  <si>
    <t>118_O_c</t>
  </si>
  <si>
    <t>118_O_d</t>
  </si>
  <si>
    <t>118_S_a</t>
  </si>
  <si>
    <t>118_S_b</t>
  </si>
  <si>
    <t>118_S_c</t>
  </si>
  <si>
    <t>118_S_d</t>
  </si>
  <si>
    <t>118_V_a</t>
  </si>
  <si>
    <t>118_V_b</t>
  </si>
  <si>
    <t>118_V_c</t>
  </si>
  <si>
    <t>118_V_d</t>
  </si>
  <si>
    <t>119_O_a</t>
  </si>
  <si>
    <t>119_O_b</t>
  </si>
  <si>
    <t>119_O_c</t>
  </si>
  <si>
    <t>119_O_d</t>
  </si>
  <si>
    <t>119_S_a</t>
  </si>
  <si>
    <t>119_S_b</t>
  </si>
  <si>
    <t>119_S_c</t>
  </si>
  <si>
    <t>119_S_d</t>
  </si>
  <si>
    <t>119_V_a</t>
  </si>
  <si>
    <t>119_V_b</t>
  </si>
  <si>
    <t>119_V_c</t>
  </si>
  <si>
    <t>119_V_d</t>
  </si>
  <si>
    <t>120_O_a</t>
  </si>
  <si>
    <t>120_O_b</t>
  </si>
  <si>
    <t>120_O_c</t>
  </si>
  <si>
    <t>120_O_d</t>
  </si>
  <si>
    <t>120_S_a</t>
  </si>
  <si>
    <t>120_S_b</t>
  </si>
  <si>
    <t>120_S_c</t>
  </si>
  <si>
    <t>120_S_d</t>
  </si>
  <si>
    <t>120_V_a</t>
  </si>
  <si>
    <t>120_V_b</t>
  </si>
  <si>
    <t>120_V_c</t>
  </si>
  <si>
    <t>120_V_d</t>
  </si>
  <si>
    <t>121_O_a</t>
  </si>
  <si>
    <t>121_O_b</t>
  </si>
  <si>
    <t>121_O_c</t>
  </si>
  <si>
    <t>121_O_d</t>
  </si>
  <si>
    <t>121_S_a</t>
  </si>
  <si>
    <t>121_S_b</t>
  </si>
  <si>
    <t>121_S_c</t>
  </si>
  <si>
    <t>121_S_d</t>
  </si>
  <si>
    <t>121_V_a</t>
  </si>
  <si>
    <t>121_V_b</t>
  </si>
  <si>
    <t>121_V_c</t>
  </si>
  <si>
    <t>121_V_d</t>
  </si>
  <si>
    <t>122_O_a</t>
  </si>
  <si>
    <t>122_O_b</t>
  </si>
  <si>
    <t>122_O_c</t>
  </si>
  <si>
    <t>122_O_d</t>
  </si>
  <si>
    <t>122_S_a</t>
  </si>
  <si>
    <t>122_S_b</t>
  </si>
  <si>
    <t>122_S_c</t>
  </si>
  <si>
    <t>122_S_d</t>
  </si>
  <si>
    <t>122_V_a</t>
  </si>
  <si>
    <t>122_V_b</t>
  </si>
  <si>
    <t>122_V_c</t>
  </si>
  <si>
    <t>122_V_d</t>
  </si>
  <si>
    <t>123_O_a</t>
  </si>
  <si>
    <t>123_O_b</t>
  </si>
  <si>
    <t>123_O_c</t>
  </si>
  <si>
    <t>123_O_d</t>
  </si>
  <si>
    <t>123_S_a</t>
  </si>
  <si>
    <t>123_S_b</t>
  </si>
  <si>
    <t>123_S_c</t>
  </si>
  <si>
    <t>123_S_d</t>
  </si>
  <si>
    <t>123_V_a</t>
  </si>
  <si>
    <t>123_V_b</t>
  </si>
  <si>
    <t>123_V_c</t>
  </si>
  <si>
    <t>123_V_d</t>
  </si>
  <si>
    <t>UNI_O_a</t>
  </si>
  <si>
    <t>UNI_O_b</t>
  </si>
  <si>
    <t>UNI_O_c</t>
  </si>
  <si>
    <t>UNI_O_d</t>
  </si>
  <si>
    <t>UNI_S_a</t>
  </si>
  <si>
    <t>UNI_S_b</t>
  </si>
  <si>
    <t>UNI_S_c</t>
  </si>
  <si>
    <t>UNI_S_d</t>
  </si>
  <si>
    <t>UNI_V_a</t>
  </si>
  <si>
    <t>UNI_V_b</t>
  </si>
  <si>
    <t>UNI_V_c</t>
  </si>
  <si>
    <t>UNI_V_d</t>
  </si>
  <si>
    <t>EXC_O_a</t>
  </si>
  <si>
    <t>EXC_O_b</t>
  </si>
  <si>
    <t>EXC_O_c</t>
  </si>
  <si>
    <t>EXC_O_d</t>
  </si>
  <si>
    <t>EXC_S_a</t>
  </si>
  <si>
    <t>EXC_S_b</t>
  </si>
  <si>
    <t>EXC_S_c</t>
  </si>
  <si>
    <t>EXC_S_d</t>
  </si>
  <si>
    <t>EXC_V_a</t>
  </si>
  <si>
    <t>EXC_V_b</t>
  </si>
  <si>
    <t>EXC_V_c</t>
  </si>
  <si>
    <t>EXC_V_d</t>
  </si>
  <si>
    <t>MIX_O_a</t>
  </si>
  <si>
    <t>MIX_O_b</t>
  </si>
  <si>
    <t>MIX_O_c</t>
  </si>
  <si>
    <t>MIX_O_d</t>
  </si>
  <si>
    <t>MIX_O_e</t>
  </si>
  <si>
    <t>MIX_O_f</t>
  </si>
  <si>
    <t>MIX_O_h</t>
  </si>
  <si>
    <t>MIX_S_a</t>
  </si>
  <si>
    <t>MIX_S_b</t>
  </si>
  <si>
    <t>MIX_S_c</t>
  </si>
  <si>
    <t>MIX_S_d</t>
  </si>
  <si>
    <t>MIX_S_f</t>
  </si>
  <si>
    <t>MIX_S_g</t>
  </si>
  <si>
    <t>MIX_S_h</t>
  </si>
  <si>
    <t>MIX_V_a</t>
  </si>
  <si>
    <t>MIX_V_b</t>
  </si>
  <si>
    <t>MIX_V_c</t>
  </si>
  <si>
    <t>MIX_V_d</t>
  </si>
  <si>
    <t>MIX_V_e</t>
  </si>
  <si>
    <t>MIX_V_f</t>
  </si>
  <si>
    <t>MIX_V_g</t>
  </si>
  <si>
    <t>MIX_V_h</t>
  </si>
  <si>
    <t>NIG_O_a</t>
  </si>
  <si>
    <t>NIG_O_b</t>
  </si>
  <si>
    <t>NIG_O_c</t>
  </si>
  <si>
    <t>NIG_O_d</t>
  </si>
  <si>
    <t>NIG_S_a</t>
  </si>
  <si>
    <t>NIG_S_b</t>
  </si>
  <si>
    <t>NIG_S_c</t>
  </si>
  <si>
    <t>NIG_S_d</t>
  </si>
  <si>
    <t>NIG_V_a</t>
  </si>
  <si>
    <t>NIG_V_b</t>
  </si>
  <si>
    <t>NIG_V_c</t>
  </si>
  <si>
    <t>NIG_V_d</t>
  </si>
  <si>
    <t>MC2_O_a</t>
  </si>
  <si>
    <t>MC2_O_b</t>
  </si>
  <si>
    <t>MC2_O_c</t>
  </si>
  <si>
    <t>MC2_O_d</t>
  </si>
  <si>
    <t>MC2_S_a</t>
  </si>
  <si>
    <t>MC2_S_b</t>
  </si>
  <si>
    <t>MC2_S_c</t>
  </si>
  <si>
    <t>MC2_S_d</t>
  </si>
  <si>
    <t>MC2_V_a</t>
  </si>
  <si>
    <t>MC2_V_b</t>
  </si>
  <si>
    <t>MC2_V_c</t>
  </si>
  <si>
    <t>MC2_V_d</t>
  </si>
  <si>
    <t>NOTE: RANDOMIZE BY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</si>
</sst>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Helvetica Neue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charset val="1"/>
    </font>
    <font>
      <sz val="14"/>
      <color rgb="FF000000"/>
      <name val="Helvetica Neue"/>
      <family val="2"/>
      <charset val="1"/>
    </font>
    <font>
      <sz val="14"/>
      <color theme="1"/>
      <name val="Helvetic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trike/>
      <u val="double"/>
      <sz val="11"/>
      <color rgb="FF000000"/>
      <name val="Calibri"/>
      <family val="2"/>
    </font>
    <font>
      <strike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3" fillId="0" borderId="0" xfId="0" applyFont="1"/>
    <xf numFmtId="49" fontId="4" fillId="0" borderId="0" xfId="0" applyNumberFormat="1" applyFont="1"/>
    <xf numFmtId="0" fontId="5" fillId="0" borderId="0" xfId="0" applyFont="1"/>
    <xf numFmtId="49" fontId="5" fillId="0" borderId="0" xfId="0" applyNumberFormat="1" applyFont="1"/>
    <xf numFmtId="0" fontId="6" fillId="0" borderId="0" xfId="0" applyFont="1"/>
    <xf numFmtId="0" fontId="6" fillId="0" borderId="1" xfId="0" applyFont="1" applyBorder="1"/>
    <xf numFmtId="49" fontId="5" fillId="0" borderId="1" xfId="0" applyNumberFormat="1" applyFont="1" applyBorder="1"/>
    <xf numFmtId="0" fontId="5" fillId="0" borderId="1" xfId="0" applyFont="1" applyBorder="1"/>
    <xf numFmtId="49" fontId="5" fillId="0" borderId="1" xfId="0" quotePrefix="1" applyNumberFormat="1" applyFont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49" fontId="3" fillId="0" borderId="2" xfId="0" applyNumberFormat="1" applyFont="1" applyBorder="1"/>
    <xf numFmtId="0" fontId="3" fillId="0" borderId="2" xfId="0" applyFont="1" applyBorder="1"/>
    <xf numFmtId="0" fontId="0" fillId="0" borderId="2" xfId="0" applyBorder="1"/>
    <xf numFmtId="0" fontId="3" fillId="0" borderId="3" xfId="0" applyFont="1" applyBorder="1"/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49" fontId="0" fillId="0" borderId="2" xfId="0" applyNumberFormat="1" applyBorder="1"/>
    <xf numFmtId="0" fontId="10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  <xf numFmtId="49" fontId="0" fillId="0" borderId="2" xfId="0" quotePrefix="1" applyNumberFormat="1" applyBorder="1"/>
    <xf numFmtId="0" fontId="0" fillId="11" borderId="0" xfId="0" applyFill="1"/>
    <xf numFmtId="2" fontId="0" fillId="0" borderId="0" xfId="0" applyNumberFormat="1"/>
    <xf numFmtId="49" fontId="3" fillId="12" borderId="0" xfId="0" applyNumberFormat="1" applyFont="1" applyFill="1"/>
    <xf numFmtId="0" fontId="3" fillId="12" borderId="0" xfId="0" applyFont="1" applyFill="1"/>
    <xf numFmtId="0" fontId="0" fillId="12" borderId="0" xfId="0" applyFill="1"/>
    <xf numFmtId="2" fontId="0" fillId="12" borderId="0" xfId="0" applyNumberFormat="1" applyFill="1"/>
    <xf numFmtId="49" fontId="0" fillId="12" borderId="0" xfId="0" applyNumberFormat="1" applyFill="1"/>
    <xf numFmtId="0" fontId="0" fillId="12" borderId="2" xfId="0" applyFill="1" applyBorder="1"/>
    <xf numFmtId="49" fontId="2" fillId="12" borderId="0" xfId="0" applyNumberFormat="1" applyFont="1" applyFill="1"/>
    <xf numFmtId="49" fontId="4" fillId="12" borderId="0" xfId="0" applyNumberFormat="1" applyFont="1" applyFill="1"/>
    <xf numFmtId="49" fontId="0" fillId="12" borderId="0" xfId="0" quotePrefix="1" applyNumberFormat="1" applyFill="1"/>
    <xf numFmtId="2" fontId="0" fillId="0" borderId="2" xfId="0" applyNumberFormat="1" applyBorder="1"/>
    <xf numFmtId="49" fontId="0" fillId="11" borderId="0" xfId="0" applyNumberFormat="1" applyFill="1"/>
    <xf numFmtId="2" fontId="0" fillId="11" borderId="0" xfId="0" applyNumberFormat="1" applyFill="1"/>
    <xf numFmtId="49" fontId="2" fillId="11" borderId="0" xfId="0" applyNumberFormat="1" applyFont="1" applyFill="1"/>
    <xf numFmtId="49" fontId="3" fillId="11" borderId="0" xfId="0" applyNumberFormat="1" applyFont="1" applyFill="1"/>
    <xf numFmtId="0" fontId="3" fillId="11" borderId="0" xfId="0" applyFont="1" applyFill="1"/>
    <xf numFmtId="49" fontId="3" fillId="13" borderId="0" xfId="0" applyNumberFormat="1" applyFont="1" applyFill="1"/>
    <xf numFmtId="0" fontId="3" fillId="13" borderId="0" xfId="0" applyFont="1" applyFill="1"/>
    <xf numFmtId="0" fontId="0" fillId="13" borderId="0" xfId="0" applyFill="1"/>
    <xf numFmtId="2" fontId="0" fillId="13" borderId="0" xfId="0" applyNumberFormat="1" applyFill="1"/>
    <xf numFmtId="0" fontId="12" fillId="0" borderId="0" xfId="0" applyFont="1"/>
    <xf numFmtId="0" fontId="13" fillId="0" borderId="0" xfId="0" applyFont="1"/>
    <xf numFmtId="0" fontId="13" fillId="0" borderId="2" xfId="0" applyFont="1" applyBorder="1"/>
    <xf numFmtId="0" fontId="13" fillId="12" borderId="0" xfId="0" applyFont="1" applyFill="1"/>
    <xf numFmtId="0" fontId="13" fillId="11" borderId="0" xfId="0" applyFont="1" applyFill="1"/>
    <xf numFmtId="0" fontId="13" fillId="13" borderId="0" xfId="0" applyFont="1" applyFill="1"/>
    <xf numFmtId="0" fontId="14" fillId="0" borderId="0" xfId="0" applyFont="1"/>
    <xf numFmtId="0" fontId="0" fillId="0" borderId="0" xfId="0" applyAlignment="1">
      <alignment wrapText="1"/>
    </xf>
    <xf numFmtId="0" fontId="0" fillId="0" borderId="7" xfId="0" applyBorder="1"/>
    <xf numFmtId="0" fontId="3" fillId="11" borderId="0" xfId="0" applyFont="1" applyFill="1" applyAlignment="1">
      <alignment horizontal="center"/>
    </xf>
    <xf numFmtId="0" fontId="12" fillId="11" borderId="0" xfId="0" applyFont="1" applyFill="1"/>
    <xf numFmtId="0" fontId="0" fillId="11" borderId="0" xfId="0" applyFill="1" applyAlignment="1">
      <alignment horizontal="center"/>
    </xf>
    <xf numFmtId="0" fontId="0" fillId="0" borderId="3" xfId="0" applyBorder="1"/>
    <xf numFmtId="49" fontId="3" fillId="0" borderId="3" xfId="0" applyNumberFormat="1" applyFont="1" applyBorder="1"/>
    <xf numFmtId="0" fontId="13" fillId="0" borderId="3" xfId="0" applyFont="1" applyBorder="1"/>
    <xf numFmtId="2" fontId="0" fillId="0" borderId="3" xfId="0" applyNumberFormat="1" applyBorder="1"/>
    <xf numFmtId="0" fontId="15" fillId="0" borderId="0" xfId="0" applyFont="1"/>
    <xf numFmtId="0" fontId="0" fillId="14" borderId="0" xfId="0" applyFill="1"/>
    <xf numFmtId="0" fontId="0" fillId="15" borderId="0" xfId="0" applyFill="1"/>
    <xf numFmtId="0" fontId="0" fillId="15" borderId="2" xfId="0" applyFill="1" applyBorder="1"/>
    <xf numFmtId="0" fontId="11" fillId="15" borderId="0" xfId="0" applyFont="1" applyFill="1"/>
    <xf numFmtId="0" fontId="11" fillId="15" borderId="2" xfId="0" applyFont="1" applyFill="1" applyBorder="1"/>
    <xf numFmtId="0" fontId="0" fillId="15" borderId="3" xfId="0" applyFill="1" applyBorder="1"/>
    <xf numFmtId="0" fontId="3" fillId="11" borderId="8" xfId="0" applyFont="1" applyFill="1" applyBorder="1" applyAlignment="1">
      <alignment horizontal="center"/>
    </xf>
    <xf numFmtId="0" fontId="0" fillId="11" borderId="8" xfId="0" applyFill="1" applyBorder="1"/>
    <xf numFmtId="0" fontId="12" fillId="11" borderId="8" xfId="0" applyFont="1" applyFill="1" applyBorder="1"/>
    <xf numFmtId="0" fontId="0" fillId="11" borderId="9" xfId="0" applyFill="1" applyBorder="1"/>
    <xf numFmtId="0" fontId="0" fillId="11" borderId="10" xfId="0" applyFill="1" applyBorder="1" applyAlignment="1">
      <alignment horizontal="center"/>
    </xf>
    <xf numFmtId="0" fontId="0" fillId="11" borderId="10" xfId="0" applyFill="1" applyBorder="1"/>
    <xf numFmtId="0" fontId="12" fillId="11" borderId="10" xfId="0" applyFont="1" applyFill="1" applyBorder="1"/>
    <xf numFmtId="0" fontId="0" fillId="11" borderId="11" xfId="0" applyFill="1" applyBorder="1"/>
    <xf numFmtId="0" fontId="3" fillId="11" borderId="11" xfId="0" applyFont="1" applyFill="1" applyBorder="1"/>
    <xf numFmtId="0" fontId="3" fillId="11" borderId="12" xfId="0" applyFont="1" applyFill="1" applyBorder="1"/>
    <xf numFmtId="2" fontId="0" fillId="15" borderId="0" xfId="0" applyNumberFormat="1" applyFill="1"/>
    <xf numFmtId="0" fontId="11" fillId="14" borderId="0" xfId="0" applyFont="1" applyFill="1"/>
    <xf numFmtId="0" fontId="17" fillId="0" borderId="0" xfId="0" applyFont="1"/>
    <xf numFmtId="0" fontId="10" fillId="16" borderId="0" xfId="0" applyFont="1" applyFill="1"/>
    <xf numFmtId="0" fontId="12" fillId="16" borderId="0" xfId="0" applyFont="1" applyFill="1"/>
    <xf numFmtId="0" fontId="12" fillId="16" borderId="10" xfId="0" applyFont="1" applyFill="1" applyBorder="1"/>
    <xf numFmtId="0" fontId="12" fillId="16" borderId="8" xfId="0" applyFont="1" applyFill="1" applyBorder="1"/>
    <xf numFmtId="0" fontId="0" fillId="16" borderId="0" xfId="0" applyFill="1"/>
    <xf numFmtId="0" fontId="3" fillId="16" borderId="0" xfId="0" applyFont="1" applyFill="1"/>
    <xf numFmtId="0" fontId="0" fillId="11" borderId="2" xfId="0" applyFill="1" applyBorder="1"/>
    <xf numFmtId="0" fontId="0" fillId="17" borderId="0" xfId="0" applyFill="1"/>
    <xf numFmtId="0" fontId="11" fillId="11" borderId="0" xfId="0" applyFont="1" applyFill="1"/>
    <xf numFmtId="0" fontId="12" fillId="15" borderId="0" xfId="0" applyFont="1" applyFill="1"/>
    <xf numFmtId="14" fontId="0" fillId="0" borderId="0" xfId="0" applyNumberFormat="1"/>
    <xf numFmtId="164" fontId="13" fillId="0" borderId="0" xfId="0" applyNumberFormat="1" applyFont="1"/>
    <xf numFmtId="164" fontId="13" fillId="0" borderId="2" xfId="0" applyNumberFormat="1" applyFont="1" applyBorder="1"/>
    <xf numFmtId="164" fontId="13" fillId="12" borderId="0" xfId="0" applyNumberFormat="1" applyFont="1" applyFill="1"/>
    <xf numFmtId="164" fontId="13" fillId="11" borderId="0" xfId="0" applyNumberFormat="1" applyFont="1" applyFill="1"/>
    <xf numFmtId="164" fontId="13" fillId="0" borderId="3" xfId="0" applyNumberFormat="1" applyFont="1" applyBorder="1"/>
    <xf numFmtId="0" fontId="0" fillId="9" borderId="0" xfId="0" applyFill="1"/>
    <xf numFmtId="164" fontId="13" fillId="0" borderId="0" xfId="0" quotePrefix="1" applyNumberFormat="1" applyFont="1"/>
    <xf numFmtId="0" fontId="13" fillId="11" borderId="2" xfId="0" applyFont="1" applyFill="1" applyBorder="1"/>
    <xf numFmtId="2" fontId="0" fillId="11" borderId="2" xfId="0" applyNumberFormat="1" applyFill="1" applyBorder="1"/>
    <xf numFmtId="164" fontId="13" fillId="11" borderId="2" xfId="0" applyNumberFormat="1" applyFont="1" applyFill="1" applyBorder="1"/>
    <xf numFmtId="49" fontId="0" fillId="11" borderId="2" xfId="0" quotePrefix="1" applyNumberFormat="1" applyFill="1" applyBorder="1"/>
    <xf numFmtId="0" fontId="0" fillId="14" borderId="2" xfId="0" applyFill="1" applyBorder="1"/>
    <xf numFmtId="4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nnstateoffice365-my.sharepoint.com/personal/ltb5167_psu_edu/Documents/Burghardt%20Lab%20Shared%20Folder/Projects/FunctionalGenomicsProjects/Experiment%201%20overview.xlsx" TargetMode="External"/><Relationship Id="rId1" Type="http://schemas.openxmlformats.org/officeDocument/2006/relationships/externalLinkPath" Target="https://pennstateoffice365-my.sharepoint.com/personal/ltb5167_psu_edu/Documents/Burghardt%20Lab%20Shared%20Folder/Projects/FunctionalGenomicsProjects/Experiment%201%20over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lot"/>
      <sheetName val="Data from pilot1"/>
      <sheetName val="main experiment overview"/>
      <sheetName val="Main experiment reduced size"/>
      <sheetName val="Antibiotic sensitivity"/>
      <sheetName val="Inoculum calculation"/>
      <sheetName val="Traits"/>
      <sheetName val="cfu data for reduced size exp"/>
      <sheetName val="Liana's suggestion"/>
      <sheetName val="Timeline"/>
      <sheetName val="labels"/>
      <sheetName val="randomization"/>
      <sheetName val="Things I will need"/>
      <sheetName val="Incomplete sets of muta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urghardt, Liana T" id="{56A29FF4-746F-454C-8A53-7428EF642D0D}" userId="ltb5167@psu.edu" providerId="PeoplePicker"/>
  <person displayName="GUHA, SOHINI" id="{92BAA787-6C14-418D-9CEB-D25C160213D5}" userId="svg5863@psu.edu" providerId="PeoplePicker"/>
  <person displayName="Paillan, Elizabeth Leslie" id="{3CB4CFAE-057B-7248-B0AE-0B8FFF2F8627}" userId="S::elp5292@psu.edu::3df6d3dc-ad32-45fd-8227-dc9b54f34d47" providerId="AD"/>
  <person displayName="Burghardt, Liana T" id="{E9C2324C-E662-4AC9-8BCF-E06BEBD05855}" userId="S::ltb5167@psu.edu::a27a597c-4fea-4e13-b351-16f9a4b44b5a" providerId="AD"/>
  <person displayName="GUHA, SOHINI" id="{0AA8EC39-5775-4DCA-BE20-427364526C91}" userId="S::svg5863@psu.edu::b30c7e4a-807e-41b4-ba96-e8cb17867d9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3-05-23T02:46:45.07" personId="{0AA8EC39-5775-4DCA-BE20-427364526C91}" id="{128CEE6C-3A73-48D6-A8D5-53CD649C4A2E}">
    <text>Light blue means the data is checked and ready for further analyses</text>
  </threadedComment>
  <threadedComment ref="M94" dT="2023-05-09T20:44:40.14" personId="{E9C2324C-E662-4AC9-8BCF-E06BEBD05855}" id="{8BC4B2AC-A116-8A4F-BE52-7FC8FA7DBE87}">
    <text>is this actually tray 90?</text>
  </threadedComment>
  <threadedComment ref="M94" dT="2023-05-23T06:33:42.13" personId="{0AA8EC39-5775-4DCA-BE20-427364526C91}" id="{C8E71361-9B94-496E-AD60-2389531EF51F}" parentId="{8BC4B2AC-A116-8A4F-BE52-7FC8FA7DBE87}">
    <text>moved to 90</text>
  </threadedComment>
  <threadedComment ref="K106" dT="2023-06-12T18:03:15.80" personId="{E9C2324C-E662-4AC9-8BCF-E06BEBD05855}" id="{6328F9C2-8A6E-9048-9B64-F1CDEA2C85C7}">
    <text>Could 86 and 87 be switched here? @GUHA, SOHINI</text>
    <mentions>
      <mention mentionpersonId="{92BAA787-6C14-418D-9CEB-D25C160213D5}" mentionId="{468D3586-6D3A-F249-BCC7-E1B19EFB0B0A}" startIndex="34" length="13"/>
    </mentions>
  </threadedComment>
  <threadedComment ref="K204" dT="2023-05-23T04:31:01.03" personId="{0AA8EC39-5775-4DCA-BE20-427364526C91}" id="{76A19FDA-561E-4314-927D-963C99B81498}">
    <text>NA</text>
  </threadedComment>
  <threadedComment ref="M205" dT="2023-05-09T20:55:24.34" personId="{E9C2324C-E662-4AC9-8BCF-E06BEBD05855}" id="{673A2F03-2B42-4A45-9E69-8F72E1CB266D}" done="1">
    <text>This whole string looks like it might be offset by one</text>
  </threadedComment>
  <threadedComment ref="J266" dT="2023-05-21T20:34:22.77" personId="{0AA8EC39-5775-4DCA-BE20-427364526C91}" id="{2F549177-543E-4C78-9A5D-539A63944778}" done="1">
    <text>NA?</text>
  </threadedComment>
  <threadedComment ref="J338" dT="2023-05-21T20:45:46.75" personId="{0AA8EC39-5775-4DCA-BE20-427364526C91}" id="{98344CC6-E00F-48DF-863E-538B86DF4FAC}" done="1">
    <text xml:space="preserve">replace with NA?
</text>
  </threadedComment>
  <threadedComment ref="J338" dT="2023-06-12T18:21:09.39" personId="{E9C2324C-E662-4AC9-8BCF-E06BEBD05855}" id="{681598DC-F10D-5A4C-BEA6-507E623A596E}" parentId="{98344CC6-E00F-48DF-863E-538B86DF4FAC}">
    <text>Yes!</text>
  </threadedComment>
  <threadedComment ref="J362" dT="2023-05-19T02:09:36.77" personId="{E9C2324C-E662-4AC9-8BCF-E06BEBD05855}" id="{80C2EAB0-995A-934A-9AFF-2C1EFE49BC86}" done="1">
    <text>Should these move down by one?</text>
  </threadedComment>
  <threadedComment ref="J362" dT="2023-05-19T19:45:22.44" personId="{0AA8EC39-5775-4DCA-BE20-427364526C91}" id="{CF15437C-3B13-0F4D-9050-7A2B6C4BD485}" parentId="{80C2EAB0-995A-934A-9AFF-2C1EFE49BC86}">
    <text>@Burghardt, Liana T yes you are right</text>
    <mentions>
      <mention mentionpersonId="{56A29FF4-746F-454C-8A53-7428EF642D0D}" mentionId="{30E4352E-71B9-C24F-9E59-48036E717753}" startIndex="0" length="19"/>
    </mentions>
  </threadedComment>
  <threadedComment ref="J362" dT="2023-05-19T19:46:37.61" personId="{0AA8EC39-5775-4DCA-BE20-427364526C91}" id="{D94DEE16-B28A-684F-8963-9210D782E117}" parentId="{80C2EAB0-995A-934A-9AFF-2C1EFE49BC86}">
    <text>I am moving them one down. @Burghardt, Liana T</text>
    <mentions>
      <mention mentionpersonId="{56A29FF4-746F-454C-8A53-7428EF642D0D}" mentionId="{45C4FA26-BD23-BD42-B397-937F32E7BB2C}" startIndex="27" length="19"/>
    </mentions>
  </threadedComment>
  <threadedComment ref="N397" dT="2023-06-12T17:42:39.48" personId="{E9C2324C-E662-4AC9-8BCF-E06BEBD05855}" id="{EF5BC14A-92CD-CA43-B73F-6A37D57A9506}">
    <text>These look weird to me! Could the 30 be for the plant below and there was swap?</text>
  </threadedComment>
  <threadedComment ref="M476" dT="2023-05-09T20:44:40.14" personId="{E9C2324C-E662-4AC9-8BCF-E06BEBD05855}" id="{96435ABF-53D4-4D71-AD71-6EBCC6C637F4}">
    <text>is this actually tray 90?</text>
  </threadedComment>
  <threadedComment ref="N542" dT="2023-05-01T14:27:12.76" personId="{0AA8EC39-5775-4DCA-BE20-427364526C91}" id="{76E5748E-F53E-4BB1-8002-E925EE371BB8}">
    <text>have checked this...this strain has a low reading.</text>
  </threadedComment>
  <threadedComment ref="N542" dT="2023-05-01T14:27:53.16" personId="{0AA8EC39-5775-4DCA-BE20-427364526C91}" id="{1BA9E32D-D7C1-4F51-B44E-5E97BA034EEA}" parentId="{76E5748E-F53E-4BB1-8002-E925EE371BB8}">
    <text>file 2 appended readings (note to self)</text>
  </threadedComment>
  <threadedComment ref="M543" dT="2023-04-30T15:32:48.22" personId="{E9C2324C-E662-4AC9-8BCF-E06BEBD05855}" id="{30AF19EF-63AE-3D41-AD49-9794F99B9D5D}" done="1">
    <text>@GUHA, SOHINI I think your readings get offset by one here! I think the 1 was entered twice accidentally.</text>
    <mentions>
      <mention mentionpersonId="{92BAA787-6C14-418D-9CEB-D25C160213D5}" mentionId="{D8015DEA-70C4-844A-B9A1-A639103F98DD}" startIndex="0" length="13"/>
    </mentions>
  </threadedComment>
  <threadedComment ref="M744" dT="2023-06-12T17:56:29.83" personId="{E9C2324C-E662-4AC9-8BCF-E06BEBD05855}" id="{20AFAF06-9DB2-1945-B461-46A9A068650C}">
    <text>Still seems a bit wonky</text>
  </threadedComment>
  <threadedComment ref="N744" dT="2023-06-12T17:54:32.52" personId="{E9C2324C-E662-4AC9-8BCF-E06BEBD05855}" id="{7A7023D1-C493-D34F-A6D8-3091CBF9CFA3}">
    <text>This seems odd to me… This plant clearly survived. I think your day 5 value might need to be turned to NA.</text>
  </threadedComment>
  <threadedComment ref="K757" dT="2023-06-12T17:57:53.76" personId="{E9C2324C-E662-4AC9-8BCF-E06BEBD05855}" id="{01CF727D-D0F3-9D4A-84B5-DF8604CF749A}">
    <text>?</text>
  </threadedComment>
  <threadedComment ref="W783" dT="2024-03-28T15:39:29.81" personId="{3CB4CFAE-057B-7248-B0AE-0B8FFF2F8627}" id="{51906D79-1C1F-FB49-963C-8761B3454F6B}">
    <text>What are these highlighted samples?</text>
  </threadedComment>
  <threadedComment ref="J855" dT="2023-05-19T02:09:36.77" personId="{E9C2324C-E662-4AC9-8BCF-E06BEBD05855}" id="{E855E71B-DB38-7F43-BADD-5A874B5864F1}" done="1">
    <text>Should these move down by one?</text>
  </threadedComment>
  <threadedComment ref="J855" dT="2023-05-19T19:45:22.44" personId="{0AA8EC39-5775-4DCA-BE20-427364526C91}" id="{FB5DB9C1-65FE-A246-B1A1-FE08A402F43E}" parentId="{E855E71B-DB38-7F43-BADD-5A874B5864F1}">
    <text>@Burghardt, Liana T yes you are right</text>
    <mentions>
      <mention mentionpersonId="{56A29FF4-746F-454C-8A53-7428EF642D0D}" mentionId="{51ECFD22-5471-F84D-A24E-325D68E2143F}" startIndex="0" length="19"/>
    </mentions>
  </threadedComment>
  <threadedComment ref="N867" dT="2023-06-12T18:18:38.69" personId="{E9C2324C-E662-4AC9-8BCF-E06BEBD05855}" id="{EB8E58B8-D3EE-5F4E-A93C-4FA5D824CC1F}">
    <text>This day 5 value is super different than the other ones. Maybe cross refrerence with biomass? I know you double checked day five…</text>
  </threadedComment>
  <threadedComment ref="R908" dT="2023-06-13T13:35:57.30" personId="{3CB4CFAE-057B-7248-B0AE-0B8FFF2F8627}" id="{28748DF5-62DB-9848-B5B4-D80C735C1946}">
    <text>Not sure why arrows are appearing in this cell and below?</text>
  </threadedComment>
  <threadedComment ref="N931" dT="2023-06-12T18:08:34.65" personId="{E9C2324C-E662-4AC9-8BCF-E06BEBD05855}" id="{C5F7982E-62F8-6849-8E7C-F6B346565C05}">
    <text>trajectory seems odd.</text>
  </threadedComment>
  <threadedComment ref="J971" dT="2023-06-12T17:59:07.32" personId="{E9C2324C-E662-4AC9-8BCF-E06BEBD05855}" id="{DF712539-43CD-B04B-95BF-571CD316F576}">
    <text>These two are wonky</text>
  </threadedComment>
  <threadedComment ref="M981" dT="2023-05-01T03:13:20.39" personId="{E9C2324C-E662-4AC9-8BCF-E06BEBD05855}" id="{407D54FF-28A0-4F40-9A36-0660D8BCA634}" done="1">
    <text xml:space="preserve">could this be tray 84? Basically it seems like based on the patterns 84 and 85 might be swaped? </text>
  </threadedComment>
  <threadedComment ref="M981" dT="2023-05-01T13:21:12.73" personId="{0AA8EC39-5775-4DCA-BE20-427364526C91}" id="{0AFEF57F-3C09-44BD-98DB-9887F36275B6}" parentId="{407D54FF-28A0-4F40-9A36-0660D8BCA634}">
    <text>yes. it seems so.</text>
  </threadedComment>
  <threadedComment ref="J1238" dT="2023-05-21T20:44:50.46" personId="{0AA8EC39-5775-4DCA-BE20-427364526C91}" id="{08A6BCD1-5719-4B16-AB76-F4A8ABF2BD5C}" done="1">
    <text xml:space="preserve">shifted cells down by 1 </text>
  </threadedComment>
  <threadedComment ref="K1245" dT="2023-05-01T03:12:15.07" personId="{E9C2324C-E662-4AC9-8BCF-E06BEBD05855}" id="{04FA923D-7171-914A-961E-361A993DD49D}" done="1">
    <text>could this be tray 85?</text>
  </threadedComment>
  <threadedComment ref="K1245" dT="2023-05-22T13:58:47.01" personId="{0AA8EC39-5775-4DCA-BE20-427364526C91}" id="{52712064-6D1C-F14A-85D6-EE6AFEAA0487}" parentId="{04FA923D-7171-914A-961E-361A993DD49D}">
    <text>Shifted</text>
  </threadedComment>
  <threadedComment ref="J1335" dT="2023-05-21T20:40:26.26" personId="{0AA8EC39-5775-4DCA-BE20-427364526C91}" id="{A646E559-AA6B-4C14-BC73-BF1913D40AC8}" done="1">
    <text>Shifted one col down to allign the 1s</text>
  </threadedComment>
  <threadedComment ref="N1420" dT="2023-06-12T14:26:16.32" personId="{0AA8EC39-5775-4DCA-BE20-427364526C91}" id="{0B3823EE-E7F4-457C-A92C-6EE8ECA0602B}">
    <text>harvested</text>
  </threadedComment>
  <threadedComment ref="H1443" dT="2023-06-05T19:15:12.93" personId="{E9C2324C-E662-4AC9-8BCF-E06BEBD05855}" id="{CD0EB051-217B-594B-A1A4-74D4069AC8CD}">
    <text>Double check with envelopes. this one looks alive and we have a nodule picture!</text>
  </threadedComment>
  <threadedComment ref="J1451" dT="2023-05-21T20:35:08.88" personId="{0AA8EC39-5775-4DCA-BE20-427364526C91}" id="{0A963B1C-8EF7-4C12-98D9-06F37E25A65E}">
    <text>NA?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FED1-7BEA-4571-8C2E-E9C358562E2E}">
  <dimension ref="A3:B4"/>
  <sheetViews>
    <sheetView workbookViewId="0"/>
  </sheetViews>
  <sheetFormatPr baseColWidth="10" defaultColWidth="8.83203125" defaultRowHeight="15" x14ac:dyDescent="0.2"/>
  <cols>
    <col min="1" max="1" width="10.83203125" customWidth="1"/>
  </cols>
  <sheetData>
    <row r="3" spans="1:2" x14ac:dyDescent="0.2">
      <c r="A3" t="s">
        <v>0</v>
      </c>
      <c r="B3" t="s">
        <v>1</v>
      </c>
    </row>
    <row r="4" spans="1:2" x14ac:dyDescent="0.2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4A78-C852-1949-BDBC-A8F4892DE318}">
  <dimension ref="A1:Y1499"/>
  <sheetViews>
    <sheetView tabSelected="1" zoomScale="125" zoomScaleNormal="80" workbookViewId="0">
      <pane ySplit="1" topLeftCell="A1450" activePane="bottomLeft" state="frozen"/>
      <selection pane="bottomLeft" activeCell="A1462" sqref="A1462"/>
    </sheetView>
  </sheetViews>
  <sheetFormatPr baseColWidth="10" defaultColWidth="11.33203125" defaultRowHeight="15" x14ac:dyDescent="0.2"/>
  <cols>
    <col min="1" max="1" width="10.33203125" style="1" customWidth="1"/>
    <col min="2" max="2" width="5.6640625" customWidth="1"/>
    <col min="3" max="3" width="5.1640625" customWidth="1"/>
    <col min="4" max="4" width="9.33203125" style="65" customWidth="1"/>
    <col min="5" max="5" width="6" customWidth="1"/>
    <col min="6" max="6" width="4.1640625" bestFit="1" customWidth="1"/>
    <col min="7" max="7" width="8.5" bestFit="1" customWidth="1"/>
    <col min="8" max="9" width="13.5" customWidth="1"/>
    <col min="10" max="10" width="14.83203125" style="82" customWidth="1"/>
    <col min="11" max="11" width="14.1640625" style="82" customWidth="1"/>
    <col min="12" max="12" width="15.5" customWidth="1"/>
    <col min="13" max="13" width="9" customWidth="1"/>
    <col min="14" max="14" width="13.1640625" style="82" customWidth="1"/>
    <col min="15" max="15" width="12.5" style="44" customWidth="1"/>
    <col min="16" max="16" width="16.5" customWidth="1"/>
    <col min="17" max="17" width="14.5" style="111" customWidth="1"/>
    <col min="18" max="18" width="14.1640625" bestFit="1" customWidth="1"/>
    <col min="19" max="19" width="13.1640625" style="65" customWidth="1"/>
    <col min="20" max="20" width="17.6640625" bestFit="1" customWidth="1"/>
    <col min="21" max="21" width="14.1640625" bestFit="1" customWidth="1"/>
  </cols>
  <sheetData>
    <row r="1" spans="1:24" ht="72" customHeight="1" x14ac:dyDescent="0.2">
      <c r="A1" s="1" t="s">
        <v>4</v>
      </c>
      <c r="B1" t="s">
        <v>5</v>
      </c>
      <c r="C1" t="s">
        <v>6</v>
      </c>
      <c r="D1" s="65" t="s">
        <v>7</v>
      </c>
      <c r="E1" t="s">
        <v>8</v>
      </c>
      <c r="F1" t="s">
        <v>9</v>
      </c>
      <c r="G1" t="s">
        <v>10</v>
      </c>
      <c r="H1" s="71" t="s">
        <v>11</v>
      </c>
      <c r="I1" t="s">
        <v>12</v>
      </c>
      <c r="J1" s="82" t="s">
        <v>13</v>
      </c>
      <c r="K1" s="82" t="s">
        <v>14</v>
      </c>
      <c r="L1" s="82" t="s">
        <v>15</v>
      </c>
      <c r="M1" s="82" t="s">
        <v>16</v>
      </c>
      <c r="N1" s="82" t="s">
        <v>17</v>
      </c>
      <c r="O1" s="44" t="s">
        <v>18</v>
      </c>
      <c r="P1" t="s">
        <v>2</v>
      </c>
      <c r="Q1" s="111" t="s">
        <v>19</v>
      </c>
      <c r="R1" t="s">
        <v>20</v>
      </c>
      <c r="S1" s="65" t="s">
        <v>21</v>
      </c>
      <c r="T1" t="s">
        <v>22</v>
      </c>
      <c r="U1" t="s">
        <v>23</v>
      </c>
      <c r="V1" t="s">
        <v>24</v>
      </c>
      <c r="W1" t="s">
        <v>25</v>
      </c>
    </row>
    <row r="2" spans="1:24" ht="16" x14ac:dyDescent="0.2">
      <c r="A2" s="1" t="s">
        <v>26</v>
      </c>
      <c r="B2" t="s">
        <v>27</v>
      </c>
      <c r="C2" t="s">
        <v>28</v>
      </c>
      <c r="D2" s="65" t="str">
        <f t="shared" ref="D2:D65" si="0">A2&amp;"_"&amp;B2&amp;"_"&amp;C2</f>
        <v>001_S_a</v>
      </c>
      <c r="E2">
        <v>15</v>
      </c>
      <c r="F2" t="s">
        <v>29</v>
      </c>
      <c r="G2" t="s">
        <v>30</v>
      </c>
      <c r="I2">
        <v>4.6971812893843898</v>
      </c>
      <c r="J2" s="84">
        <v>26.8</v>
      </c>
      <c r="K2" s="82">
        <v>47.6</v>
      </c>
      <c r="L2" s="82">
        <v>45.1</v>
      </c>
      <c r="M2" s="82">
        <v>2.5</v>
      </c>
      <c r="N2" s="82">
        <v>30</v>
      </c>
      <c r="O2" s="44">
        <f t="shared" ref="O2:O33" si="1">VAR(J2:M2)/AVERAGE(J2:M2)</f>
        <v>14.243278688524592</v>
      </c>
      <c r="P2">
        <f t="shared" ref="P2:P65" si="2">AVERAGE(J2:N2)</f>
        <v>30.4</v>
      </c>
      <c r="Q2" s="111">
        <v>0.3</v>
      </c>
      <c r="R2">
        <v>0.32400000000000001</v>
      </c>
      <c r="S2" s="65">
        <v>8</v>
      </c>
      <c r="T2">
        <v>12</v>
      </c>
      <c r="U2" t="s">
        <v>31</v>
      </c>
      <c r="V2" t="s">
        <v>32</v>
      </c>
      <c r="X2" s="1"/>
    </row>
    <row r="3" spans="1:24" ht="16" x14ac:dyDescent="0.2">
      <c r="A3" s="2" t="s">
        <v>26</v>
      </c>
      <c r="B3" t="s">
        <v>33</v>
      </c>
      <c r="C3" t="s">
        <v>28</v>
      </c>
      <c r="D3" s="65" t="str">
        <f t="shared" si="0"/>
        <v>001_V_a</v>
      </c>
      <c r="E3">
        <v>18</v>
      </c>
      <c r="F3" t="s">
        <v>34</v>
      </c>
      <c r="G3" t="s">
        <v>35</v>
      </c>
      <c r="I3">
        <v>4.4723310034469597</v>
      </c>
      <c r="J3" s="84">
        <v>14.7</v>
      </c>
      <c r="K3" s="82">
        <v>43.3</v>
      </c>
      <c r="L3" s="82">
        <v>33.299999999999997</v>
      </c>
      <c r="M3" s="82">
        <v>9</v>
      </c>
      <c r="N3" s="82">
        <v>42.7</v>
      </c>
      <c r="O3" s="44">
        <f t="shared" si="1"/>
        <v>10.180757726819534</v>
      </c>
      <c r="P3">
        <f t="shared" si="2"/>
        <v>28.6</v>
      </c>
      <c r="Q3" s="111">
        <v>0.36199999999999999</v>
      </c>
      <c r="R3">
        <v>0.67900000000000005</v>
      </c>
      <c r="S3" s="65">
        <v>18</v>
      </c>
      <c r="T3">
        <v>34</v>
      </c>
      <c r="U3" t="s">
        <v>31</v>
      </c>
      <c r="V3" t="s">
        <v>32</v>
      </c>
    </row>
    <row r="4" spans="1:24" x14ac:dyDescent="0.2">
      <c r="A4" s="5" t="s">
        <v>26</v>
      </c>
      <c r="B4" s="6" t="s">
        <v>36</v>
      </c>
      <c r="C4" s="6" t="s">
        <v>28</v>
      </c>
      <c r="D4" s="65" t="str">
        <f t="shared" si="0"/>
        <v>001_O_a</v>
      </c>
      <c r="E4">
        <v>19</v>
      </c>
      <c r="F4" t="s">
        <v>34</v>
      </c>
      <c r="G4" t="s">
        <v>37</v>
      </c>
      <c r="I4">
        <v>1.0544224539242599</v>
      </c>
      <c r="J4" s="43">
        <v>1.6</v>
      </c>
      <c r="K4" s="82">
        <v>9.1999999999999993</v>
      </c>
      <c r="L4" s="82">
        <v>15.7</v>
      </c>
      <c r="M4" s="82">
        <v>18.2</v>
      </c>
      <c r="N4" s="82">
        <v>21.9</v>
      </c>
      <c r="O4" s="44">
        <f t="shared" si="1"/>
        <v>4.9338553318419027</v>
      </c>
      <c r="P4">
        <f t="shared" si="2"/>
        <v>13.319999999999999</v>
      </c>
      <c r="Q4" s="111">
        <v>3.3000000000000002E-2</v>
      </c>
      <c r="R4">
        <v>0.108</v>
      </c>
      <c r="S4" s="65">
        <v>8</v>
      </c>
      <c r="T4">
        <v>22</v>
      </c>
      <c r="U4" t="s">
        <v>31</v>
      </c>
      <c r="V4" t="s">
        <v>32</v>
      </c>
    </row>
    <row r="5" spans="1:24" x14ac:dyDescent="0.2">
      <c r="A5" s="5" t="s">
        <v>26</v>
      </c>
      <c r="B5" s="6" t="s">
        <v>36</v>
      </c>
      <c r="C5" s="6" t="s">
        <v>38</v>
      </c>
      <c r="D5" s="65" t="str">
        <f t="shared" si="0"/>
        <v>001_O_b</v>
      </c>
      <c r="E5">
        <v>38</v>
      </c>
      <c r="F5" t="s">
        <v>39</v>
      </c>
      <c r="G5" t="s">
        <v>40</v>
      </c>
      <c r="I5">
        <v>2.78978928093143</v>
      </c>
      <c r="J5" s="82">
        <v>9</v>
      </c>
      <c r="K5" s="82">
        <v>10.5</v>
      </c>
      <c r="L5" s="82">
        <v>34.6</v>
      </c>
      <c r="M5" s="82">
        <v>33.1</v>
      </c>
      <c r="N5" s="82">
        <v>37.1</v>
      </c>
      <c r="O5" s="44">
        <f t="shared" si="1"/>
        <v>8.9152905198776811</v>
      </c>
      <c r="P5">
        <f t="shared" si="2"/>
        <v>24.860000000000003</v>
      </c>
      <c r="Q5" s="111">
        <v>0.14499999999999999</v>
      </c>
      <c r="R5">
        <v>0.25900000000000001</v>
      </c>
      <c r="S5" s="65">
        <v>11</v>
      </c>
      <c r="T5">
        <v>19</v>
      </c>
      <c r="U5" t="s">
        <v>31</v>
      </c>
      <c r="V5" t="s">
        <v>32</v>
      </c>
    </row>
    <row r="6" spans="1:24" x14ac:dyDescent="0.2">
      <c r="A6" s="2" t="s">
        <v>26</v>
      </c>
      <c r="B6" t="s">
        <v>33</v>
      </c>
      <c r="C6" t="s">
        <v>38</v>
      </c>
      <c r="D6" s="65" t="str">
        <f t="shared" si="0"/>
        <v>001_V_b</v>
      </c>
      <c r="E6">
        <v>50</v>
      </c>
      <c r="F6" t="s">
        <v>41</v>
      </c>
      <c r="G6" t="s">
        <v>42</v>
      </c>
      <c r="I6">
        <v>0.36159749783162898</v>
      </c>
      <c r="J6" s="82">
        <v>34</v>
      </c>
      <c r="K6" s="82">
        <v>41.6</v>
      </c>
      <c r="L6" s="82">
        <v>43.2</v>
      </c>
      <c r="M6" s="82">
        <v>7.2</v>
      </c>
      <c r="N6" s="82">
        <v>47.2</v>
      </c>
      <c r="O6" s="44">
        <f t="shared" si="1"/>
        <v>8.8427513227513366</v>
      </c>
      <c r="P6">
        <f t="shared" si="2"/>
        <v>34.64</v>
      </c>
      <c r="Q6" s="111">
        <v>9.4E-2</v>
      </c>
      <c r="R6">
        <v>0.187</v>
      </c>
      <c r="S6" s="65">
        <v>11</v>
      </c>
      <c r="T6">
        <v>22</v>
      </c>
      <c r="U6" t="s">
        <v>31</v>
      </c>
      <c r="V6" t="s">
        <v>32</v>
      </c>
    </row>
    <row r="7" spans="1:24" x14ac:dyDescent="0.2">
      <c r="A7" s="5" t="s">
        <v>26</v>
      </c>
      <c r="B7" s="6" t="s">
        <v>27</v>
      </c>
      <c r="C7" s="6" t="s">
        <v>38</v>
      </c>
      <c r="D7" s="65" t="str">
        <f t="shared" si="0"/>
        <v>001_S_b</v>
      </c>
      <c r="E7">
        <v>63</v>
      </c>
      <c r="F7" t="s">
        <v>43</v>
      </c>
      <c r="G7" t="s">
        <v>44</v>
      </c>
      <c r="I7">
        <v>5.3658455992790604</v>
      </c>
      <c r="J7" s="82">
        <v>50.3</v>
      </c>
      <c r="K7" s="82">
        <v>3.5</v>
      </c>
      <c r="L7" s="82">
        <v>8.4</v>
      </c>
      <c r="M7" s="82">
        <v>37.4</v>
      </c>
      <c r="N7" s="82">
        <v>38.700000000000003</v>
      </c>
      <c r="O7" s="44">
        <f t="shared" si="1"/>
        <v>20.503614457831333</v>
      </c>
      <c r="P7">
        <f t="shared" si="2"/>
        <v>27.660000000000004</v>
      </c>
      <c r="Q7" s="111">
        <v>0.37</v>
      </c>
      <c r="R7">
        <v>0.64900000000000002</v>
      </c>
      <c r="S7" s="65">
        <v>26</v>
      </c>
      <c r="T7">
        <v>26</v>
      </c>
      <c r="U7" t="s">
        <v>31</v>
      </c>
      <c r="V7" t="s">
        <v>32</v>
      </c>
    </row>
    <row r="8" spans="1:24" x14ac:dyDescent="0.2">
      <c r="A8" s="5" t="s">
        <v>26</v>
      </c>
      <c r="B8" s="6" t="s">
        <v>36</v>
      </c>
      <c r="C8" s="6" t="s">
        <v>45</v>
      </c>
      <c r="D8" s="65" t="str">
        <f t="shared" si="0"/>
        <v>001_O_c</v>
      </c>
      <c r="E8">
        <v>95</v>
      </c>
      <c r="F8" t="s">
        <v>34</v>
      </c>
      <c r="G8" t="s">
        <v>46</v>
      </c>
      <c r="I8">
        <v>9.7176805369127504</v>
      </c>
      <c r="J8" s="82">
        <v>50</v>
      </c>
      <c r="K8" s="82">
        <v>40.4</v>
      </c>
      <c r="L8" s="82">
        <v>48.3</v>
      </c>
      <c r="M8">
        <v>14.7</v>
      </c>
      <c r="N8" s="82">
        <v>7.1</v>
      </c>
      <c r="O8" s="44">
        <f t="shared" si="1"/>
        <v>6.9382877009995747</v>
      </c>
      <c r="P8">
        <f t="shared" si="2"/>
        <v>32.099999999999994</v>
      </c>
      <c r="Q8" s="111">
        <v>0.46899999999999997</v>
      </c>
      <c r="R8">
        <v>0.39500000000000002</v>
      </c>
      <c r="S8" s="65">
        <v>46</v>
      </c>
      <c r="T8">
        <v>11</v>
      </c>
      <c r="U8" t="s">
        <v>47</v>
      </c>
      <c r="V8" t="s">
        <v>32</v>
      </c>
    </row>
    <row r="9" spans="1:24" x14ac:dyDescent="0.2">
      <c r="A9" s="5" t="s">
        <v>26</v>
      </c>
      <c r="B9" s="6" t="s">
        <v>27</v>
      </c>
      <c r="C9" s="6" t="s">
        <v>45</v>
      </c>
      <c r="D9" s="65" t="str">
        <f t="shared" si="0"/>
        <v>001_S_c</v>
      </c>
      <c r="E9">
        <v>102</v>
      </c>
      <c r="F9" t="s">
        <v>29</v>
      </c>
      <c r="G9" t="s">
        <v>48</v>
      </c>
      <c r="I9">
        <v>3.7161789885257202</v>
      </c>
      <c r="J9" s="82">
        <v>28</v>
      </c>
      <c r="K9" s="82">
        <v>29.1</v>
      </c>
      <c r="L9" s="82">
        <v>13.9</v>
      </c>
      <c r="M9">
        <v>31.1</v>
      </c>
      <c r="N9" s="82">
        <v>30.2</v>
      </c>
      <c r="O9" s="44">
        <f t="shared" si="1"/>
        <v>2.4175971269996803</v>
      </c>
      <c r="P9">
        <f t="shared" si="2"/>
        <v>26.459999999999997</v>
      </c>
      <c r="Q9" s="111">
        <v>0.29899999999999999</v>
      </c>
      <c r="R9">
        <v>0.46700000000000003</v>
      </c>
      <c r="S9" s="65">
        <v>23</v>
      </c>
      <c r="T9">
        <v>33</v>
      </c>
      <c r="U9" t="s">
        <v>31</v>
      </c>
      <c r="V9" t="s">
        <v>32</v>
      </c>
    </row>
    <row r="10" spans="1:24" x14ac:dyDescent="0.2">
      <c r="A10" s="5" t="s">
        <v>26</v>
      </c>
      <c r="B10" s="6" t="s">
        <v>33</v>
      </c>
      <c r="C10" s="6" t="s">
        <v>45</v>
      </c>
      <c r="D10" s="65" t="str">
        <f t="shared" si="0"/>
        <v>001_V_c</v>
      </c>
      <c r="E10">
        <v>107</v>
      </c>
      <c r="F10" t="s">
        <v>49</v>
      </c>
      <c r="G10" t="s">
        <v>50</v>
      </c>
      <c r="I10">
        <v>4.1782826423153399</v>
      </c>
      <c r="J10" s="82">
        <v>22.7</v>
      </c>
      <c r="K10" s="82">
        <v>49.4</v>
      </c>
      <c r="L10" s="82">
        <v>48.3</v>
      </c>
      <c r="M10">
        <v>41.4</v>
      </c>
      <c r="N10" s="82">
        <v>46.3</v>
      </c>
      <c r="O10" s="44">
        <f t="shared" si="1"/>
        <v>3.7716522455706678</v>
      </c>
      <c r="P10">
        <f t="shared" si="2"/>
        <v>41.61999999999999</v>
      </c>
      <c r="Q10" s="111">
        <v>0.28399999999999997</v>
      </c>
      <c r="R10">
        <v>0.36599999999999999</v>
      </c>
      <c r="S10" s="65">
        <v>52</v>
      </c>
      <c r="T10">
        <v>8</v>
      </c>
      <c r="U10" t="s">
        <v>51</v>
      </c>
      <c r="V10" t="s">
        <v>32</v>
      </c>
    </row>
    <row r="11" spans="1:24" x14ac:dyDescent="0.2">
      <c r="A11" s="5" t="s">
        <v>26</v>
      </c>
      <c r="B11" s="6" t="s">
        <v>36</v>
      </c>
      <c r="C11" s="6" t="s">
        <v>52</v>
      </c>
      <c r="D11" s="65" t="str">
        <f t="shared" si="0"/>
        <v>001_O_d</v>
      </c>
      <c r="E11">
        <v>115</v>
      </c>
      <c r="F11" t="s">
        <v>34</v>
      </c>
      <c r="G11" t="s">
        <v>53</v>
      </c>
      <c r="I11">
        <v>3.50142235724643</v>
      </c>
      <c r="J11" s="82">
        <v>33.299999999999997</v>
      </c>
      <c r="K11" s="82">
        <v>28</v>
      </c>
      <c r="L11" s="82">
        <v>36.4</v>
      </c>
      <c r="M11">
        <v>9.1999999999999993</v>
      </c>
      <c r="N11" s="82">
        <v>37.6</v>
      </c>
      <c r="O11" s="44">
        <f t="shared" si="1"/>
        <v>5.5576863111942592</v>
      </c>
      <c r="P11">
        <f t="shared" si="2"/>
        <v>28.9</v>
      </c>
      <c r="Q11" s="111">
        <v>0.245</v>
      </c>
      <c r="R11">
        <v>0.53700000000000003</v>
      </c>
      <c r="S11" s="65">
        <v>13</v>
      </c>
      <c r="T11">
        <v>16</v>
      </c>
      <c r="U11" t="s">
        <v>54</v>
      </c>
      <c r="V11" t="s">
        <v>32</v>
      </c>
    </row>
    <row r="12" spans="1:24" s="19" customFormat="1" x14ac:dyDescent="0.2">
      <c r="A12" s="17" t="s">
        <v>26</v>
      </c>
      <c r="B12" s="18" t="s">
        <v>27</v>
      </c>
      <c r="C12" s="18" t="s">
        <v>52</v>
      </c>
      <c r="D12" s="66" t="str">
        <f t="shared" si="0"/>
        <v>001_S_d</v>
      </c>
      <c r="E12" s="19">
        <v>116</v>
      </c>
      <c r="F12" s="19" t="s">
        <v>34</v>
      </c>
      <c r="G12" s="19" t="s">
        <v>55</v>
      </c>
      <c r="H12" s="19" t="s">
        <v>56</v>
      </c>
      <c r="I12">
        <v>0</v>
      </c>
      <c r="J12" s="83">
        <v>1.1000000000000001</v>
      </c>
      <c r="K12" s="82">
        <v>1</v>
      </c>
      <c r="L12" s="82">
        <v>1</v>
      </c>
      <c r="M12">
        <v>1</v>
      </c>
      <c r="N12" s="82">
        <v>0.9</v>
      </c>
      <c r="O12" s="54">
        <f t="shared" si="1"/>
        <v>2.4390243902439068E-3</v>
      </c>
      <c r="P12">
        <f t="shared" si="2"/>
        <v>1</v>
      </c>
      <c r="Q12" s="112" t="s">
        <v>57</v>
      </c>
      <c r="R12" s="19" t="s">
        <v>57</v>
      </c>
      <c r="S12" s="66" t="s">
        <v>57</v>
      </c>
      <c r="T12" s="19" t="s">
        <v>57</v>
      </c>
      <c r="V12" t="s">
        <v>32</v>
      </c>
    </row>
    <row r="13" spans="1:24" ht="16" x14ac:dyDescent="0.2">
      <c r="A13" s="5" t="s">
        <v>26</v>
      </c>
      <c r="B13" s="6" t="s">
        <v>33</v>
      </c>
      <c r="C13" s="6" t="s">
        <v>52</v>
      </c>
      <c r="D13" s="65" t="str">
        <f t="shared" si="0"/>
        <v>001_V_d</v>
      </c>
      <c r="E13">
        <v>120</v>
      </c>
      <c r="F13" t="s">
        <v>34</v>
      </c>
      <c r="G13" t="s">
        <v>58</v>
      </c>
      <c r="I13">
        <v>3.4003256417432</v>
      </c>
      <c r="J13" s="82">
        <v>8.1</v>
      </c>
      <c r="K13" s="82">
        <v>29.8</v>
      </c>
      <c r="L13" s="84">
        <v>26.5</v>
      </c>
      <c r="M13">
        <v>32.1</v>
      </c>
      <c r="N13" s="82">
        <v>35</v>
      </c>
      <c r="O13" s="44">
        <f t="shared" si="1"/>
        <v>4.9498791018998327</v>
      </c>
      <c r="P13">
        <f t="shared" si="2"/>
        <v>26.3</v>
      </c>
      <c r="Q13" s="111">
        <v>0.373</v>
      </c>
      <c r="R13">
        <v>0.44400000000000001</v>
      </c>
      <c r="S13" s="65">
        <v>16</v>
      </c>
      <c r="T13">
        <v>21</v>
      </c>
      <c r="U13" t="s">
        <v>54</v>
      </c>
      <c r="V13" t="s">
        <v>32</v>
      </c>
    </row>
    <row r="14" spans="1:24" ht="16" x14ac:dyDescent="0.2">
      <c r="A14" s="5" t="s">
        <v>59</v>
      </c>
      <c r="B14" s="6" t="s">
        <v>27</v>
      </c>
      <c r="C14" s="6" t="s">
        <v>28</v>
      </c>
      <c r="D14" s="65" t="str">
        <f t="shared" si="0"/>
        <v>002_S_a</v>
      </c>
      <c r="E14">
        <v>4</v>
      </c>
      <c r="F14" t="s">
        <v>49</v>
      </c>
      <c r="G14" t="s">
        <v>60</v>
      </c>
      <c r="I14">
        <v>3.7781748514232101</v>
      </c>
      <c r="J14" s="84">
        <v>42.4</v>
      </c>
      <c r="K14" s="82">
        <v>46.3</v>
      </c>
      <c r="L14" s="82">
        <v>16</v>
      </c>
      <c r="M14" s="82">
        <v>33.5</v>
      </c>
      <c r="N14" s="82">
        <v>45.8</v>
      </c>
      <c r="O14" s="44">
        <f t="shared" si="1"/>
        <v>5.2570188133140414</v>
      </c>
      <c r="P14">
        <f t="shared" si="2"/>
        <v>36.799999999999997</v>
      </c>
      <c r="Q14" s="111">
        <v>0.33100000000000002</v>
      </c>
      <c r="R14">
        <v>0.51900000000000002</v>
      </c>
      <c r="S14" s="65">
        <v>12</v>
      </c>
      <c r="T14">
        <v>19</v>
      </c>
      <c r="U14" t="s">
        <v>61</v>
      </c>
      <c r="V14" t="s">
        <v>32</v>
      </c>
    </row>
    <row r="15" spans="1:24" ht="16" x14ac:dyDescent="0.2">
      <c r="A15" s="53" t="s">
        <v>59</v>
      </c>
      <c r="B15" s="47" t="s">
        <v>36</v>
      </c>
      <c r="C15" s="47" t="s">
        <v>28</v>
      </c>
      <c r="D15" s="67" t="str">
        <f t="shared" si="0"/>
        <v>002_O_a</v>
      </c>
      <c r="E15" s="47">
        <v>12</v>
      </c>
      <c r="F15" s="47" t="s">
        <v>49</v>
      </c>
      <c r="G15" s="47" t="s">
        <v>62</v>
      </c>
      <c r="H15" s="47"/>
      <c r="I15">
        <v>6.4139470331270498</v>
      </c>
      <c r="J15" s="84">
        <v>3.1</v>
      </c>
      <c r="K15" s="82">
        <v>5</v>
      </c>
      <c r="L15" s="82">
        <v>39.799999999999997</v>
      </c>
      <c r="M15" s="82">
        <v>34.4</v>
      </c>
      <c r="N15" s="82">
        <v>29.4</v>
      </c>
      <c r="O15" s="48">
        <f t="shared" si="1"/>
        <v>17.96172539489671</v>
      </c>
      <c r="P15">
        <f t="shared" si="2"/>
        <v>22.339999999999996</v>
      </c>
      <c r="Q15" s="113">
        <v>0.59</v>
      </c>
      <c r="R15" s="47">
        <v>0.64600000000000002</v>
      </c>
      <c r="S15" s="67">
        <v>15</v>
      </c>
      <c r="T15" s="47">
        <v>21</v>
      </c>
      <c r="U15" s="47" t="s">
        <v>54</v>
      </c>
      <c r="V15" t="s">
        <v>32</v>
      </c>
      <c r="W15" s="47"/>
    </row>
    <row r="16" spans="1:24" x14ac:dyDescent="0.2">
      <c r="A16" s="2" t="s">
        <v>59</v>
      </c>
      <c r="B16" t="s">
        <v>33</v>
      </c>
      <c r="C16" t="s">
        <v>28</v>
      </c>
      <c r="D16" s="65" t="str">
        <f t="shared" si="0"/>
        <v>002_V_a</v>
      </c>
      <c r="E16">
        <v>25</v>
      </c>
      <c r="F16" t="s">
        <v>63</v>
      </c>
      <c r="G16" t="s">
        <v>64</v>
      </c>
      <c r="I16">
        <v>2.5233578792341702</v>
      </c>
      <c r="J16" s="43">
        <v>2</v>
      </c>
      <c r="K16" t="s">
        <v>57</v>
      </c>
      <c r="L16" s="82">
        <v>27.1</v>
      </c>
      <c r="M16" s="82">
        <v>29.7</v>
      </c>
      <c r="N16" s="82">
        <v>30.3</v>
      </c>
      <c r="O16" s="44">
        <f t="shared" si="1"/>
        <v>11.93928571428572</v>
      </c>
      <c r="P16">
        <f t="shared" si="2"/>
        <v>22.274999999999999</v>
      </c>
      <c r="Q16" s="111">
        <v>0.20599999999999999</v>
      </c>
      <c r="R16">
        <v>0.317</v>
      </c>
      <c r="S16" s="65">
        <v>6</v>
      </c>
      <c r="T16" s="43">
        <v>5</v>
      </c>
      <c r="U16" t="s">
        <v>31</v>
      </c>
      <c r="V16" t="s">
        <v>32</v>
      </c>
    </row>
    <row r="17" spans="1:23" x14ac:dyDescent="0.2">
      <c r="A17" s="2" t="s">
        <v>59</v>
      </c>
      <c r="B17" t="s">
        <v>33</v>
      </c>
      <c r="C17" t="s">
        <v>38</v>
      </c>
      <c r="D17" s="65" t="str">
        <f t="shared" si="0"/>
        <v>002_V_b</v>
      </c>
      <c r="E17">
        <v>39</v>
      </c>
      <c r="F17" t="s">
        <v>63</v>
      </c>
      <c r="G17" t="s">
        <v>65</v>
      </c>
      <c r="I17">
        <v>2.1242550441588302</v>
      </c>
      <c r="J17" s="82">
        <v>14.8</v>
      </c>
      <c r="K17" s="82">
        <v>41.7</v>
      </c>
      <c r="L17" s="82">
        <v>23.2</v>
      </c>
      <c r="M17" s="82">
        <v>18.600000000000001</v>
      </c>
      <c r="N17" s="82">
        <v>15.2</v>
      </c>
      <c r="O17" s="44">
        <f t="shared" si="1"/>
        <v>5.783757205832476</v>
      </c>
      <c r="P17">
        <f t="shared" si="2"/>
        <v>22.700000000000003</v>
      </c>
      <c r="Q17" s="111">
        <v>0.158</v>
      </c>
      <c r="R17">
        <v>0.34599999999999997</v>
      </c>
      <c r="S17" s="65">
        <v>9</v>
      </c>
      <c r="T17">
        <v>4</v>
      </c>
      <c r="U17" t="s">
        <v>31</v>
      </c>
      <c r="V17" t="s">
        <v>32</v>
      </c>
    </row>
    <row r="18" spans="1:23" x14ac:dyDescent="0.2">
      <c r="A18" s="5" t="s">
        <v>59</v>
      </c>
      <c r="B18" s="6" t="s">
        <v>27</v>
      </c>
      <c r="C18" s="6" t="s">
        <v>38</v>
      </c>
      <c r="D18" s="65" t="str">
        <f t="shared" si="0"/>
        <v>002_S_b</v>
      </c>
      <c r="E18">
        <v>64</v>
      </c>
      <c r="F18" t="s">
        <v>49</v>
      </c>
      <c r="G18" t="s">
        <v>66</v>
      </c>
      <c r="H18" t="s">
        <v>56</v>
      </c>
      <c r="I18">
        <v>0</v>
      </c>
      <c r="J18" s="82">
        <v>1</v>
      </c>
      <c r="K18" s="82">
        <v>1</v>
      </c>
      <c r="L18" s="82">
        <v>1</v>
      </c>
      <c r="M18" s="82">
        <v>1</v>
      </c>
      <c r="N18" s="82">
        <v>1</v>
      </c>
      <c r="O18" s="44">
        <f t="shared" si="1"/>
        <v>0</v>
      </c>
      <c r="P18">
        <f t="shared" si="2"/>
        <v>1</v>
      </c>
      <c r="Q18" s="111" t="s">
        <v>57</v>
      </c>
      <c r="R18" t="s">
        <v>57</v>
      </c>
      <c r="S18" s="65" t="s">
        <v>57</v>
      </c>
      <c r="T18" t="s">
        <v>57</v>
      </c>
      <c r="U18" t="s">
        <v>57</v>
      </c>
      <c r="V18" t="s">
        <v>32</v>
      </c>
      <c r="W18" t="s">
        <v>67</v>
      </c>
    </row>
    <row r="19" spans="1:23" x14ac:dyDescent="0.2">
      <c r="A19" s="5" t="s">
        <v>59</v>
      </c>
      <c r="B19" s="6" t="s">
        <v>36</v>
      </c>
      <c r="C19" s="6" t="s">
        <v>38</v>
      </c>
      <c r="D19" s="65" t="str">
        <f t="shared" si="0"/>
        <v>002_O_b</v>
      </c>
      <c r="E19">
        <v>66</v>
      </c>
      <c r="F19" t="s">
        <v>68</v>
      </c>
      <c r="G19" t="s">
        <v>69</v>
      </c>
      <c r="I19">
        <v>3.0579712251126301</v>
      </c>
      <c r="J19" s="82">
        <v>25.8</v>
      </c>
      <c r="K19" s="82">
        <v>29.8</v>
      </c>
      <c r="L19" t="s">
        <v>57</v>
      </c>
      <c r="M19" s="82">
        <v>23.8</v>
      </c>
      <c r="N19" s="82">
        <v>31.2</v>
      </c>
      <c r="O19" s="44">
        <f t="shared" si="1"/>
        <v>0.3526448362720403</v>
      </c>
      <c r="P19">
        <f t="shared" si="2"/>
        <v>27.650000000000002</v>
      </c>
      <c r="Q19" s="111">
        <v>0.27900000000000003</v>
      </c>
      <c r="R19">
        <v>0.46</v>
      </c>
      <c r="S19" s="65">
        <v>11</v>
      </c>
      <c r="T19">
        <v>7</v>
      </c>
      <c r="U19" t="s">
        <v>31</v>
      </c>
      <c r="V19" t="s">
        <v>32</v>
      </c>
    </row>
    <row r="20" spans="1:23" x14ac:dyDescent="0.2">
      <c r="A20" s="5" t="s">
        <v>59</v>
      </c>
      <c r="B20" s="6" t="s">
        <v>36</v>
      </c>
      <c r="C20" s="6" t="s">
        <v>45</v>
      </c>
      <c r="D20" s="65" t="str">
        <f t="shared" si="0"/>
        <v>002_O_c</v>
      </c>
      <c r="E20">
        <v>84</v>
      </c>
      <c r="F20" t="s">
        <v>70</v>
      </c>
      <c r="G20" t="s">
        <v>71</v>
      </c>
      <c r="I20">
        <v>2.6422377723272299</v>
      </c>
      <c r="J20" s="82">
        <v>36.200000000000003</v>
      </c>
      <c r="K20" t="s">
        <v>57</v>
      </c>
      <c r="L20" t="s">
        <v>57</v>
      </c>
      <c r="M20" s="82">
        <v>41.4</v>
      </c>
      <c r="N20" s="82">
        <v>11.6</v>
      </c>
      <c r="O20" s="44">
        <f t="shared" si="1"/>
        <v>0.34845360824742216</v>
      </c>
      <c r="P20">
        <f t="shared" si="2"/>
        <v>29.733333333333331</v>
      </c>
      <c r="Q20" s="111">
        <v>0.248</v>
      </c>
      <c r="R20">
        <v>0.501</v>
      </c>
      <c r="S20" s="65">
        <v>19</v>
      </c>
      <c r="T20">
        <v>31</v>
      </c>
      <c r="U20" t="s">
        <v>72</v>
      </c>
      <c r="V20" t="s">
        <v>32</v>
      </c>
    </row>
    <row r="21" spans="1:23" x14ac:dyDescent="0.2">
      <c r="A21" s="5" t="s">
        <v>59</v>
      </c>
      <c r="B21" s="6" t="s">
        <v>33</v>
      </c>
      <c r="C21" s="6" t="s">
        <v>45</v>
      </c>
      <c r="D21" s="65" t="str">
        <f t="shared" si="0"/>
        <v>002_V_c</v>
      </c>
      <c r="E21">
        <v>99</v>
      </c>
      <c r="F21" t="s">
        <v>29</v>
      </c>
      <c r="G21" t="s">
        <v>73</v>
      </c>
      <c r="I21">
        <v>3.62840158520476</v>
      </c>
      <c r="J21" s="82">
        <v>30.2</v>
      </c>
      <c r="K21" s="82">
        <v>37.700000000000003</v>
      </c>
      <c r="L21" s="82">
        <v>40.6</v>
      </c>
      <c r="M21">
        <v>44.7</v>
      </c>
      <c r="N21" s="82">
        <v>47.3</v>
      </c>
      <c r="O21" s="44">
        <f t="shared" si="1"/>
        <v>0.97667536988686843</v>
      </c>
      <c r="P21">
        <f t="shared" si="2"/>
        <v>40.1</v>
      </c>
      <c r="Q21" s="111">
        <v>0.39900000000000002</v>
      </c>
      <c r="R21">
        <v>0.56100000000000005</v>
      </c>
      <c r="S21" s="65">
        <v>18</v>
      </c>
      <c r="T21">
        <v>11</v>
      </c>
      <c r="U21" t="s">
        <v>54</v>
      </c>
      <c r="V21" t="s">
        <v>32</v>
      </c>
    </row>
    <row r="22" spans="1:23" s="19" customFormat="1" x14ac:dyDescent="0.2">
      <c r="A22" s="17" t="s">
        <v>59</v>
      </c>
      <c r="B22" s="18" t="s">
        <v>27</v>
      </c>
      <c r="C22" s="18" t="s">
        <v>45</v>
      </c>
      <c r="D22" s="66" t="str">
        <f t="shared" si="0"/>
        <v>002_S_c</v>
      </c>
      <c r="E22" s="19">
        <v>101</v>
      </c>
      <c r="F22" s="19" t="s">
        <v>41</v>
      </c>
      <c r="G22" s="19" t="s">
        <v>74</v>
      </c>
      <c r="I22">
        <v>4.9499168681983097</v>
      </c>
      <c r="J22" s="83">
        <v>49.6</v>
      </c>
      <c r="K22" t="s">
        <v>57</v>
      </c>
      <c r="L22" s="82">
        <v>51.9</v>
      </c>
      <c r="M22">
        <v>40.1</v>
      </c>
      <c r="N22" s="82">
        <v>62.4</v>
      </c>
      <c r="O22" s="54">
        <f t="shared" si="1"/>
        <v>0.82902542372882559</v>
      </c>
      <c r="P22">
        <f t="shared" si="2"/>
        <v>51</v>
      </c>
      <c r="Q22" s="112">
        <v>0.218</v>
      </c>
      <c r="R22" s="19">
        <v>0.44400000000000001</v>
      </c>
      <c r="S22" s="66">
        <v>27</v>
      </c>
      <c r="T22" s="19">
        <v>64</v>
      </c>
      <c r="U22" s="19" t="s">
        <v>72</v>
      </c>
      <c r="V22" t="s">
        <v>32</v>
      </c>
    </row>
    <row r="23" spans="1:23" x14ac:dyDescent="0.2">
      <c r="A23" s="5" t="s">
        <v>59</v>
      </c>
      <c r="B23" s="6" t="s">
        <v>36</v>
      </c>
      <c r="C23" s="6" t="s">
        <v>52</v>
      </c>
      <c r="D23" s="65" t="str">
        <f t="shared" si="0"/>
        <v>002_O_d</v>
      </c>
      <c r="E23">
        <v>111</v>
      </c>
      <c r="F23" t="s">
        <v>70</v>
      </c>
      <c r="G23" t="s">
        <v>75</v>
      </c>
      <c r="I23">
        <v>2.99147879251051</v>
      </c>
      <c r="J23" s="82">
        <v>7.2</v>
      </c>
      <c r="K23" s="82">
        <v>54.3</v>
      </c>
      <c r="L23" s="82">
        <v>26.3</v>
      </c>
      <c r="M23">
        <v>41.2</v>
      </c>
      <c r="N23" s="82">
        <v>51.5</v>
      </c>
      <c r="O23" s="44">
        <f t="shared" si="1"/>
        <v>12.705012919896641</v>
      </c>
      <c r="P23">
        <f t="shared" si="2"/>
        <v>36.1</v>
      </c>
      <c r="Q23" s="111">
        <v>0.29899999999999999</v>
      </c>
      <c r="R23">
        <v>0.56899999999999995</v>
      </c>
      <c r="S23" s="65">
        <v>14</v>
      </c>
      <c r="T23">
        <v>10</v>
      </c>
      <c r="U23" t="s">
        <v>54</v>
      </c>
      <c r="V23" t="s">
        <v>32</v>
      </c>
    </row>
    <row r="24" spans="1:23" x14ac:dyDescent="0.2">
      <c r="A24" s="5" t="s">
        <v>59</v>
      </c>
      <c r="B24" s="6" t="s">
        <v>33</v>
      </c>
      <c r="C24" s="6" t="s">
        <v>52</v>
      </c>
      <c r="D24" s="65" t="str">
        <f t="shared" si="0"/>
        <v>002_V_d</v>
      </c>
      <c r="E24">
        <v>118</v>
      </c>
      <c r="F24" t="s">
        <v>68</v>
      </c>
      <c r="G24" t="s">
        <v>76</v>
      </c>
      <c r="I24">
        <v>2.6562977290996801</v>
      </c>
      <c r="J24" s="82">
        <v>37.4</v>
      </c>
      <c r="K24" s="82">
        <v>8.6999999999999993</v>
      </c>
      <c r="L24" s="82">
        <v>45.1</v>
      </c>
      <c r="M24">
        <v>41.7</v>
      </c>
      <c r="N24" s="82">
        <v>26.1</v>
      </c>
      <c r="O24" s="44">
        <f t="shared" si="1"/>
        <v>8.3445949335340099</v>
      </c>
      <c r="P24">
        <f t="shared" si="2"/>
        <v>31.799999999999994</v>
      </c>
      <c r="Q24" s="111">
        <v>0.26200000000000001</v>
      </c>
      <c r="R24">
        <v>0.41699999999999998</v>
      </c>
      <c r="S24" s="65">
        <v>11</v>
      </c>
      <c r="T24">
        <v>20</v>
      </c>
      <c r="U24" t="s">
        <v>54</v>
      </c>
      <c r="V24" t="s">
        <v>32</v>
      </c>
    </row>
    <row r="25" spans="1:23" ht="16" x14ac:dyDescent="0.2">
      <c r="A25" s="5" t="s">
        <v>59</v>
      </c>
      <c r="B25" s="6" t="s">
        <v>27</v>
      </c>
      <c r="C25" s="6" t="s">
        <v>52</v>
      </c>
      <c r="D25" s="65" t="str">
        <f t="shared" si="0"/>
        <v>002_S_d</v>
      </c>
      <c r="E25">
        <v>137</v>
      </c>
      <c r="F25" t="s">
        <v>41</v>
      </c>
      <c r="G25" t="s">
        <v>77</v>
      </c>
      <c r="I25">
        <v>2.6835357967081701</v>
      </c>
      <c r="J25" s="81"/>
      <c r="K25" s="82">
        <v>35.700000000000003</v>
      </c>
      <c r="L25" s="84">
        <v>56.8</v>
      </c>
      <c r="M25" s="82">
        <v>37.1</v>
      </c>
      <c r="N25" s="82">
        <v>41.9</v>
      </c>
      <c r="O25" s="44">
        <f t="shared" si="1"/>
        <v>3.2224537037036942</v>
      </c>
      <c r="P25">
        <f t="shared" si="2"/>
        <v>42.875</v>
      </c>
      <c r="Q25" s="111">
        <v>0.251</v>
      </c>
      <c r="R25">
        <v>0.41799999999999998</v>
      </c>
      <c r="S25" s="65">
        <v>16</v>
      </c>
      <c r="T25">
        <v>22</v>
      </c>
      <c r="U25" t="s">
        <v>78</v>
      </c>
      <c r="V25" t="s">
        <v>32</v>
      </c>
    </row>
    <row r="26" spans="1:23" x14ac:dyDescent="0.2">
      <c r="A26" s="2" t="s">
        <v>79</v>
      </c>
      <c r="B26" t="s">
        <v>33</v>
      </c>
      <c r="C26" t="s">
        <v>28</v>
      </c>
      <c r="D26" s="65" t="str">
        <f t="shared" si="0"/>
        <v>003_V_a</v>
      </c>
      <c r="E26">
        <v>31</v>
      </c>
      <c r="F26" t="s">
        <v>68</v>
      </c>
      <c r="G26" t="s">
        <v>80</v>
      </c>
      <c r="I26">
        <v>2.8110268152725699</v>
      </c>
      <c r="J26" s="82">
        <v>4.7</v>
      </c>
      <c r="K26" s="82">
        <v>29.3</v>
      </c>
      <c r="L26" s="82">
        <v>18.8</v>
      </c>
      <c r="M26" s="82">
        <v>26</v>
      </c>
      <c r="N26" s="82">
        <v>41</v>
      </c>
      <c r="O26" s="44">
        <f t="shared" si="1"/>
        <v>6.0517766497461949</v>
      </c>
      <c r="P26">
        <f t="shared" si="2"/>
        <v>23.96</v>
      </c>
      <c r="Q26" s="111">
        <v>0.157</v>
      </c>
      <c r="R26">
        <v>0.28399999999999997</v>
      </c>
      <c r="S26" s="65">
        <v>7</v>
      </c>
      <c r="T26">
        <v>12</v>
      </c>
      <c r="U26" t="s">
        <v>31</v>
      </c>
      <c r="V26" t="s">
        <v>32</v>
      </c>
    </row>
    <row r="27" spans="1:23" x14ac:dyDescent="0.2">
      <c r="A27" s="5" t="s">
        <v>79</v>
      </c>
      <c r="B27" s="6" t="s">
        <v>36</v>
      </c>
      <c r="C27" s="6" t="s">
        <v>28</v>
      </c>
      <c r="D27" s="65" t="str">
        <f t="shared" si="0"/>
        <v>003_O_a</v>
      </c>
      <c r="E27">
        <v>34</v>
      </c>
      <c r="F27" t="s">
        <v>68</v>
      </c>
      <c r="G27" t="s">
        <v>81</v>
      </c>
      <c r="I27">
        <v>3.75232368686477</v>
      </c>
      <c r="J27" s="82">
        <v>27.5</v>
      </c>
      <c r="K27" t="s">
        <v>57</v>
      </c>
      <c r="L27" s="82"/>
      <c r="M27" s="82">
        <v>30.9</v>
      </c>
      <c r="N27" s="82">
        <v>34.1</v>
      </c>
      <c r="O27" s="44">
        <f t="shared" si="1"/>
        <v>0.19794520547945188</v>
      </c>
      <c r="P27">
        <f t="shared" si="2"/>
        <v>30.833333333333332</v>
      </c>
      <c r="Q27" s="111">
        <v>0.35</v>
      </c>
      <c r="R27">
        <v>0.55600000000000005</v>
      </c>
      <c r="S27" s="65">
        <v>11</v>
      </c>
      <c r="T27">
        <v>19</v>
      </c>
      <c r="U27" t="s">
        <v>31</v>
      </c>
      <c r="V27" t="s">
        <v>32</v>
      </c>
    </row>
    <row r="28" spans="1:23" x14ac:dyDescent="0.2">
      <c r="A28" s="5" t="s">
        <v>79</v>
      </c>
      <c r="B28" s="6" t="s">
        <v>27</v>
      </c>
      <c r="C28" s="6" t="s">
        <v>28</v>
      </c>
      <c r="D28" s="65" t="str">
        <f t="shared" si="0"/>
        <v>003_S_a</v>
      </c>
      <c r="E28">
        <v>36</v>
      </c>
      <c r="F28" t="s">
        <v>82</v>
      </c>
      <c r="G28" t="s">
        <v>83</v>
      </c>
      <c r="I28">
        <v>5.5354293614624401</v>
      </c>
      <c r="J28" s="82">
        <v>20.399999999999999</v>
      </c>
      <c r="K28" s="82">
        <v>22.7</v>
      </c>
      <c r="L28" s="82">
        <v>16.399999999999999</v>
      </c>
      <c r="M28" s="82">
        <v>10.7</v>
      </c>
      <c r="N28" s="82">
        <v>4.5</v>
      </c>
      <c r="O28" s="44">
        <f t="shared" si="1"/>
        <v>1.5743589743589808</v>
      </c>
      <c r="P28">
        <f t="shared" si="2"/>
        <v>14.939999999999998</v>
      </c>
      <c r="Q28" s="111">
        <v>0.34599999999999997</v>
      </c>
      <c r="R28">
        <v>0.45300000000000001</v>
      </c>
      <c r="S28" s="65">
        <v>15</v>
      </c>
      <c r="T28">
        <v>21</v>
      </c>
      <c r="U28" t="s">
        <v>31</v>
      </c>
      <c r="V28" t="s">
        <v>32</v>
      </c>
    </row>
    <row r="29" spans="1:23" x14ac:dyDescent="0.2">
      <c r="A29" s="5" t="s">
        <v>79</v>
      </c>
      <c r="B29" s="6" t="s">
        <v>27</v>
      </c>
      <c r="C29" s="6" t="s">
        <v>38</v>
      </c>
      <c r="D29" s="65" t="str">
        <f t="shared" si="0"/>
        <v>003_S_b</v>
      </c>
      <c r="E29">
        <v>45</v>
      </c>
      <c r="F29" t="s">
        <v>34</v>
      </c>
      <c r="G29" t="s">
        <v>84</v>
      </c>
      <c r="I29">
        <v>4.2313320983496103</v>
      </c>
      <c r="J29" s="82">
        <v>5.7</v>
      </c>
      <c r="K29" s="82">
        <v>39.700000000000003</v>
      </c>
      <c r="L29" s="82">
        <v>5.9</v>
      </c>
      <c r="M29" s="82">
        <v>25.9</v>
      </c>
      <c r="N29" s="82">
        <v>19.899999999999999</v>
      </c>
      <c r="O29" s="44">
        <f t="shared" si="1"/>
        <v>14.235578583765109</v>
      </c>
      <c r="P29">
        <f t="shared" si="2"/>
        <v>19.419999999999998</v>
      </c>
      <c r="Q29" s="111">
        <v>0.30499999999999999</v>
      </c>
      <c r="R29">
        <v>0.505</v>
      </c>
      <c r="S29" s="65">
        <v>23</v>
      </c>
      <c r="T29" s="43">
        <v>28</v>
      </c>
      <c r="U29" t="s">
        <v>85</v>
      </c>
      <c r="V29" t="s">
        <v>32</v>
      </c>
    </row>
    <row r="30" spans="1:23" x14ac:dyDescent="0.2">
      <c r="A30" s="5" t="s">
        <v>79</v>
      </c>
      <c r="B30" s="6" t="s">
        <v>36</v>
      </c>
      <c r="C30" s="6" t="s">
        <v>38</v>
      </c>
      <c r="D30" s="65" t="str">
        <f t="shared" si="0"/>
        <v>003_O_b</v>
      </c>
      <c r="E30">
        <v>49</v>
      </c>
      <c r="F30" t="s">
        <v>41</v>
      </c>
      <c r="G30" t="s">
        <v>86</v>
      </c>
      <c r="I30">
        <v>2.3832466077430601</v>
      </c>
      <c r="J30" s="82">
        <v>30.6</v>
      </c>
      <c r="K30" s="82">
        <v>32.1</v>
      </c>
      <c r="L30" s="82">
        <v>30</v>
      </c>
      <c r="M30" s="82">
        <v>32.299999999999997</v>
      </c>
      <c r="N30" s="82">
        <v>39</v>
      </c>
      <c r="O30" s="44">
        <f t="shared" si="1"/>
        <v>4.063999999999994E-2</v>
      </c>
      <c r="P30">
        <f t="shared" si="2"/>
        <v>32.799999999999997</v>
      </c>
      <c r="Q30" s="111">
        <v>0.121</v>
      </c>
      <c r="R30">
        <v>0.30099999999999999</v>
      </c>
      <c r="S30" s="65">
        <v>17</v>
      </c>
      <c r="T30" s="43">
        <v>26</v>
      </c>
      <c r="U30" t="s">
        <v>54</v>
      </c>
      <c r="V30" t="s">
        <v>32</v>
      </c>
    </row>
    <row r="31" spans="1:23" x14ac:dyDescent="0.2">
      <c r="A31" s="2" t="s">
        <v>79</v>
      </c>
      <c r="B31" t="s">
        <v>33</v>
      </c>
      <c r="C31" t="s">
        <v>38</v>
      </c>
      <c r="D31" s="65" t="str">
        <f t="shared" si="0"/>
        <v>003_V_b</v>
      </c>
      <c r="E31">
        <v>57</v>
      </c>
      <c r="F31" t="s">
        <v>29</v>
      </c>
      <c r="G31" t="s">
        <v>87</v>
      </c>
      <c r="I31">
        <v>2.8420394296597502</v>
      </c>
      <c r="J31" s="82">
        <v>14.3</v>
      </c>
      <c r="K31" s="82">
        <v>3.5</v>
      </c>
      <c r="L31" s="82">
        <v>20.399999999999999</v>
      </c>
      <c r="M31" s="82">
        <v>38.9</v>
      </c>
      <c r="N31" s="82">
        <v>33.299999999999997</v>
      </c>
      <c r="O31" s="44">
        <f t="shared" si="1"/>
        <v>11.413878080415044</v>
      </c>
      <c r="P31">
        <f t="shared" si="2"/>
        <v>22.08</v>
      </c>
      <c r="Q31" s="111">
        <v>0.106</v>
      </c>
      <c r="R31">
        <v>0.378</v>
      </c>
      <c r="S31" s="65">
        <v>8</v>
      </c>
      <c r="T31">
        <v>6</v>
      </c>
      <c r="U31" t="s">
        <v>31</v>
      </c>
      <c r="V31" t="s">
        <v>32</v>
      </c>
    </row>
    <row r="32" spans="1:23" s="19" customFormat="1" x14ac:dyDescent="0.2">
      <c r="A32" s="17" t="s">
        <v>79</v>
      </c>
      <c r="B32" s="18" t="s">
        <v>33</v>
      </c>
      <c r="C32" s="18" t="s">
        <v>45</v>
      </c>
      <c r="D32" s="66" t="str">
        <f t="shared" si="0"/>
        <v>003_V_c</v>
      </c>
      <c r="E32" s="19">
        <v>100</v>
      </c>
      <c r="F32" s="19" t="s">
        <v>68</v>
      </c>
      <c r="G32" s="19" t="s">
        <v>88</v>
      </c>
      <c r="I32">
        <v>7.1155148610278998</v>
      </c>
      <c r="J32" s="83">
        <v>21.5</v>
      </c>
      <c r="K32" s="82">
        <v>22.4</v>
      </c>
      <c r="L32" s="82">
        <v>33.9</v>
      </c>
      <c r="M32">
        <v>31.3</v>
      </c>
      <c r="N32" s="82">
        <v>55.4</v>
      </c>
      <c r="O32" s="54">
        <f t="shared" si="1"/>
        <v>1.4324167430491901</v>
      </c>
      <c r="P32">
        <f t="shared" si="2"/>
        <v>32.9</v>
      </c>
      <c r="Q32" s="112">
        <v>0.308</v>
      </c>
      <c r="R32" s="19">
        <v>0.46100000000000002</v>
      </c>
      <c r="S32" s="66">
        <v>15</v>
      </c>
      <c r="T32" s="19">
        <v>13</v>
      </c>
      <c r="U32" s="19" t="s">
        <v>31</v>
      </c>
      <c r="V32" t="s">
        <v>32</v>
      </c>
    </row>
    <row r="33" spans="1:22" x14ac:dyDescent="0.2">
      <c r="A33" s="5" t="s">
        <v>79</v>
      </c>
      <c r="B33" s="6" t="s">
        <v>36</v>
      </c>
      <c r="C33" s="6" t="s">
        <v>45</v>
      </c>
      <c r="D33" s="65" t="str">
        <f t="shared" si="0"/>
        <v>003_O_c</v>
      </c>
      <c r="E33">
        <v>105</v>
      </c>
      <c r="F33" t="s">
        <v>49</v>
      </c>
      <c r="G33" t="s">
        <v>89</v>
      </c>
      <c r="I33">
        <v>3.0423650975889802</v>
      </c>
      <c r="J33" s="82">
        <v>42.4</v>
      </c>
      <c r="K33" s="82">
        <v>33.799999999999997</v>
      </c>
      <c r="L33" s="82">
        <v>46.8</v>
      </c>
      <c r="M33">
        <v>40.4</v>
      </c>
      <c r="N33" s="82">
        <v>41.4</v>
      </c>
      <c r="O33" s="44">
        <f t="shared" si="1"/>
        <v>0.71570787433701311</v>
      </c>
      <c r="P33">
        <f t="shared" si="2"/>
        <v>40.959999999999994</v>
      </c>
      <c r="Q33" s="111">
        <v>0.28999999999999998</v>
      </c>
      <c r="R33">
        <v>0.47099999999999997</v>
      </c>
      <c r="S33" s="65">
        <v>17</v>
      </c>
      <c r="T33">
        <v>13</v>
      </c>
      <c r="U33" t="s">
        <v>72</v>
      </c>
      <c r="V33" t="s">
        <v>32</v>
      </c>
    </row>
    <row r="34" spans="1:22" x14ac:dyDescent="0.2">
      <c r="A34" s="5" t="s">
        <v>79</v>
      </c>
      <c r="B34" s="6" t="s">
        <v>27</v>
      </c>
      <c r="C34" s="6" t="s">
        <v>45</v>
      </c>
      <c r="D34" s="65" t="str">
        <f t="shared" si="0"/>
        <v>003_S_c</v>
      </c>
      <c r="E34">
        <v>107</v>
      </c>
      <c r="F34" t="s">
        <v>63</v>
      </c>
      <c r="G34" t="s">
        <v>90</v>
      </c>
      <c r="I34">
        <v>3.3968038883570202</v>
      </c>
      <c r="J34" s="82">
        <v>44.1</v>
      </c>
      <c r="K34" s="82">
        <v>65.8</v>
      </c>
      <c r="L34" s="82">
        <v>45.4</v>
      </c>
      <c r="M34">
        <v>11.4</v>
      </c>
      <c r="N34" s="82">
        <v>31.2</v>
      </c>
      <c r="O34" s="44">
        <f t="shared" ref="O34:O65" si="3">VAR(J34:M34)/AVERAGE(J34:M34)</f>
        <v>12.144351129774028</v>
      </c>
      <c r="P34">
        <f t="shared" si="2"/>
        <v>39.58</v>
      </c>
      <c r="Q34" s="111">
        <v>0.34499999999999997</v>
      </c>
      <c r="R34">
        <v>0.33</v>
      </c>
      <c r="S34" s="65">
        <v>11</v>
      </c>
      <c r="T34">
        <v>8</v>
      </c>
      <c r="U34" t="s">
        <v>72</v>
      </c>
      <c r="V34" t="s">
        <v>32</v>
      </c>
    </row>
    <row r="35" spans="1:22" x14ac:dyDescent="0.2">
      <c r="A35" s="5" t="s">
        <v>79</v>
      </c>
      <c r="B35" s="6" t="s">
        <v>27</v>
      </c>
      <c r="C35" s="6" t="s">
        <v>52</v>
      </c>
      <c r="D35" s="65" t="str">
        <f t="shared" si="0"/>
        <v>003_S_d</v>
      </c>
      <c r="E35">
        <v>115</v>
      </c>
      <c r="F35" t="s">
        <v>41</v>
      </c>
      <c r="G35" t="s">
        <v>91</v>
      </c>
      <c r="I35">
        <v>2.0285023821031598</v>
      </c>
      <c r="J35" s="82">
        <v>3.7</v>
      </c>
      <c r="K35" s="82">
        <v>28</v>
      </c>
      <c r="L35" s="82">
        <v>43.7</v>
      </c>
      <c r="M35">
        <v>33.5</v>
      </c>
      <c r="N35" s="82">
        <v>42.9</v>
      </c>
      <c r="O35" s="44">
        <f t="shared" si="3"/>
        <v>10.588644015916742</v>
      </c>
      <c r="P35">
        <f t="shared" si="2"/>
        <v>30.360000000000003</v>
      </c>
      <c r="Q35" s="111">
        <v>0.19500000000000001</v>
      </c>
      <c r="R35">
        <v>0.39800000000000002</v>
      </c>
      <c r="S35" s="65">
        <v>6</v>
      </c>
      <c r="T35">
        <v>20</v>
      </c>
      <c r="U35" t="s">
        <v>54</v>
      </c>
      <c r="V35" t="s">
        <v>32</v>
      </c>
    </row>
    <row r="36" spans="1:22" ht="16" x14ac:dyDescent="0.2">
      <c r="A36" s="5" t="s">
        <v>79</v>
      </c>
      <c r="B36" s="6" t="s">
        <v>36</v>
      </c>
      <c r="C36" s="6" t="s">
        <v>52</v>
      </c>
      <c r="D36" s="65" t="str">
        <f t="shared" si="0"/>
        <v>003_O_d</v>
      </c>
      <c r="E36">
        <v>134</v>
      </c>
      <c r="F36" t="s">
        <v>41</v>
      </c>
      <c r="G36" t="s">
        <v>92</v>
      </c>
      <c r="I36">
        <v>3.5209078028288001</v>
      </c>
      <c r="J36" s="82">
        <v>25.1</v>
      </c>
      <c r="K36" s="82">
        <v>30.9</v>
      </c>
      <c r="L36" s="84">
        <v>42.5</v>
      </c>
      <c r="M36" s="82">
        <v>39.9</v>
      </c>
      <c r="N36" s="82">
        <v>48.4</v>
      </c>
      <c r="O36" s="44">
        <f t="shared" si="3"/>
        <v>1.8732177263969134</v>
      </c>
      <c r="P36">
        <f t="shared" si="2"/>
        <v>37.36</v>
      </c>
      <c r="Q36" s="111">
        <v>0.56799999999999995</v>
      </c>
      <c r="R36">
        <v>0.44400000000000001</v>
      </c>
      <c r="S36" s="65">
        <v>11</v>
      </c>
      <c r="T36">
        <v>26</v>
      </c>
      <c r="U36" t="s">
        <v>54</v>
      </c>
      <c r="V36" t="s">
        <v>32</v>
      </c>
    </row>
    <row r="37" spans="1:22" ht="16" x14ac:dyDescent="0.2">
      <c r="A37" s="5" t="s">
        <v>79</v>
      </c>
      <c r="B37" s="6" t="s">
        <v>33</v>
      </c>
      <c r="C37" s="6" t="s">
        <v>52</v>
      </c>
      <c r="D37" s="65" t="str">
        <f t="shared" si="0"/>
        <v>003_V_d</v>
      </c>
      <c r="E37">
        <v>141</v>
      </c>
      <c r="F37" t="s">
        <v>29</v>
      </c>
      <c r="G37" t="s">
        <v>93</v>
      </c>
      <c r="I37">
        <v>2.1996835443038001</v>
      </c>
      <c r="J37" s="82">
        <v>15.7</v>
      </c>
      <c r="K37" s="82">
        <v>13.7</v>
      </c>
      <c r="L37" s="84">
        <v>5.6</v>
      </c>
      <c r="M37" s="82">
        <v>2.5</v>
      </c>
      <c r="N37" s="82">
        <v>2.5</v>
      </c>
      <c r="O37" s="44">
        <f t="shared" si="3"/>
        <v>4.2747555555555543</v>
      </c>
      <c r="P37">
        <f t="shared" si="2"/>
        <v>8</v>
      </c>
      <c r="Q37" s="111">
        <v>0.26200000000000001</v>
      </c>
      <c r="R37">
        <v>0.42799999999999999</v>
      </c>
      <c r="S37" s="65">
        <v>10</v>
      </c>
      <c r="T37">
        <v>3</v>
      </c>
      <c r="U37" t="s">
        <v>47</v>
      </c>
      <c r="V37" t="s">
        <v>32</v>
      </c>
    </row>
    <row r="38" spans="1:22" ht="16" x14ac:dyDescent="0.2">
      <c r="A38" s="5" t="s">
        <v>94</v>
      </c>
      <c r="B38" s="6" t="s">
        <v>36</v>
      </c>
      <c r="C38" s="6" t="s">
        <v>28</v>
      </c>
      <c r="D38" s="65" t="str">
        <f t="shared" si="0"/>
        <v>004_O_a</v>
      </c>
      <c r="E38">
        <v>14</v>
      </c>
      <c r="F38" t="s">
        <v>34</v>
      </c>
      <c r="G38" t="s">
        <v>95</v>
      </c>
      <c r="I38">
        <v>4.3983671197290901</v>
      </c>
      <c r="J38" s="84">
        <v>20</v>
      </c>
      <c r="K38" s="82">
        <v>33.5</v>
      </c>
      <c r="L38" s="82">
        <v>33.299999999999997</v>
      </c>
      <c r="M38" s="82">
        <v>36.4</v>
      </c>
      <c r="N38" s="82">
        <v>47.1</v>
      </c>
      <c r="O38" s="44">
        <f t="shared" si="3"/>
        <v>1.7482683982683982</v>
      </c>
      <c r="P38">
        <f t="shared" si="2"/>
        <v>34.059999999999995</v>
      </c>
      <c r="Q38" s="111">
        <v>0.45800000000000002</v>
      </c>
      <c r="R38">
        <v>0.51</v>
      </c>
      <c r="S38" s="65">
        <v>38</v>
      </c>
      <c r="T38">
        <v>27</v>
      </c>
      <c r="U38" t="s">
        <v>51</v>
      </c>
      <c r="V38" t="s">
        <v>32</v>
      </c>
    </row>
    <row r="39" spans="1:22" ht="16" x14ac:dyDescent="0.2">
      <c r="A39" s="5" t="s">
        <v>94</v>
      </c>
      <c r="B39" s="6" t="s">
        <v>27</v>
      </c>
      <c r="C39" s="6" t="s">
        <v>28</v>
      </c>
      <c r="D39" s="65" t="str">
        <f t="shared" si="0"/>
        <v>004_S_a</v>
      </c>
      <c r="E39">
        <v>20</v>
      </c>
      <c r="F39" t="s">
        <v>43</v>
      </c>
      <c r="G39" t="s">
        <v>96</v>
      </c>
      <c r="I39">
        <v>5.5855034055071204</v>
      </c>
      <c r="J39" s="84">
        <v>5.9</v>
      </c>
      <c r="K39" s="82">
        <v>32.1</v>
      </c>
      <c r="L39" s="82">
        <v>26</v>
      </c>
      <c r="M39" s="82">
        <v>30.2</v>
      </c>
      <c r="N39" s="82">
        <v>43.8</v>
      </c>
      <c r="O39" s="44">
        <f t="shared" si="3"/>
        <v>6.1549893842887453</v>
      </c>
      <c r="P39">
        <f t="shared" si="2"/>
        <v>27.6</v>
      </c>
      <c r="Q39" s="111">
        <v>0.29099999999999998</v>
      </c>
      <c r="R39">
        <v>0.38300000000000001</v>
      </c>
      <c r="S39" s="65">
        <v>14</v>
      </c>
      <c r="T39">
        <v>9</v>
      </c>
      <c r="V39" t="s">
        <v>32</v>
      </c>
    </row>
    <row r="40" spans="1:22" x14ac:dyDescent="0.2">
      <c r="A40" s="2" t="s">
        <v>94</v>
      </c>
      <c r="B40" t="s">
        <v>33</v>
      </c>
      <c r="C40" t="s">
        <v>28</v>
      </c>
      <c r="D40" s="65" t="str">
        <f t="shared" si="0"/>
        <v>004_V_a</v>
      </c>
      <c r="E40">
        <v>24</v>
      </c>
      <c r="F40" t="s">
        <v>49</v>
      </c>
      <c r="G40" t="s">
        <v>97</v>
      </c>
      <c r="I40">
        <v>4.8836976148767004</v>
      </c>
      <c r="J40" s="82">
        <v>17.3</v>
      </c>
      <c r="K40" s="43">
        <v>3.3</v>
      </c>
      <c r="L40" s="82">
        <v>25.9</v>
      </c>
      <c r="M40" s="82">
        <v>17.899999999999999</v>
      </c>
      <c r="N40" s="82">
        <v>15.8</v>
      </c>
      <c r="O40" s="44">
        <f t="shared" si="3"/>
        <v>5.4774327122153199</v>
      </c>
      <c r="P40">
        <f t="shared" si="2"/>
        <v>16.04</v>
      </c>
      <c r="Q40" s="111">
        <v>0.18099999999999999</v>
      </c>
      <c r="R40">
        <v>0.23899999999999999</v>
      </c>
      <c r="S40" s="65">
        <v>7</v>
      </c>
      <c r="T40" s="43">
        <v>21</v>
      </c>
      <c r="U40" t="s">
        <v>51</v>
      </c>
      <c r="V40" t="s">
        <v>32</v>
      </c>
    </row>
    <row r="41" spans="1:22" x14ac:dyDescent="0.2">
      <c r="A41" s="2" t="s">
        <v>94</v>
      </c>
      <c r="B41" t="s">
        <v>33</v>
      </c>
      <c r="C41" t="s">
        <v>38</v>
      </c>
      <c r="D41" s="65" t="str">
        <f t="shared" si="0"/>
        <v>004_V_b</v>
      </c>
      <c r="E41">
        <v>51</v>
      </c>
      <c r="F41" t="s">
        <v>70</v>
      </c>
      <c r="G41" t="s">
        <v>98</v>
      </c>
      <c r="I41">
        <v>2.57587133425457</v>
      </c>
      <c r="J41" s="82">
        <v>5.7</v>
      </c>
      <c r="K41" s="82">
        <v>9.3000000000000007</v>
      </c>
      <c r="L41" s="82">
        <v>48.1</v>
      </c>
      <c r="M41" s="82">
        <v>46</v>
      </c>
      <c r="N41" s="82">
        <v>47.2</v>
      </c>
      <c r="O41" s="44">
        <f t="shared" si="3"/>
        <v>19.222578673999394</v>
      </c>
      <c r="P41">
        <f t="shared" si="2"/>
        <v>31.26</v>
      </c>
      <c r="Q41" s="111">
        <v>0.28399999999999997</v>
      </c>
      <c r="R41">
        <v>0.42599999999999999</v>
      </c>
      <c r="S41" s="65">
        <v>12</v>
      </c>
      <c r="T41" s="43">
        <v>18</v>
      </c>
      <c r="U41" t="s">
        <v>54</v>
      </c>
      <c r="V41" t="s">
        <v>32</v>
      </c>
    </row>
    <row r="42" spans="1:22" s="19" customFormat="1" x14ac:dyDescent="0.2">
      <c r="A42" s="17" t="s">
        <v>94</v>
      </c>
      <c r="B42" s="18" t="s">
        <v>36</v>
      </c>
      <c r="C42" s="18" t="s">
        <v>38</v>
      </c>
      <c r="D42" s="66" t="str">
        <f t="shared" si="0"/>
        <v>004_O_b</v>
      </c>
      <c r="E42" s="19">
        <v>58</v>
      </c>
      <c r="F42" s="19" t="s">
        <v>34</v>
      </c>
      <c r="G42" s="19" t="s">
        <v>99</v>
      </c>
      <c r="I42">
        <v>3.8275418371141701</v>
      </c>
      <c r="J42" s="83">
        <v>31.4</v>
      </c>
      <c r="K42" s="82">
        <v>33.9</v>
      </c>
      <c r="L42" s="82">
        <v>41.9</v>
      </c>
      <c r="M42" s="82">
        <v>42</v>
      </c>
      <c r="N42" s="82">
        <v>48</v>
      </c>
      <c r="O42" s="54">
        <f t="shared" si="3"/>
        <v>0.80089365504915833</v>
      </c>
      <c r="P42">
        <f t="shared" si="2"/>
        <v>39.44</v>
      </c>
      <c r="Q42" s="112">
        <v>0.26600000000000001</v>
      </c>
      <c r="R42" s="19">
        <v>0.45</v>
      </c>
      <c r="S42" s="66">
        <v>14</v>
      </c>
      <c r="T42" s="19">
        <v>17</v>
      </c>
      <c r="U42" t="s">
        <v>31</v>
      </c>
      <c r="V42" t="s">
        <v>32</v>
      </c>
    </row>
    <row r="43" spans="1:22" x14ac:dyDescent="0.2">
      <c r="A43" s="5" t="s">
        <v>94</v>
      </c>
      <c r="B43" s="6" t="s">
        <v>27</v>
      </c>
      <c r="C43" s="6" t="s">
        <v>38</v>
      </c>
      <c r="D43" s="65" t="str">
        <f t="shared" si="0"/>
        <v>004_S_b</v>
      </c>
      <c r="E43">
        <v>66</v>
      </c>
      <c r="F43" t="s">
        <v>63</v>
      </c>
      <c r="G43" t="s">
        <v>100</v>
      </c>
      <c r="I43">
        <v>3.9134646127016399</v>
      </c>
      <c r="J43" s="82">
        <v>48.1</v>
      </c>
      <c r="K43" s="82">
        <v>46.5</v>
      </c>
      <c r="L43" t="s">
        <v>57</v>
      </c>
      <c r="M43" s="82">
        <v>55.2</v>
      </c>
      <c r="N43" s="82">
        <v>49.5</v>
      </c>
      <c r="O43" s="44">
        <f t="shared" si="3"/>
        <v>0.42943925233644881</v>
      </c>
      <c r="P43">
        <f t="shared" si="2"/>
        <v>49.825000000000003</v>
      </c>
      <c r="Q43" s="111">
        <v>0.17100000000000001</v>
      </c>
      <c r="R43">
        <v>0.46200000000000002</v>
      </c>
      <c r="S43" s="65">
        <v>11</v>
      </c>
      <c r="T43">
        <v>14</v>
      </c>
      <c r="U43" t="s">
        <v>31</v>
      </c>
      <c r="V43" t="s">
        <v>32</v>
      </c>
    </row>
    <row r="44" spans="1:22" x14ac:dyDescent="0.2">
      <c r="A44" s="5" t="s">
        <v>94</v>
      </c>
      <c r="B44" s="6" t="s">
        <v>33</v>
      </c>
      <c r="C44" s="6" t="s">
        <v>45</v>
      </c>
      <c r="D44" s="65" t="str">
        <f t="shared" si="0"/>
        <v>004_V_c</v>
      </c>
      <c r="E44">
        <v>87</v>
      </c>
      <c r="F44" t="s">
        <v>49</v>
      </c>
      <c r="G44" t="s">
        <v>101</v>
      </c>
      <c r="I44">
        <v>1.8202939196769099</v>
      </c>
      <c r="J44" s="82">
        <v>31.4</v>
      </c>
      <c r="K44" s="82">
        <v>1</v>
      </c>
      <c r="L44" s="82">
        <v>3.6</v>
      </c>
      <c r="M44" s="82">
        <v>20.9</v>
      </c>
      <c r="N44" s="82">
        <v>27.3</v>
      </c>
      <c r="O44" s="44">
        <f t="shared" si="3"/>
        <v>14.700117164616289</v>
      </c>
      <c r="P44">
        <f t="shared" si="2"/>
        <v>16.84</v>
      </c>
      <c r="Q44" s="111">
        <v>0.17899999999999999</v>
      </c>
      <c r="R44">
        <v>0.38300000000000001</v>
      </c>
      <c r="S44" s="65">
        <v>10</v>
      </c>
      <c r="T44">
        <v>75</v>
      </c>
      <c r="U44" t="s">
        <v>72</v>
      </c>
      <c r="V44" t="s">
        <v>32</v>
      </c>
    </row>
    <row r="45" spans="1:22" x14ac:dyDescent="0.2">
      <c r="A45" s="5" t="s">
        <v>94</v>
      </c>
      <c r="B45" s="6" t="s">
        <v>27</v>
      </c>
      <c r="C45" s="6" t="s">
        <v>45</v>
      </c>
      <c r="D45" s="65" t="str">
        <f t="shared" si="0"/>
        <v>004_S_c</v>
      </c>
      <c r="E45">
        <v>88</v>
      </c>
      <c r="F45" t="s">
        <v>70</v>
      </c>
      <c r="G45" t="s">
        <v>102</v>
      </c>
      <c r="I45">
        <v>6.9264548975664404</v>
      </c>
      <c r="J45" s="82">
        <v>40.5</v>
      </c>
      <c r="L45" s="82">
        <v>27.5</v>
      </c>
      <c r="M45" s="82">
        <v>37.200000000000003</v>
      </c>
      <c r="N45" s="82">
        <v>35.1</v>
      </c>
      <c r="O45" s="44">
        <f t="shared" si="3"/>
        <v>1.3021863117870678</v>
      </c>
      <c r="P45">
        <f t="shared" si="2"/>
        <v>35.075000000000003</v>
      </c>
      <c r="Q45" s="111">
        <v>0.57599999999999996</v>
      </c>
      <c r="R45">
        <v>0.65200000000000002</v>
      </c>
      <c r="S45" s="65">
        <v>23</v>
      </c>
      <c r="T45">
        <v>7</v>
      </c>
      <c r="U45" t="s">
        <v>72</v>
      </c>
      <c r="V45" t="s">
        <v>32</v>
      </c>
    </row>
    <row r="46" spans="1:22" x14ac:dyDescent="0.2">
      <c r="A46" s="5" t="s">
        <v>94</v>
      </c>
      <c r="B46" s="6" t="s">
        <v>36</v>
      </c>
      <c r="C46" s="6" t="s">
        <v>45</v>
      </c>
      <c r="D46" s="65" t="str">
        <f t="shared" si="0"/>
        <v>004_O_c</v>
      </c>
      <c r="E46">
        <v>91</v>
      </c>
      <c r="F46" t="s">
        <v>39</v>
      </c>
      <c r="G46" t="s">
        <v>103</v>
      </c>
      <c r="I46">
        <v>4.35826150004028</v>
      </c>
      <c r="J46" s="82">
        <v>49</v>
      </c>
      <c r="K46" s="82">
        <v>4.4000000000000004</v>
      </c>
      <c r="L46" s="82">
        <v>39.9</v>
      </c>
      <c r="M46">
        <v>46.6</v>
      </c>
      <c r="N46" s="82">
        <v>42</v>
      </c>
      <c r="O46" s="44">
        <f t="shared" si="3"/>
        <v>12.303335715987608</v>
      </c>
      <c r="P46">
        <f t="shared" si="2"/>
        <v>36.380000000000003</v>
      </c>
      <c r="Q46" s="111">
        <v>0.38600000000000001</v>
      </c>
      <c r="R46">
        <v>0.45900000000000002</v>
      </c>
      <c r="S46" s="65">
        <v>8</v>
      </c>
      <c r="T46">
        <v>13</v>
      </c>
      <c r="U46" t="s">
        <v>47</v>
      </c>
      <c r="V46" t="s">
        <v>32</v>
      </c>
    </row>
    <row r="47" spans="1:22" x14ac:dyDescent="0.2">
      <c r="A47" s="5" t="s">
        <v>94</v>
      </c>
      <c r="B47" s="6" t="s">
        <v>27</v>
      </c>
      <c r="C47" s="6" t="s">
        <v>52</v>
      </c>
      <c r="D47" s="65" t="str">
        <f t="shared" si="0"/>
        <v>004_S_d</v>
      </c>
      <c r="E47">
        <v>113</v>
      </c>
      <c r="F47" t="s">
        <v>43</v>
      </c>
      <c r="G47" t="s">
        <v>104</v>
      </c>
      <c r="I47">
        <v>0.29251497709385599</v>
      </c>
      <c r="J47" s="82">
        <v>19.3</v>
      </c>
      <c r="K47" s="82">
        <v>20.399999999999999</v>
      </c>
      <c r="L47" s="82">
        <v>22.9</v>
      </c>
      <c r="M47">
        <v>14.1</v>
      </c>
      <c r="N47" s="82">
        <v>10.4</v>
      </c>
      <c r="O47" s="44">
        <f t="shared" si="3"/>
        <v>0.71529769665362553</v>
      </c>
      <c r="P47">
        <f t="shared" si="2"/>
        <v>17.420000000000002</v>
      </c>
      <c r="Q47" s="111">
        <v>0.06</v>
      </c>
      <c r="R47">
        <v>0.11700000000000001</v>
      </c>
      <c r="S47" s="65">
        <v>4</v>
      </c>
      <c r="T47">
        <v>18</v>
      </c>
      <c r="U47" t="s">
        <v>54</v>
      </c>
      <c r="V47" t="s">
        <v>32</v>
      </c>
    </row>
    <row r="48" spans="1:22" ht="16" x14ac:dyDescent="0.2">
      <c r="A48" s="5" t="s">
        <v>94</v>
      </c>
      <c r="B48" s="6" t="s">
        <v>33</v>
      </c>
      <c r="C48" s="6" t="s">
        <v>52</v>
      </c>
      <c r="D48" s="65" t="str">
        <f t="shared" si="0"/>
        <v>004_V_d</v>
      </c>
      <c r="E48">
        <v>126</v>
      </c>
      <c r="F48" t="s">
        <v>49</v>
      </c>
      <c r="G48" t="s">
        <v>105</v>
      </c>
      <c r="I48">
        <v>1.71517845802108</v>
      </c>
      <c r="J48" s="82">
        <v>12</v>
      </c>
      <c r="K48" s="82">
        <v>5.5</v>
      </c>
      <c r="L48" s="84">
        <v>24.4</v>
      </c>
      <c r="M48">
        <v>18.2</v>
      </c>
      <c r="N48" s="82">
        <v>32.9</v>
      </c>
      <c r="O48" s="44">
        <f t="shared" si="3"/>
        <v>4.3892956184137573</v>
      </c>
      <c r="P48">
        <f t="shared" si="2"/>
        <v>18.600000000000001</v>
      </c>
      <c r="Q48" s="111">
        <v>9.0999999999999998E-2</v>
      </c>
      <c r="R48">
        <v>0.222</v>
      </c>
      <c r="S48" s="65">
        <v>10</v>
      </c>
      <c r="T48">
        <v>9</v>
      </c>
      <c r="U48" t="s">
        <v>51</v>
      </c>
      <c r="V48" t="s">
        <v>32</v>
      </c>
    </row>
    <row r="49" spans="1:23" ht="16" x14ac:dyDescent="0.2">
      <c r="A49" s="5" t="s">
        <v>94</v>
      </c>
      <c r="B49" s="6" t="s">
        <v>36</v>
      </c>
      <c r="C49" s="6" t="s">
        <v>52</v>
      </c>
      <c r="D49" s="65" t="str">
        <f t="shared" si="0"/>
        <v>004_O_d</v>
      </c>
      <c r="E49">
        <v>128</v>
      </c>
      <c r="F49" t="s">
        <v>49</v>
      </c>
      <c r="G49" t="s">
        <v>106</v>
      </c>
      <c r="I49">
        <v>3.9399173942594201</v>
      </c>
      <c r="J49" s="82">
        <v>35.5</v>
      </c>
      <c r="K49" s="82">
        <v>51.2</v>
      </c>
      <c r="L49" s="84">
        <v>51.2</v>
      </c>
      <c r="M49">
        <v>48</v>
      </c>
      <c r="N49" s="82">
        <v>52.3</v>
      </c>
      <c r="O49" s="44">
        <f t="shared" si="3"/>
        <v>1.2008427469965914</v>
      </c>
      <c r="P49">
        <f t="shared" si="2"/>
        <v>47.64</v>
      </c>
      <c r="Q49" s="111">
        <v>0.40400000000000003</v>
      </c>
      <c r="R49">
        <v>0.46700000000000003</v>
      </c>
      <c r="S49" s="65">
        <v>17</v>
      </c>
      <c r="T49">
        <v>10</v>
      </c>
      <c r="U49" t="s">
        <v>54</v>
      </c>
      <c r="V49" t="s">
        <v>32</v>
      </c>
    </row>
    <row r="50" spans="1:23" ht="16" x14ac:dyDescent="0.2">
      <c r="A50" s="5" t="s">
        <v>107</v>
      </c>
      <c r="B50" s="6" t="s">
        <v>27</v>
      </c>
      <c r="C50" s="6" t="s">
        <v>28</v>
      </c>
      <c r="D50" s="65" t="str">
        <f t="shared" si="0"/>
        <v>005_S_a</v>
      </c>
      <c r="E50">
        <v>8</v>
      </c>
      <c r="F50" t="s">
        <v>49</v>
      </c>
      <c r="G50" t="s">
        <v>108</v>
      </c>
      <c r="I50">
        <v>4.8198419478855197</v>
      </c>
      <c r="J50" s="84">
        <v>28.2</v>
      </c>
      <c r="K50" s="82">
        <v>31.8</v>
      </c>
      <c r="L50" s="82">
        <v>26.6</v>
      </c>
      <c r="M50" s="82">
        <v>13.7</v>
      </c>
      <c r="N50" s="82">
        <v>26.1</v>
      </c>
      <c r="O50" s="44">
        <f t="shared" si="3"/>
        <v>2.4819873712196738</v>
      </c>
      <c r="P50">
        <f t="shared" si="2"/>
        <v>25.28</v>
      </c>
      <c r="Q50" s="111">
        <v>0.26700000000000002</v>
      </c>
      <c r="R50">
        <v>0.60299999999999998</v>
      </c>
      <c r="S50" s="65">
        <v>17</v>
      </c>
      <c r="T50">
        <v>21</v>
      </c>
      <c r="U50" t="s">
        <v>31</v>
      </c>
      <c r="V50" t="s">
        <v>32</v>
      </c>
    </row>
    <row r="51" spans="1:23" ht="16" x14ac:dyDescent="0.2">
      <c r="A51" s="5" t="s">
        <v>107</v>
      </c>
      <c r="B51" s="6" t="s">
        <v>36</v>
      </c>
      <c r="C51" s="6" t="s">
        <v>28</v>
      </c>
      <c r="D51" s="65" t="str">
        <f t="shared" si="0"/>
        <v>005_O_a</v>
      </c>
      <c r="E51">
        <v>14</v>
      </c>
      <c r="F51" t="s">
        <v>82</v>
      </c>
      <c r="G51" t="s">
        <v>109</v>
      </c>
      <c r="I51">
        <v>2.8424363315860299</v>
      </c>
      <c r="J51" s="84">
        <v>3.5</v>
      </c>
      <c r="K51" s="82">
        <v>34.6</v>
      </c>
      <c r="L51" s="82">
        <v>35.4</v>
      </c>
      <c r="M51" s="82">
        <v>19.8</v>
      </c>
      <c r="N51" s="82">
        <v>36.200000000000003</v>
      </c>
      <c r="O51" s="44">
        <f t="shared" si="3"/>
        <v>9.6947123972847429</v>
      </c>
      <c r="P51">
        <f t="shared" si="2"/>
        <v>25.9</v>
      </c>
      <c r="Q51" s="111">
        <v>0.13400000000000001</v>
      </c>
      <c r="R51">
        <v>0.218</v>
      </c>
      <c r="S51" s="65">
        <v>9</v>
      </c>
      <c r="T51">
        <v>8</v>
      </c>
      <c r="U51" t="s">
        <v>72</v>
      </c>
      <c r="V51" t="s">
        <v>32</v>
      </c>
    </row>
    <row r="52" spans="1:23" s="19" customFormat="1" ht="16" x14ac:dyDescent="0.2">
      <c r="A52" s="42" t="s">
        <v>107</v>
      </c>
      <c r="B52" s="19" t="s">
        <v>33</v>
      </c>
      <c r="C52" s="19" t="s">
        <v>28</v>
      </c>
      <c r="D52" s="66" t="str">
        <f t="shared" si="0"/>
        <v>005_V_a</v>
      </c>
      <c r="E52" s="19">
        <v>17</v>
      </c>
      <c r="F52" s="19" t="s">
        <v>41</v>
      </c>
      <c r="G52" s="19" t="s">
        <v>110</v>
      </c>
      <c r="I52">
        <v>1.1352910946332899</v>
      </c>
      <c r="J52" s="85">
        <v>9.1</v>
      </c>
      <c r="K52" s="97">
        <v>3.5</v>
      </c>
      <c r="L52" s="82">
        <v>19.600000000000001</v>
      </c>
      <c r="M52" s="82">
        <v>24.1</v>
      </c>
      <c r="N52" s="82">
        <v>29.5</v>
      </c>
      <c r="O52" s="54">
        <f t="shared" si="3"/>
        <v>6.3376554174067508</v>
      </c>
      <c r="P52">
        <f t="shared" si="2"/>
        <v>17.160000000000004</v>
      </c>
      <c r="Q52" s="111">
        <v>0.113</v>
      </c>
      <c r="R52">
        <v>0.154</v>
      </c>
      <c r="S52" s="66">
        <v>11</v>
      </c>
      <c r="T52" s="19">
        <v>43</v>
      </c>
      <c r="U52" s="50" t="s">
        <v>31</v>
      </c>
      <c r="V52" t="s">
        <v>32</v>
      </c>
    </row>
    <row r="53" spans="1:23" x14ac:dyDescent="0.2">
      <c r="A53" s="5" t="s">
        <v>107</v>
      </c>
      <c r="B53" s="6" t="s">
        <v>36</v>
      </c>
      <c r="C53" s="6" t="s">
        <v>38</v>
      </c>
      <c r="D53" s="65" t="str">
        <f t="shared" si="0"/>
        <v>005_O_b</v>
      </c>
      <c r="E53">
        <v>44</v>
      </c>
      <c r="F53" t="s">
        <v>70</v>
      </c>
      <c r="G53" t="s">
        <v>111</v>
      </c>
      <c r="H53" t="s">
        <v>56</v>
      </c>
      <c r="I53">
        <v>0</v>
      </c>
      <c r="J53" s="82">
        <v>1</v>
      </c>
      <c r="K53" s="82">
        <v>1</v>
      </c>
      <c r="L53" s="82">
        <v>1</v>
      </c>
      <c r="M53" s="82">
        <v>0.9</v>
      </c>
      <c r="N53" s="82">
        <v>0.9</v>
      </c>
      <c r="O53" s="44">
        <f t="shared" si="3"/>
        <v>2.5641025641025632E-3</v>
      </c>
      <c r="P53">
        <f t="shared" si="2"/>
        <v>0.96</v>
      </c>
      <c r="Q53" s="111" t="s">
        <v>57</v>
      </c>
      <c r="R53" t="s">
        <v>57</v>
      </c>
      <c r="S53" s="65" t="s">
        <v>57</v>
      </c>
      <c r="T53" t="s">
        <v>57</v>
      </c>
      <c r="U53" t="s">
        <v>57</v>
      </c>
      <c r="V53" t="s">
        <v>32</v>
      </c>
      <c r="W53" t="s">
        <v>67</v>
      </c>
    </row>
    <row r="54" spans="1:23" x14ac:dyDescent="0.2">
      <c r="A54" s="2" t="s">
        <v>107</v>
      </c>
      <c r="B54" t="s">
        <v>33</v>
      </c>
      <c r="C54" t="s">
        <v>38</v>
      </c>
      <c r="D54" s="65" t="str">
        <f t="shared" si="0"/>
        <v>005_V_b</v>
      </c>
      <c r="E54">
        <v>71</v>
      </c>
      <c r="F54" t="s">
        <v>34</v>
      </c>
      <c r="G54" t="s">
        <v>112</v>
      </c>
      <c r="I54">
        <v>3.3764459473099802</v>
      </c>
      <c r="J54" s="82">
        <v>8.6999999999999993</v>
      </c>
      <c r="K54" s="82">
        <v>21.9</v>
      </c>
      <c r="L54" s="82">
        <v>30.5</v>
      </c>
      <c r="M54" s="82">
        <v>36.299999999999997</v>
      </c>
      <c r="N54" s="82">
        <v>4.7</v>
      </c>
      <c r="O54" s="44">
        <f t="shared" si="3"/>
        <v>5.9075975359342943</v>
      </c>
      <c r="P54">
        <f t="shared" si="2"/>
        <v>20.419999999999998</v>
      </c>
      <c r="Q54" s="111">
        <v>0.217</v>
      </c>
      <c r="R54">
        <v>0.376</v>
      </c>
      <c r="S54" s="65">
        <v>7</v>
      </c>
      <c r="T54">
        <v>45</v>
      </c>
      <c r="U54" t="s">
        <v>31</v>
      </c>
      <c r="V54" t="s">
        <v>32</v>
      </c>
    </row>
    <row r="55" spans="1:23" x14ac:dyDescent="0.2">
      <c r="A55" s="5" t="s">
        <v>107</v>
      </c>
      <c r="B55" s="6" t="s">
        <v>27</v>
      </c>
      <c r="C55" s="6" t="s">
        <v>38</v>
      </c>
      <c r="D55" s="65" t="str">
        <f t="shared" si="0"/>
        <v>005_S_b</v>
      </c>
      <c r="E55">
        <v>71</v>
      </c>
      <c r="F55" t="s">
        <v>49</v>
      </c>
      <c r="G55" t="s">
        <v>113</v>
      </c>
      <c r="I55">
        <v>4.3126173412738504</v>
      </c>
      <c r="J55" s="82">
        <v>59.5</v>
      </c>
      <c r="K55" s="82">
        <v>65.3</v>
      </c>
      <c r="L55" s="82">
        <v>56.1</v>
      </c>
      <c r="M55" s="82">
        <v>6</v>
      </c>
      <c r="N55" s="82">
        <v>54.5</v>
      </c>
      <c r="O55" s="44">
        <f t="shared" si="3"/>
        <v>16.08451935081148</v>
      </c>
      <c r="P55">
        <f t="shared" si="2"/>
        <v>48.28</v>
      </c>
      <c r="Q55" s="111">
        <v>0.58099999999999996</v>
      </c>
      <c r="R55">
        <v>0.65900000000000003</v>
      </c>
      <c r="S55" s="65">
        <v>19</v>
      </c>
      <c r="T55">
        <v>22</v>
      </c>
      <c r="U55" t="s">
        <v>31</v>
      </c>
      <c r="V55" t="s">
        <v>32</v>
      </c>
    </row>
    <row r="56" spans="1:23" x14ac:dyDescent="0.2">
      <c r="A56" s="5" t="s">
        <v>107</v>
      </c>
      <c r="B56" s="6" t="s">
        <v>27</v>
      </c>
      <c r="C56" s="6" t="s">
        <v>45</v>
      </c>
      <c r="D56" s="65" t="str">
        <f t="shared" si="0"/>
        <v>005_S_c</v>
      </c>
      <c r="E56">
        <v>73</v>
      </c>
      <c r="F56" t="s">
        <v>39</v>
      </c>
      <c r="G56" t="s">
        <v>114</v>
      </c>
      <c r="I56">
        <v>4.2604356701723596</v>
      </c>
      <c r="J56" s="82">
        <v>7.8</v>
      </c>
      <c r="K56" s="82" t="s">
        <v>57</v>
      </c>
      <c r="L56" s="82">
        <v>33</v>
      </c>
      <c r="M56" s="82">
        <v>38.200000000000003</v>
      </c>
      <c r="N56" s="82">
        <v>42</v>
      </c>
      <c r="O56" s="44">
        <f t="shared" si="3"/>
        <v>10.039493670886072</v>
      </c>
      <c r="P56">
        <f t="shared" si="2"/>
        <v>30.25</v>
      </c>
      <c r="Q56" s="111">
        <v>0.28499999999999998</v>
      </c>
      <c r="R56">
        <v>0.51300000000000001</v>
      </c>
      <c r="S56" s="65">
        <v>27</v>
      </c>
      <c r="T56">
        <v>61</v>
      </c>
      <c r="U56" t="s">
        <v>51</v>
      </c>
      <c r="V56" t="s">
        <v>32</v>
      </c>
    </row>
    <row r="57" spans="1:23" x14ac:dyDescent="0.2">
      <c r="A57" s="5" t="s">
        <v>107</v>
      </c>
      <c r="B57" s="6" t="s">
        <v>36</v>
      </c>
      <c r="C57" s="6" t="s">
        <v>45</v>
      </c>
      <c r="D57" s="65" t="str">
        <f t="shared" si="0"/>
        <v>005_O_c</v>
      </c>
      <c r="E57">
        <v>91</v>
      </c>
      <c r="F57" t="s">
        <v>82</v>
      </c>
      <c r="G57" t="s">
        <v>115</v>
      </c>
      <c r="I57">
        <v>2.7615644888423398</v>
      </c>
      <c r="J57" s="82">
        <v>23.7</v>
      </c>
      <c r="K57" s="82">
        <v>12.8</v>
      </c>
      <c r="L57" s="82">
        <v>27.6</v>
      </c>
      <c r="M57">
        <v>11.3</v>
      </c>
      <c r="N57" s="82">
        <v>30.6</v>
      </c>
      <c r="O57" s="44">
        <f t="shared" si="3"/>
        <v>3.4251105216622513</v>
      </c>
      <c r="P57">
        <f t="shared" si="2"/>
        <v>21.2</v>
      </c>
      <c r="Q57" s="111">
        <v>0.192</v>
      </c>
      <c r="R57">
        <v>0.307</v>
      </c>
      <c r="S57" s="65">
        <v>7</v>
      </c>
      <c r="T57">
        <v>20</v>
      </c>
      <c r="U57" t="s">
        <v>47</v>
      </c>
      <c r="V57" t="s">
        <v>32</v>
      </c>
    </row>
    <row r="58" spans="1:23" x14ac:dyDescent="0.2">
      <c r="A58" s="5" t="s">
        <v>107</v>
      </c>
      <c r="B58" s="6" t="s">
        <v>33</v>
      </c>
      <c r="C58" s="6" t="s">
        <v>45</v>
      </c>
      <c r="D58" s="65" t="str">
        <f t="shared" si="0"/>
        <v>005_V_c</v>
      </c>
      <c r="E58">
        <v>96</v>
      </c>
      <c r="F58" t="s">
        <v>39</v>
      </c>
      <c r="G58" t="s">
        <v>116</v>
      </c>
      <c r="I58">
        <v>4.4005704548821996</v>
      </c>
      <c r="J58" s="82">
        <v>22.1</v>
      </c>
      <c r="K58" s="82">
        <v>9.6</v>
      </c>
      <c r="L58" s="82">
        <v>31.4</v>
      </c>
      <c r="M58">
        <v>11.4</v>
      </c>
      <c r="N58" s="82">
        <v>36.200000000000003</v>
      </c>
      <c r="O58" s="44">
        <f t="shared" si="3"/>
        <v>5.5289038031319917</v>
      </c>
      <c r="P58">
        <f t="shared" si="2"/>
        <v>22.14</v>
      </c>
      <c r="Q58" s="111">
        <v>0.159</v>
      </c>
      <c r="R58">
        <v>0.40400000000000003</v>
      </c>
      <c r="S58" s="65">
        <v>8</v>
      </c>
      <c r="T58">
        <v>28</v>
      </c>
      <c r="U58" t="s">
        <v>47</v>
      </c>
      <c r="V58" t="s">
        <v>32</v>
      </c>
    </row>
    <row r="59" spans="1:23" x14ac:dyDescent="0.2">
      <c r="A59" s="5" t="s">
        <v>107</v>
      </c>
      <c r="B59" s="6" t="s">
        <v>36</v>
      </c>
      <c r="C59" s="6" t="s">
        <v>52</v>
      </c>
      <c r="D59" s="65" t="str">
        <f t="shared" si="0"/>
        <v>005_O_d</v>
      </c>
      <c r="E59">
        <v>111</v>
      </c>
      <c r="F59" t="s">
        <v>49</v>
      </c>
      <c r="G59" t="s">
        <v>117</v>
      </c>
      <c r="I59">
        <v>4.0558349254871997</v>
      </c>
      <c r="J59" s="82">
        <v>36.1</v>
      </c>
      <c r="K59" s="82">
        <v>42.8</v>
      </c>
      <c r="L59" s="82">
        <v>50.6</v>
      </c>
      <c r="M59">
        <v>37.700000000000003</v>
      </c>
      <c r="N59" s="82">
        <v>38.299999999999997</v>
      </c>
      <c r="O59" s="44">
        <f t="shared" si="3"/>
        <v>1.0186602870813453</v>
      </c>
      <c r="P59">
        <f t="shared" si="2"/>
        <v>41.1</v>
      </c>
      <c r="Q59" s="111">
        <v>0.36799999999999999</v>
      </c>
      <c r="R59">
        <v>0.48899999999999999</v>
      </c>
      <c r="S59" s="65">
        <v>11</v>
      </c>
      <c r="T59">
        <v>15</v>
      </c>
      <c r="U59" t="s">
        <v>54</v>
      </c>
      <c r="V59" t="s">
        <v>32</v>
      </c>
    </row>
    <row r="60" spans="1:23" x14ac:dyDescent="0.2">
      <c r="A60" s="5" t="s">
        <v>107</v>
      </c>
      <c r="B60" s="6" t="s">
        <v>33</v>
      </c>
      <c r="C60" s="6" t="s">
        <v>52</v>
      </c>
      <c r="D60" s="65" t="str">
        <f t="shared" si="0"/>
        <v>005_V_d</v>
      </c>
      <c r="E60">
        <v>116</v>
      </c>
      <c r="F60" t="s">
        <v>68</v>
      </c>
      <c r="G60" t="s">
        <v>118</v>
      </c>
      <c r="I60">
        <v>3.8147260774287801</v>
      </c>
      <c r="J60" s="82">
        <v>22.9</v>
      </c>
      <c r="K60" s="82">
        <v>20.5</v>
      </c>
      <c r="L60" s="82">
        <v>44.2</v>
      </c>
      <c r="M60">
        <v>36.700000000000003</v>
      </c>
      <c r="N60" s="82">
        <v>44.7</v>
      </c>
      <c r="O60" s="44">
        <f t="shared" si="3"/>
        <v>4.103700724054713</v>
      </c>
      <c r="P60">
        <f t="shared" si="2"/>
        <v>33.799999999999997</v>
      </c>
      <c r="Q60" s="111">
        <v>0.20200000000000001</v>
      </c>
      <c r="R60">
        <v>0.47599999999999998</v>
      </c>
      <c r="S60" s="65">
        <v>28</v>
      </c>
      <c r="T60">
        <v>40</v>
      </c>
      <c r="U60" t="s">
        <v>54</v>
      </c>
      <c r="V60" t="s">
        <v>32</v>
      </c>
    </row>
    <row r="61" spans="1:23" ht="16" x14ac:dyDescent="0.2">
      <c r="A61" s="5" t="s">
        <v>107</v>
      </c>
      <c r="B61" s="6" t="s">
        <v>27</v>
      </c>
      <c r="C61" s="6" t="s">
        <v>52</v>
      </c>
      <c r="D61" s="65" t="str">
        <f t="shared" si="0"/>
        <v>005_S_d</v>
      </c>
      <c r="E61">
        <v>122</v>
      </c>
      <c r="F61" t="s">
        <v>41</v>
      </c>
      <c r="G61" t="s">
        <v>119</v>
      </c>
      <c r="H61" t="s">
        <v>56</v>
      </c>
      <c r="I61">
        <v>0</v>
      </c>
      <c r="J61" s="82">
        <v>1.1000000000000001</v>
      </c>
      <c r="K61" s="82">
        <v>1</v>
      </c>
      <c r="L61" s="84">
        <v>1</v>
      </c>
      <c r="M61">
        <v>1</v>
      </c>
      <c r="N61" s="82">
        <v>0.9</v>
      </c>
      <c r="O61" s="44">
        <f t="shared" si="3"/>
        <v>2.4390243902439068E-3</v>
      </c>
      <c r="P61">
        <f t="shared" si="2"/>
        <v>1</v>
      </c>
      <c r="Q61" s="111" t="s">
        <v>57</v>
      </c>
      <c r="R61" t="s">
        <v>57</v>
      </c>
      <c r="S61" s="65" t="s">
        <v>57</v>
      </c>
      <c r="T61" t="s">
        <v>57</v>
      </c>
      <c r="V61" t="s">
        <v>32</v>
      </c>
      <c r="W61" t="s">
        <v>67</v>
      </c>
    </row>
    <row r="62" spans="1:23" s="19" customFormat="1" ht="16" x14ac:dyDescent="0.2">
      <c r="A62" s="17" t="s">
        <v>120</v>
      </c>
      <c r="B62" s="18" t="s">
        <v>27</v>
      </c>
      <c r="C62" s="18" t="s">
        <v>28</v>
      </c>
      <c r="D62" s="66" t="str">
        <f t="shared" si="0"/>
        <v>006_S_a</v>
      </c>
      <c r="E62" s="19">
        <v>18</v>
      </c>
      <c r="F62" s="19" t="s">
        <v>68</v>
      </c>
      <c r="G62" s="19" t="s">
        <v>121</v>
      </c>
      <c r="I62">
        <v>1.3520394484871701</v>
      </c>
      <c r="J62" s="85">
        <v>5.5</v>
      </c>
      <c r="K62" s="82">
        <v>11</v>
      </c>
      <c r="L62" s="82">
        <v>37.1</v>
      </c>
      <c r="M62" s="82">
        <v>29.6</v>
      </c>
      <c r="N62" s="82">
        <v>39</v>
      </c>
      <c r="O62" s="54">
        <f t="shared" si="3"/>
        <v>10.789423076923075</v>
      </c>
      <c r="P62">
        <f t="shared" si="2"/>
        <v>24.44</v>
      </c>
      <c r="Q62" s="112">
        <v>0.104</v>
      </c>
      <c r="R62" s="19">
        <v>0.19400000000000001</v>
      </c>
      <c r="S62" s="66">
        <v>16</v>
      </c>
      <c r="T62" s="19">
        <v>8</v>
      </c>
      <c r="U62" t="s">
        <v>31</v>
      </c>
      <c r="V62" t="s">
        <v>32</v>
      </c>
    </row>
    <row r="63" spans="1:23" ht="16" x14ac:dyDescent="0.2">
      <c r="A63" s="2" t="s">
        <v>120</v>
      </c>
      <c r="B63" t="s">
        <v>33</v>
      </c>
      <c r="C63" t="s">
        <v>28</v>
      </c>
      <c r="D63" s="65" t="str">
        <f t="shared" si="0"/>
        <v>006_V_a</v>
      </c>
      <c r="E63">
        <v>20</v>
      </c>
      <c r="F63" t="s">
        <v>34</v>
      </c>
      <c r="G63" t="s">
        <v>122</v>
      </c>
      <c r="I63">
        <v>1.94328571807171</v>
      </c>
      <c r="J63" s="84">
        <v>14.1</v>
      </c>
      <c r="K63" s="82">
        <v>28.3</v>
      </c>
      <c r="L63" s="82">
        <v>33.1</v>
      </c>
      <c r="M63" s="82">
        <v>32.200000000000003</v>
      </c>
      <c r="N63" s="82">
        <v>18.100000000000001</v>
      </c>
      <c r="O63" s="44">
        <f t="shared" si="3"/>
        <v>2.8762302692664847</v>
      </c>
      <c r="P63">
        <f t="shared" si="2"/>
        <v>25.160000000000004</v>
      </c>
      <c r="Q63" s="111">
        <v>0.18</v>
      </c>
      <c r="R63">
        <v>0.34399999999999997</v>
      </c>
      <c r="S63" s="65">
        <v>15</v>
      </c>
      <c r="T63">
        <v>13</v>
      </c>
      <c r="V63" t="s">
        <v>32</v>
      </c>
    </row>
    <row r="64" spans="1:23" x14ac:dyDescent="0.2">
      <c r="A64" s="5" t="s">
        <v>120</v>
      </c>
      <c r="B64" s="6" t="s">
        <v>36</v>
      </c>
      <c r="C64" s="6" t="s">
        <v>28</v>
      </c>
      <c r="D64" s="65" t="str">
        <f t="shared" si="0"/>
        <v>006_O_a</v>
      </c>
      <c r="E64">
        <v>23</v>
      </c>
      <c r="F64" t="s">
        <v>34</v>
      </c>
      <c r="G64" t="s">
        <v>123</v>
      </c>
      <c r="I64">
        <v>1.2008396865170301</v>
      </c>
      <c r="J64" s="82">
        <v>2.2999999999999998</v>
      </c>
      <c r="K64" s="82">
        <v>33.299999999999997</v>
      </c>
      <c r="L64" s="82">
        <v>7.8</v>
      </c>
      <c r="M64" s="81">
        <v>1.8</v>
      </c>
      <c r="N64" s="82">
        <v>40.1</v>
      </c>
      <c r="O64" s="44">
        <f t="shared" si="3"/>
        <v>19.690265486725668</v>
      </c>
      <c r="P64">
        <f t="shared" si="2"/>
        <v>17.059999999999995</v>
      </c>
      <c r="Q64" s="111">
        <v>2.8000000000000001E-2</v>
      </c>
      <c r="R64">
        <v>4.8000000000000001E-2</v>
      </c>
      <c r="S64" s="65">
        <v>46</v>
      </c>
      <c r="T64">
        <v>104</v>
      </c>
      <c r="U64" t="s">
        <v>31</v>
      </c>
      <c r="V64" t="s">
        <v>32</v>
      </c>
    </row>
    <row r="65" spans="1:23" x14ac:dyDescent="0.2">
      <c r="A65" s="2" t="s">
        <v>120</v>
      </c>
      <c r="B65" t="s">
        <v>33</v>
      </c>
      <c r="C65" t="s">
        <v>38</v>
      </c>
      <c r="D65" s="65" t="str">
        <f t="shared" si="0"/>
        <v>006_V_b</v>
      </c>
      <c r="E65">
        <v>51</v>
      </c>
      <c r="F65" t="s">
        <v>63</v>
      </c>
      <c r="G65" t="s">
        <v>124</v>
      </c>
      <c r="I65">
        <v>0.33998157531091699</v>
      </c>
      <c r="J65" s="82">
        <v>1.8</v>
      </c>
      <c r="K65" s="82">
        <v>3.4</v>
      </c>
      <c r="L65" s="82">
        <v>23.1</v>
      </c>
      <c r="M65" s="82">
        <v>13.7</v>
      </c>
      <c r="N65" s="82">
        <v>21.2</v>
      </c>
      <c r="O65" s="44">
        <f t="shared" si="3"/>
        <v>9.3682539682539652</v>
      </c>
      <c r="P65">
        <f t="shared" si="2"/>
        <v>12.64</v>
      </c>
      <c r="Q65" s="111">
        <v>8.2000000000000003E-2</v>
      </c>
      <c r="R65">
        <v>0.17499999999999999</v>
      </c>
      <c r="S65" s="65">
        <v>7</v>
      </c>
      <c r="T65" s="43">
        <v>19</v>
      </c>
      <c r="U65" t="s">
        <v>54</v>
      </c>
      <c r="V65" t="s">
        <v>32</v>
      </c>
    </row>
    <row r="66" spans="1:23" x14ac:dyDescent="0.2">
      <c r="A66" s="5" t="s">
        <v>120</v>
      </c>
      <c r="B66" s="6" t="s">
        <v>36</v>
      </c>
      <c r="C66" s="6" t="s">
        <v>38</v>
      </c>
      <c r="D66" s="65" t="str">
        <f t="shared" ref="D66:D129" si="4">A66&amp;"_"&amp;B66&amp;"_"&amp;C66</f>
        <v>006_O_b</v>
      </c>
      <c r="E66">
        <v>57</v>
      </c>
      <c r="F66" t="s">
        <v>63</v>
      </c>
      <c r="G66" t="s">
        <v>125</v>
      </c>
      <c r="I66">
        <v>5.6158773871416097</v>
      </c>
      <c r="J66" s="82">
        <v>26.1</v>
      </c>
      <c r="K66" s="82">
        <v>35.4</v>
      </c>
      <c r="L66" s="82">
        <v>14.4</v>
      </c>
      <c r="M66" s="82">
        <v>29.1</v>
      </c>
      <c r="N66" s="82">
        <v>27.8</v>
      </c>
      <c r="O66" s="44">
        <f t="shared" ref="O66:O97" si="5">VAR(J66:M66)/AVERAGE(J66:M66)</f>
        <v>2.9497142857142853</v>
      </c>
      <c r="P66">
        <f t="shared" ref="P66:P129" si="6">AVERAGE(J66:N66)</f>
        <v>26.560000000000002</v>
      </c>
      <c r="Q66" s="111">
        <v>0.33500000000000002</v>
      </c>
      <c r="R66">
        <v>0.45100000000000001</v>
      </c>
      <c r="S66" s="65">
        <v>28</v>
      </c>
      <c r="T66">
        <v>14</v>
      </c>
      <c r="U66" t="s">
        <v>31</v>
      </c>
      <c r="V66" t="s">
        <v>32</v>
      </c>
    </row>
    <row r="67" spans="1:23" x14ac:dyDescent="0.2">
      <c r="A67" s="5" t="s">
        <v>120</v>
      </c>
      <c r="B67" s="6" t="s">
        <v>27</v>
      </c>
      <c r="C67" s="6" t="s">
        <v>38</v>
      </c>
      <c r="D67" s="65" t="str">
        <f t="shared" si="4"/>
        <v>006_S_b</v>
      </c>
      <c r="E67">
        <v>70</v>
      </c>
      <c r="F67" t="s">
        <v>82</v>
      </c>
      <c r="G67" t="s">
        <v>126</v>
      </c>
      <c r="I67">
        <v>4.1689175867507897</v>
      </c>
      <c r="J67" s="82">
        <v>39.1</v>
      </c>
      <c r="K67" s="82">
        <v>47.2</v>
      </c>
      <c r="L67" s="82">
        <v>39.4</v>
      </c>
      <c r="M67" s="82">
        <v>42.6</v>
      </c>
      <c r="N67" s="82">
        <v>46.6</v>
      </c>
      <c r="O67" s="44">
        <f t="shared" si="5"/>
        <v>0.33707664884135491</v>
      </c>
      <c r="P67">
        <f t="shared" si="6"/>
        <v>42.980000000000004</v>
      </c>
      <c r="Q67" s="111">
        <v>0.503</v>
      </c>
      <c r="R67">
        <v>0.56999999999999995</v>
      </c>
      <c r="S67" s="65">
        <v>11</v>
      </c>
      <c r="T67">
        <v>19</v>
      </c>
      <c r="U67" t="s">
        <v>31</v>
      </c>
      <c r="V67" t="s">
        <v>32</v>
      </c>
    </row>
    <row r="68" spans="1:23" x14ac:dyDescent="0.2">
      <c r="A68" s="5" t="s">
        <v>120</v>
      </c>
      <c r="B68" s="6" t="s">
        <v>36</v>
      </c>
      <c r="C68" s="6" t="s">
        <v>45</v>
      </c>
      <c r="D68" s="65" t="str">
        <f t="shared" si="4"/>
        <v>006_O_c</v>
      </c>
      <c r="E68">
        <v>75</v>
      </c>
      <c r="F68" t="s">
        <v>29</v>
      </c>
      <c r="G68" t="s">
        <v>127</v>
      </c>
      <c r="I68">
        <v>4.9810975609756101</v>
      </c>
      <c r="J68" s="82">
        <v>27.4</v>
      </c>
      <c r="K68" s="82">
        <v>8.1999999999999993</v>
      </c>
      <c r="L68" s="82">
        <v>34.1</v>
      </c>
      <c r="M68" s="82">
        <v>31.6</v>
      </c>
      <c r="N68" s="82">
        <v>26.2</v>
      </c>
      <c r="O68" s="44">
        <f t="shared" si="5"/>
        <v>5.4484698914116576</v>
      </c>
      <c r="P68">
        <f t="shared" si="6"/>
        <v>25.499999999999996</v>
      </c>
      <c r="Q68" s="111">
        <v>0.29399999999999998</v>
      </c>
      <c r="R68">
        <v>0.70799999999999996</v>
      </c>
      <c r="S68" s="65">
        <v>14</v>
      </c>
      <c r="T68">
        <v>8</v>
      </c>
      <c r="U68" t="s">
        <v>128</v>
      </c>
      <c r="V68" t="s">
        <v>32</v>
      </c>
    </row>
    <row r="69" spans="1:23" x14ac:dyDescent="0.2">
      <c r="A69" s="5" t="s">
        <v>120</v>
      </c>
      <c r="B69" s="6" t="s">
        <v>33</v>
      </c>
      <c r="C69" s="6" t="s">
        <v>45</v>
      </c>
      <c r="D69" s="65" t="str">
        <f t="shared" si="4"/>
        <v>006_V_c</v>
      </c>
      <c r="E69">
        <v>80</v>
      </c>
      <c r="F69" t="s">
        <v>39</v>
      </c>
      <c r="G69" t="s">
        <v>129</v>
      </c>
      <c r="I69">
        <v>4.4299783294860298</v>
      </c>
      <c r="J69" s="82">
        <v>29.1</v>
      </c>
      <c r="K69" s="82">
        <v>29.4</v>
      </c>
      <c r="L69" s="82">
        <v>20.9</v>
      </c>
      <c r="M69" s="82">
        <v>37.200000000000003</v>
      </c>
      <c r="N69" s="82">
        <v>16.7</v>
      </c>
      <c r="O69" s="44">
        <f t="shared" si="5"/>
        <v>1.5200686106346464</v>
      </c>
      <c r="P69">
        <f t="shared" si="6"/>
        <v>26.660000000000004</v>
      </c>
      <c r="Q69" s="111">
        <v>0.27800000000000002</v>
      </c>
      <c r="R69">
        <v>0.436</v>
      </c>
      <c r="S69" s="65">
        <v>4</v>
      </c>
      <c r="T69">
        <v>12</v>
      </c>
      <c r="U69" t="s">
        <v>31</v>
      </c>
      <c r="V69" t="s">
        <v>32</v>
      </c>
    </row>
    <row r="70" spans="1:23" x14ac:dyDescent="0.2">
      <c r="A70" s="5" t="s">
        <v>120</v>
      </c>
      <c r="B70" s="6" t="s">
        <v>27</v>
      </c>
      <c r="C70" s="6" t="s">
        <v>45</v>
      </c>
      <c r="D70" s="65" t="str">
        <f t="shared" si="4"/>
        <v>006_S_c</v>
      </c>
      <c r="E70">
        <v>101</v>
      </c>
      <c r="F70" t="s">
        <v>63</v>
      </c>
      <c r="G70" t="s">
        <v>130</v>
      </c>
      <c r="I70">
        <v>4.1296553808947998</v>
      </c>
      <c r="J70" s="82">
        <v>34.9</v>
      </c>
      <c r="K70" t="s">
        <v>57</v>
      </c>
      <c r="L70" s="82">
        <v>30.4</v>
      </c>
      <c r="M70">
        <v>33.6</v>
      </c>
      <c r="N70" s="82">
        <v>38.4</v>
      </c>
      <c r="O70" s="44">
        <f t="shared" si="5"/>
        <v>0.16268958543983827</v>
      </c>
      <c r="P70">
        <f t="shared" si="6"/>
        <v>34.325000000000003</v>
      </c>
      <c r="Q70" s="111">
        <v>0.312</v>
      </c>
      <c r="R70">
        <v>0.53800000000000003</v>
      </c>
      <c r="S70" s="65">
        <v>21</v>
      </c>
      <c r="T70">
        <v>63</v>
      </c>
      <c r="U70" t="s">
        <v>72</v>
      </c>
      <c r="V70" t="s">
        <v>32</v>
      </c>
    </row>
    <row r="71" spans="1:23" ht="16" x14ac:dyDescent="0.2">
      <c r="A71" s="5" t="s">
        <v>120</v>
      </c>
      <c r="B71" s="6" t="s">
        <v>27</v>
      </c>
      <c r="C71" s="6" t="s">
        <v>52</v>
      </c>
      <c r="D71" s="65" t="str">
        <f t="shared" si="4"/>
        <v>006_S_d</v>
      </c>
      <c r="E71">
        <v>128</v>
      </c>
      <c r="F71" t="s">
        <v>39</v>
      </c>
      <c r="G71" t="s">
        <v>131</v>
      </c>
      <c r="I71">
        <v>2.0705442568097401</v>
      </c>
      <c r="J71" s="82">
        <v>3.1</v>
      </c>
      <c r="K71" s="82">
        <v>26.3</v>
      </c>
      <c r="L71" s="84">
        <v>8.3000000000000007</v>
      </c>
      <c r="M71">
        <v>23.8</v>
      </c>
      <c r="N71" s="82">
        <v>25.6</v>
      </c>
      <c r="O71" s="44">
        <f t="shared" si="5"/>
        <v>8.4784281842818459</v>
      </c>
      <c r="P71">
        <f t="shared" si="6"/>
        <v>17.419999999999998</v>
      </c>
      <c r="Q71" s="111">
        <v>0.184</v>
      </c>
      <c r="R71">
        <v>0.37</v>
      </c>
      <c r="S71" s="65">
        <v>14</v>
      </c>
      <c r="T71">
        <v>16</v>
      </c>
      <c r="U71" t="s">
        <v>54</v>
      </c>
      <c r="V71" t="s">
        <v>32</v>
      </c>
    </row>
    <row r="72" spans="1:23" s="19" customFormat="1" ht="16" x14ac:dyDescent="0.2">
      <c r="A72" s="17" t="s">
        <v>120</v>
      </c>
      <c r="B72" s="18" t="s">
        <v>33</v>
      </c>
      <c r="C72" s="18" t="s">
        <v>52</v>
      </c>
      <c r="D72" s="66" t="str">
        <f t="shared" si="4"/>
        <v>006_V_d</v>
      </c>
      <c r="E72" s="19">
        <v>129</v>
      </c>
      <c r="F72" s="19" t="s">
        <v>63</v>
      </c>
      <c r="G72" s="19" t="s">
        <v>132</v>
      </c>
      <c r="I72">
        <v>3.12416944938699</v>
      </c>
      <c r="J72" s="83">
        <v>6.3</v>
      </c>
      <c r="K72" s="83">
        <v>33.6</v>
      </c>
      <c r="L72" s="85">
        <v>22.2</v>
      </c>
      <c r="M72" s="19">
        <v>35.9</v>
      </c>
      <c r="N72" s="83">
        <v>19</v>
      </c>
      <c r="O72" s="54">
        <f t="shared" si="5"/>
        <v>7.4734693877551042</v>
      </c>
      <c r="P72">
        <f t="shared" si="6"/>
        <v>23.4</v>
      </c>
      <c r="Q72" s="112">
        <v>0.30499999999999999</v>
      </c>
      <c r="R72" s="19">
        <v>0.40300000000000002</v>
      </c>
      <c r="S72" s="66">
        <v>2</v>
      </c>
      <c r="T72" s="19">
        <v>39</v>
      </c>
      <c r="U72" t="s">
        <v>47</v>
      </c>
      <c r="V72" t="s">
        <v>32</v>
      </c>
    </row>
    <row r="73" spans="1:23" ht="16" x14ac:dyDescent="0.2">
      <c r="A73" s="5" t="s">
        <v>120</v>
      </c>
      <c r="B73" s="6" t="s">
        <v>36</v>
      </c>
      <c r="C73" s="6" t="s">
        <v>52</v>
      </c>
      <c r="D73" s="65" t="str">
        <f t="shared" si="4"/>
        <v>006_O_d</v>
      </c>
      <c r="E73">
        <v>131</v>
      </c>
      <c r="F73" t="s">
        <v>68</v>
      </c>
      <c r="G73" t="s">
        <v>133</v>
      </c>
      <c r="I73">
        <v>2.03727729328569</v>
      </c>
      <c r="J73" s="82">
        <v>32</v>
      </c>
      <c r="K73" s="82">
        <v>35.5</v>
      </c>
      <c r="L73" s="84">
        <v>30.5</v>
      </c>
      <c r="M73">
        <v>31.2</v>
      </c>
      <c r="N73" s="82">
        <v>39.1</v>
      </c>
      <c r="O73" s="44">
        <f t="shared" si="5"/>
        <v>0.15252837977296183</v>
      </c>
      <c r="P73">
        <f t="shared" si="6"/>
        <v>33.659999999999997</v>
      </c>
      <c r="Q73" s="111">
        <v>0.127</v>
      </c>
      <c r="R73">
        <v>0.21099999999999999</v>
      </c>
      <c r="S73" s="65">
        <v>10</v>
      </c>
      <c r="T73">
        <v>21</v>
      </c>
      <c r="U73" t="s">
        <v>54</v>
      </c>
      <c r="V73" t="s">
        <v>32</v>
      </c>
    </row>
    <row r="74" spans="1:23" ht="16" x14ac:dyDescent="0.2">
      <c r="A74" s="4" t="s">
        <v>134</v>
      </c>
      <c r="B74" s="6" t="s">
        <v>27</v>
      </c>
      <c r="C74" s="6" t="s">
        <v>28</v>
      </c>
      <c r="D74" s="65" t="str">
        <f t="shared" si="4"/>
        <v>007_S_a</v>
      </c>
      <c r="E74">
        <v>11</v>
      </c>
      <c r="F74" t="s">
        <v>29</v>
      </c>
      <c r="G74" t="s">
        <v>135</v>
      </c>
      <c r="I74">
        <v>2.23925311203319</v>
      </c>
      <c r="J74" s="84">
        <v>29.3</v>
      </c>
      <c r="K74" s="82">
        <v>11.3</v>
      </c>
      <c r="L74" s="82">
        <v>26.9</v>
      </c>
      <c r="M74" s="82">
        <v>26.3</v>
      </c>
      <c r="N74" s="82">
        <v>31.8</v>
      </c>
      <c r="O74" s="44">
        <f t="shared" si="5"/>
        <v>2.8695095948827345</v>
      </c>
      <c r="P74">
        <f t="shared" si="6"/>
        <v>25.119999999999997</v>
      </c>
      <c r="Q74" s="111">
        <v>0.113</v>
      </c>
      <c r="R74">
        <v>0.214</v>
      </c>
      <c r="S74" s="65">
        <v>10</v>
      </c>
      <c r="T74">
        <v>61</v>
      </c>
      <c r="U74" s="47" t="s">
        <v>54</v>
      </c>
      <c r="V74" t="s">
        <v>32</v>
      </c>
    </row>
    <row r="75" spans="1:23" x14ac:dyDescent="0.2">
      <c r="A75" s="5" t="s">
        <v>134</v>
      </c>
      <c r="B75" s="6" t="s">
        <v>36</v>
      </c>
      <c r="C75" s="6" t="s">
        <v>28</v>
      </c>
      <c r="D75" s="65" t="str">
        <f t="shared" si="4"/>
        <v>007_O_a</v>
      </c>
      <c r="E75">
        <v>19</v>
      </c>
      <c r="F75" t="s">
        <v>39</v>
      </c>
      <c r="G75" t="s">
        <v>136</v>
      </c>
      <c r="I75">
        <v>1.2738055699235</v>
      </c>
      <c r="J75" s="82">
        <v>17</v>
      </c>
      <c r="K75" s="82">
        <v>17.2</v>
      </c>
      <c r="L75" s="82">
        <v>23.3</v>
      </c>
      <c r="M75" s="82">
        <v>30.9</v>
      </c>
      <c r="N75" s="82">
        <v>33.5</v>
      </c>
      <c r="O75" s="44">
        <f t="shared" si="5"/>
        <v>1.9441930618401151</v>
      </c>
      <c r="P75">
        <f t="shared" si="6"/>
        <v>24.380000000000003</v>
      </c>
      <c r="Q75" s="111">
        <v>0.31</v>
      </c>
      <c r="R75">
        <v>0.15</v>
      </c>
      <c r="S75" s="65">
        <v>6</v>
      </c>
      <c r="T75">
        <v>12</v>
      </c>
      <c r="U75" t="s">
        <v>31</v>
      </c>
      <c r="V75" t="s">
        <v>32</v>
      </c>
    </row>
    <row r="76" spans="1:23" ht="16" x14ac:dyDescent="0.2">
      <c r="A76" s="2" t="s">
        <v>134</v>
      </c>
      <c r="B76" t="s">
        <v>33</v>
      </c>
      <c r="C76" t="s">
        <v>28</v>
      </c>
      <c r="D76" s="65" t="str">
        <f t="shared" si="4"/>
        <v>007_V_a</v>
      </c>
      <c r="E76">
        <v>20</v>
      </c>
      <c r="F76" t="s">
        <v>29</v>
      </c>
      <c r="G76" t="s">
        <v>137</v>
      </c>
      <c r="I76">
        <v>1.34779370842499</v>
      </c>
      <c r="J76" s="84">
        <v>18.100000000000001</v>
      </c>
      <c r="K76" s="82">
        <v>35.799999999999997</v>
      </c>
      <c r="L76" s="82">
        <v>30</v>
      </c>
      <c r="M76" s="82">
        <v>35.4</v>
      </c>
      <c r="N76" s="82">
        <v>37.5</v>
      </c>
      <c r="O76" s="44">
        <f t="shared" si="5"/>
        <v>2.2831796591226485</v>
      </c>
      <c r="P76">
        <f t="shared" si="6"/>
        <v>31.360000000000003</v>
      </c>
      <c r="Q76" s="111">
        <v>0.108</v>
      </c>
      <c r="R76">
        <v>0.23799999999999999</v>
      </c>
      <c r="S76" s="65">
        <v>12</v>
      </c>
      <c r="T76">
        <v>23</v>
      </c>
      <c r="V76" t="s">
        <v>32</v>
      </c>
    </row>
    <row r="77" spans="1:23" x14ac:dyDescent="0.2">
      <c r="A77" s="2" t="s">
        <v>134</v>
      </c>
      <c r="B77" t="s">
        <v>33</v>
      </c>
      <c r="C77" t="s">
        <v>38</v>
      </c>
      <c r="D77" s="65" t="str">
        <f t="shared" si="4"/>
        <v>007_V_b</v>
      </c>
      <c r="E77">
        <v>37</v>
      </c>
      <c r="F77" t="s">
        <v>34</v>
      </c>
      <c r="G77" t="s">
        <v>138</v>
      </c>
      <c r="I77">
        <v>4.2864731768650497</v>
      </c>
      <c r="J77" s="82">
        <v>7.7</v>
      </c>
      <c r="K77" s="82">
        <v>20.100000000000001</v>
      </c>
      <c r="L77" s="82">
        <v>5.7</v>
      </c>
      <c r="M77" s="82">
        <v>9.1999999999999993</v>
      </c>
      <c r="N77" s="82">
        <v>39.799999999999997</v>
      </c>
      <c r="O77" s="44">
        <f t="shared" si="5"/>
        <v>3.8909445745511317</v>
      </c>
      <c r="P77">
        <f t="shared" si="6"/>
        <v>16.5</v>
      </c>
      <c r="Q77" s="111">
        <v>0.33700000000000002</v>
      </c>
      <c r="R77">
        <v>0.624</v>
      </c>
      <c r="S77" s="65">
        <v>26</v>
      </c>
      <c r="T77">
        <v>23</v>
      </c>
      <c r="U77" t="s">
        <v>31</v>
      </c>
      <c r="V77" t="s">
        <v>32</v>
      </c>
    </row>
    <row r="78" spans="1:23" x14ac:dyDescent="0.2">
      <c r="A78" s="5" t="s">
        <v>134</v>
      </c>
      <c r="B78" s="6" t="s">
        <v>36</v>
      </c>
      <c r="C78" s="6" t="s">
        <v>38</v>
      </c>
      <c r="D78" s="65" t="str">
        <f t="shared" si="4"/>
        <v>007_O_b</v>
      </c>
      <c r="E78">
        <v>57</v>
      </c>
      <c r="F78" t="s">
        <v>82</v>
      </c>
      <c r="G78" t="s">
        <v>139</v>
      </c>
      <c r="I78">
        <v>6.3305914448962799</v>
      </c>
      <c r="J78" s="82">
        <v>38.299999999999997</v>
      </c>
      <c r="K78" s="82">
        <v>34.5</v>
      </c>
      <c r="L78" s="82">
        <v>51.2</v>
      </c>
      <c r="M78" s="82">
        <v>40.9</v>
      </c>
      <c r="N78" s="82">
        <v>44.6</v>
      </c>
      <c r="O78" s="44">
        <f t="shared" si="5"/>
        <v>1.2402466141095525</v>
      </c>
      <c r="P78">
        <f t="shared" si="6"/>
        <v>41.9</v>
      </c>
      <c r="Q78" s="111">
        <v>0.254</v>
      </c>
      <c r="R78">
        <v>0.42699999999999999</v>
      </c>
      <c r="S78" s="65">
        <v>18</v>
      </c>
      <c r="T78">
        <v>22</v>
      </c>
      <c r="U78" t="s">
        <v>31</v>
      </c>
      <c r="V78" t="s">
        <v>32</v>
      </c>
      <c r="W78" t="s">
        <v>140</v>
      </c>
    </row>
    <row r="79" spans="1:23" x14ac:dyDescent="0.2">
      <c r="A79" s="5" t="s">
        <v>134</v>
      </c>
      <c r="B79" s="6" t="s">
        <v>27</v>
      </c>
      <c r="C79" s="6" t="s">
        <v>38</v>
      </c>
      <c r="D79" s="65" t="str">
        <f t="shared" si="4"/>
        <v>007_S_b</v>
      </c>
      <c r="E79">
        <v>61</v>
      </c>
      <c r="F79" t="s">
        <v>49</v>
      </c>
      <c r="G79" t="s">
        <v>141</v>
      </c>
      <c r="I79">
        <v>6.5272530797492996</v>
      </c>
      <c r="J79" s="82">
        <v>4.5999999999999996</v>
      </c>
      <c r="K79" s="82">
        <v>26</v>
      </c>
      <c r="L79" s="81">
        <v>1</v>
      </c>
      <c r="M79" s="82">
        <v>29.2</v>
      </c>
      <c r="N79" s="82">
        <v>41.2</v>
      </c>
      <c r="O79" s="44">
        <f t="shared" si="5"/>
        <v>13.742105263157896</v>
      </c>
      <c r="P79">
        <f t="shared" si="6"/>
        <v>20.399999999999999</v>
      </c>
      <c r="Q79" s="111">
        <v>0.247</v>
      </c>
      <c r="R79">
        <v>0.57199999999999995</v>
      </c>
      <c r="S79" s="65">
        <v>17</v>
      </c>
      <c r="T79">
        <v>39</v>
      </c>
      <c r="U79" t="s">
        <v>31</v>
      </c>
      <c r="V79" t="s">
        <v>32</v>
      </c>
    </row>
    <row r="80" spans="1:23" x14ac:dyDescent="0.2">
      <c r="A80" s="5" t="s">
        <v>134</v>
      </c>
      <c r="B80" s="6" t="s">
        <v>33</v>
      </c>
      <c r="C80" s="6" t="s">
        <v>45</v>
      </c>
      <c r="D80" s="65" t="str">
        <f t="shared" si="4"/>
        <v>007_V_c</v>
      </c>
      <c r="E80">
        <v>83</v>
      </c>
      <c r="F80" t="s">
        <v>29</v>
      </c>
      <c r="G80" t="s">
        <v>142</v>
      </c>
      <c r="I80">
        <v>3.06099712761592</v>
      </c>
      <c r="J80" s="82">
        <v>5.6</v>
      </c>
      <c r="K80" s="82">
        <v>40.5</v>
      </c>
      <c r="L80" s="82">
        <v>1.8</v>
      </c>
      <c r="M80" s="82">
        <v>30.5</v>
      </c>
      <c r="N80" s="82">
        <v>27</v>
      </c>
      <c r="O80" s="44">
        <f t="shared" si="5"/>
        <v>18.171088435374141</v>
      </c>
      <c r="P80">
        <f t="shared" si="6"/>
        <v>21.080000000000002</v>
      </c>
      <c r="Q80" s="111">
        <v>0.221</v>
      </c>
      <c r="R80">
        <v>0.48599999999999999</v>
      </c>
      <c r="S80" s="65">
        <v>17</v>
      </c>
      <c r="T80">
        <v>16</v>
      </c>
      <c r="U80" t="s">
        <v>72</v>
      </c>
      <c r="V80" t="s">
        <v>32</v>
      </c>
    </row>
    <row r="81" spans="1:23" s="47" customFormat="1" x14ac:dyDescent="0.2">
      <c r="A81" s="5" t="s">
        <v>134</v>
      </c>
      <c r="B81" s="6" t="s">
        <v>36</v>
      </c>
      <c r="C81" s="6" t="s">
        <v>45</v>
      </c>
      <c r="D81" s="65" t="str">
        <f t="shared" si="4"/>
        <v>007_O_c</v>
      </c>
      <c r="E81">
        <v>87</v>
      </c>
      <c r="F81" t="s">
        <v>43</v>
      </c>
      <c r="G81" t="s">
        <v>143</v>
      </c>
      <c r="H81"/>
      <c r="I81">
        <v>3.1299282028270099</v>
      </c>
      <c r="J81" s="82">
        <v>47.3</v>
      </c>
      <c r="K81" s="82">
        <v>40</v>
      </c>
      <c r="L81" s="82">
        <v>41.7</v>
      </c>
      <c r="M81" s="82">
        <v>39.9</v>
      </c>
      <c r="N81" s="82">
        <v>43.2</v>
      </c>
      <c r="O81" s="44">
        <f t="shared" si="5"/>
        <v>0.28725083876060764</v>
      </c>
      <c r="P81" s="76">
        <f t="shared" si="6"/>
        <v>42.42</v>
      </c>
      <c r="Q81" s="115">
        <v>0.36499999999999999</v>
      </c>
      <c r="R81" s="76">
        <v>0.57999999999999996</v>
      </c>
      <c r="S81" s="78">
        <v>25</v>
      </c>
      <c r="T81" s="76">
        <v>52</v>
      </c>
      <c r="U81" s="76" t="s">
        <v>72</v>
      </c>
      <c r="V81" t="s">
        <v>32</v>
      </c>
      <c r="W81"/>
    </row>
    <row r="82" spans="1:23" s="19" customFormat="1" x14ac:dyDescent="0.2">
      <c r="A82" s="17" t="s">
        <v>134</v>
      </c>
      <c r="B82" s="18" t="s">
        <v>27</v>
      </c>
      <c r="C82" s="18" t="s">
        <v>45</v>
      </c>
      <c r="D82" s="66" t="str">
        <f t="shared" si="4"/>
        <v>007_S_c</v>
      </c>
      <c r="E82" s="19">
        <v>108</v>
      </c>
      <c r="F82" s="19" t="s">
        <v>49</v>
      </c>
      <c r="G82" s="19" t="s">
        <v>144</v>
      </c>
      <c r="I82">
        <v>3.26943757957013</v>
      </c>
      <c r="J82" s="83">
        <v>5.3</v>
      </c>
      <c r="K82" s="82">
        <v>34.5</v>
      </c>
      <c r="L82" s="82">
        <v>47.1</v>
      </c>
      <c r="M82">
        <v>33.299999999999997</v>
      </c>
      <c r="N82" s="82">
        <v>27.8</v>
      </c>
      <c r="O82" s="54">
        <f t="shared" si="5"/>
        <v>10.356405990016631</v>
      </c>
      <c r="P82">
        <f t="shared" si="6"/>
        <v>29.6</v>
      </c>
      <c r="Q82" s="111">
        <v>0.19800000000000001</v>
      </c>
      <c r="R82">
        <v>0.47799999999999998</v>
      </c>
      <c r="S82" s="65">
        <v>12</v>
      </c>
      <c r="T82">
        <v>28</v>
      </c>
      <c r="U82" t="s">
        <v>47</v>
      </c>
      <c r="V82" t="s">
        <v>32</v>
      </c>
    </row>
    <row r="83" spans="1:23" s="47" customFormat="1" ht="16" x14ac:dyDescent="0.2">
      <c r="A83" s="5" t="s">
        <v>134</v>
      </c>
      <c r="B83" s="6" t="s">
        <v>33</v>
      </c>
      <c r="C83" s="6" t="s">
        <v>52</v>
      </c>
      <c r="D83" s="65" t="str">
        <f t="shared" si="4"/>
        <v>007_V_d</v>
      </c>
      <c r="E83">
        <v>125</v>
      </c>
      <c r="F83" t="s">
        <v>43</v>
      </c>
      <c r="G83" t="s">
        <v>145</v>
      </c>
      <c r="H83"/>
      <c r="I83">
        <v>4.4820136432541702</v>
      </c>
      <c r="J83" s="82">
        <v>42.8</v>
      </c>
      <c r="K83" s="82">
        <v>43.3</v>
      </c>
      <c r="L83" s="84">
        <v>35.700000000000003</v>
      </c>
      <c r="M83">
        <v>35.700000000000003</v>
      </c>
      <c r="N83" s="82">
        <v>43.2</v>
      </c>
      <c r="O83" s="44">
        <f t="shared" si="5"/>
        <v>0.45839153439153368</v>
      </c>
      <c r="P83">
        <f t="shared" si="6"/>
        <v>40.14</v>
      </c>
      <c r="Q83" s="111">
        <v>0.41899999999999998</v>
      </c>
      <c r="R83">
        <v>0.58699999999999997</v>
      </c>
      <c r="S83" s="65">
        <v>23</v>
      </c>
      <c r="T83">
        <v>32</v>
      </c>
      <c r="U83" t="s">
        <v>31</v>
      </c>
      <c r="V83" t="s">
        <v>32</v>
      </c>
      <c r="W83"/>
    </row>
    <row r="84" spans="1:23" ht="16" x14ac:dyDescent="0.2">
      <c r="A84" s="5" t="s">
        <v>134</v>
      </c>
      <c r="B84" s="6" t="s">
        <v>27</v>
      </c>
      <c r="C84" s="6" t="s">
        <v>52</v>
      </c>
      <c r="D84" s="65" t="str">
        <f t="shared" si="4"/>
        <v>007_S_d</v>
      </c>
      <c r="E84">
        <v>132</v>
      </c>
      <c r="F84" t="s">
        <v>63</v>
      </c>
      <c r="G84" t="s">
        <v>146</v>
      </c>
      <c r="H84" t="s">
        <v>147</v>
      </c>
      <c r="I84">
        <v>1.2023449522460199</v>
      </c>
      <c r="J84" s="82">
        <v>1.8</v>
      </c>
      <c r="K84" s="82">
        <v>18.3</v>
      </c>
      <c r="L84" s="84">
        <v>30.8</v>
      </c>
      <c r="M84">
        <v>20.6</v>
      </c>
      <c r="N84" s="82">
        <v>29.2</v>
      </c>
      <c r="O84" s="44">
        <f t="shared" si="5"/>
        <v>8.0758508158508224</v>
      </c>
      <c r="P84">
        <f t="shared" si="6"/>
        <v>20.14</v>
      </c>
      <c r="Q84" s="111" t="s">
        <v>57</v>
      </c>
      <c r="R84">
        <v>0.16</v>
      </c>
      <c r="S84" s="65" t="s">
        <v>57</v>
      </c>
      <c r="T84" t="s">
        <v>57</v>
      </c>
      <c r="V84" t="s">
        <v>32</v>
      </c>
      <c r="W84" t="s">
        <v>148</v>
      </c>
    </row>
    <row r="85" spans="1:23" ht="16" x14ac:dyDescent="0.2">
      <c r="A85" s="5" t="s">
        <v>134</v>
      </c>
      <c r="B85" s="6" t="s">
        <v>36</v>
      </c>
      <c r="C85" s="6" t="s">
        <v>52</v>
      </c>
      <c r="D85" s="65" t="str">
        <f t="shared" si="4"/>
        <v>007_O_d</v>
      </c>
      <c r="E85">
        <v>141</v>
      </c>
      <c r="F85" t="s">
        <v>82</v>
      </c>
      <c r="G85" t="s">
        <v>149</v>
      </c>
      <c r="I85">
        <v>4.2958860759493698</v>
      </c>
      <c r="J85" s="82">
        <v>26.7</v>
      </c>
      <c r="K85" s="82">
        <v>26.9</v>
      </c>
      <c r="L85" s="84">
        <v>33.1</v>
      </c>
      <c r="M85" s="82">
        <v>25.7</v>
      </c>
      <c r="N85" s="82">
        <v>21.1</v>
      </c>
      <c r="O85" s="44">
        <f t="shared" si="5"/>
        <v>0.40521945432978368</v>
      </c>
      <c r="P85">
        <f t="shared" si="6"/>
        <v>26.7</v>
      </c>
      <c r="Q85" s="111">
        <v>0.253</v>
      </c>
      <c r="R85">
        <v>0.498</v>
      </c>
      <c r="S85" s="65">
        <v>7</v>
      </c>
      <c r="T85">
        <v>31</v>
      </c>
      <c r="U85" t="s">
        <v>54</v>
      </c>
      <c r="V85" t="s">
        <v>32</v>
      </c>
    </row>
    <row r="86" spans="1:23" ht="16" x14ac:dyDescent="0.2">
      <c r="A86" s="5" t="s">
        <v>150</v>
      </c>
      <c r="B86" s="6" t="s">
        <v>27</v>
      </c>
      <c r="C86" s="6" t="s">
        <v>28</v>
      </c>
      <c r="D86" s="65" t="str">
        <f t="shared" si="4"/>
        <v>008_S_a</v>
      </c>
      <c r="E86">
        <v>1</v>
      </c>
      <c r="F86" t="s">
        <v>63</v>
      </c>
      <c r="G86" t="s">
        <v>151</v>
      </c>
      <c r="I86">
        <v>5.1898413431916204</v>
      </c>
      <c r="J86" s="84">
        <v>28.9</v>
      </c>
      <c r="K86" s="82">
        <v>36.9</v>
      </c>
      <c r="L86" s="82">
        <v>11.9</v>
      </c>
      <c r="M86" s="82">
        <v>53.3</v>
      </c>
      <c r="N86" s="82">
        <v>24.6</v>
      </c>
      <c r="O86" s="44">
        <f t="shared" si="5"/>
        <v>9.0490585241730255</v>
      </c>
      <c r="P86">
        <f t="shared" si="6"/>
        <v>31.119999999999997</v>
      </c>
      <c r="Q86" s="111">
        <v>0.36799999999999999</v>
      </c>
      <c r="R86">
        <v>0.53900000000000003</v>
      </c>
      <c r="S86" s="65">
        <v>12</v>
      </c>
      <c r="T86">
        <v>14</v>
      </c>
      <c r="U86" t="s">
        <v>31</v>
      </c>
      <c r="V86" t="s">
        <v>32</v>
      </c>
    </row>
    <row r="87" spans="1:23" ht="16" x14ac:dyDescent="0.2">
      <c r="A87" s="1" t="s">
        <v>150</v>
      </c>
      <c r="B87" t="s">
        <v>36</v>
      </c>
      <c r="C87" t="s">
        <v>28</v>
      </c>
      <c r="D87" s="65" t="str">
        <f t="shared" si="4"/>
        <v>008_O_a</v>
      </c>
      <c r="E87">
        <v>12</v>
      </c>
      <c r="F87" t="s">
        <v>41</v>
      </c>
      <c r="G87" t="s">
        <v>152</v>
      </c>
      <c r="I87">
        <v>2.9492924099017102</v>
      </c>
      <c r="J87" s="84">
        <v>19.399999999999999</v>
      </c>
      <c r="K87" s="82">
        <v>31.5</v>
      </c>
      <c r="L87" s="82">
        <v>24.9</v>
      </c>
      <c r="M87" s="82">
        <v>27.6</v>
      </c>
      <c r="N87" s="82">
        <v>33.6</v>
      </c>
      <c r="O87" s="44">
        <f t="shared" si="5"/>
        <v>0.9992263056092815</v>
      </c>
      <c r="P87">
        <f t="shared" si="6"/>
        <v>27.4</v>
      </c>
      <c r="Q87" s="111">
        <v>0.23400000000000001</v>
      </c>
      <c r="R87">
        <v>0.39300000000000002</v>
      </c>
      <c r="S87" s="65">
        <v>15</v>
      </c>
      <c r="T87" s="47">
        <v>11</v>
      </c>
      <c r="U87" s="47" t="s">
        <v>54</v>
      </c>
      <c r="V87" t="s">
        <v>32</v>
      </c>
    </row>
    <row r="88" spans="1:23" x14ac:dyDescent="0.2">
      <c r="A88" s="2" t="s">
        <v>150</v>
      </c>
      <c r="B88" t="s">
        <v>33</v>
      </c>
      <c r="C88" t="s">
        <v>28</v>
      </c>
      <c r="D88" s="65" t="str">
        <f t="shared" si="4"/>
        <v>008_V_a</v>
      </c>
      <c r="E88">
        <v>31</v>
      </c>
      <c r="F88" t="s">
        <v>29</v>
      </c>
      <c r="G88" t="s">
        <v>153</v>
      </c>
      <c r="I88">
        <v>0.41259103950562798</v>
      </c>
      <c r="J88" s="82">
        <v>4.2</v>
      </c>
      <c r="K88" s="82">
        <v>16.899999999999999</v>
      </c>
      <c r="L88" s="43">
        <v>1.8</v>
      </c>
      <c r="M88" s="82">
        <v>4.8</v>
      </c>
      <c r="N88" s="82">
        <v>27.6</v>
      </c>
      <c r="O88" s="44">
        <f t="shared" si="5"/>
        <v>6.6285198555956679</v>
      </c>
      <c r="P88">
        <f t="shared" si="6"/>
        <v>11.059999999999999</v>
      </c>
      <c r="Q88" s="111">
        <v>8.5000000000000006E-2</v>
      </c>
      <c r="R88">
        <v>0.20499999999999999</v>
      </c>
      <c r="S88" s="65">
        <v>4</v>
      </c>
      <c r="T88">
        <v>2</v>
      </c>
      <c r="U88" t="s">
        <v>31</v>
      </c>
      <c r="V88" t="s">
        <v>32</v>
      </c>
    </row>
    <row r="89" spans="1:23" x14ac:dyDescent="0.2">
      <c r="A89" s="5" t="s">
        <v>150</v>
      </c>
      <c r="B89" s="6" t="s">
        <v>36</v>
      </c>
      <c r="C89" s="6" t="s">
        <v>38</v>
      </c>
      <c r="D89" s="65" t="str">
        <f t="shared" si="4"/>
        <v>008_O_b</v>
      </c>
      <c r="E89">
        <v>51</v>
      </c>
      <c r="F89" t="s">
        <v>82</v>
      </c>
      <c r="G89" t="s">
        <v>154</v>
      </c>
      <c r="I89">
        <v>2.6037386764931698</v>
      </c>
      <c r="J89" s="82">
        <v>51</v>
      </c>
      <c r="K89" s="82">
        <v>50</v>
      </c>
      <c r="L89" s="82">
        <v>50.9</v>
      </c>
      <c r="M89" s="82">
        <v>41.2</v>
      </c>
      <c r="N89" s="82">
        <v>51.6</v>
      </c>
      <c r="O89" s="44">
        <f t="shared" si="5"/>
        <v>0.46502675643017399</v>
      </c>
      <c r="P89">
        <f t="shared" si="6"/>
        <v>48.940000000000005</v>
      </c>
      <c r="Q89" s="111">
        <v>0.29199999999999998</v>
      </c>
      <c r="R89">
        <v>0.33400000000000002</v>
      </c>
      <c r="S89" s="65">
        <v>8</v>
      </c>
      <c r="T89">
        <v>14</v>
      </c>
      <c r="U89" t="s">
        <v>54</v>
      </c>
      <c r="V89" t="s">
        <v>32</v>
      </c>
      <c r="W89" s="19"/>
    </row>
    <row r="90" spans="1:23" x14ac:dyDescent="0.2">
      <c r="A90" s="2" t="s">
        <v>150</v>
      </c>
      <c r="B90" t="s">
        <v>33</v>
      </c>
      <c r="C90" t="s">
        <v>38</v>
      </c>
      <c r="D90" s="65" t="str">
        <f t="shared" si="4"/>
        <v>008_V_b</v>
      </c>
      <c r="E90">
        <v>55</v>
      </c>
      <c r="F90" t="s">
        <v>68</v>
      </c>
      <c r="G90" t="s">
        <v>155</v>
      </c>
      <c r="I90">
        <v>0.284156044804944</v>
      </c>
      <c r="J90" s="82">
        <v>24.4</v>
      </c>
      <c r="K90" s="82">
        <v>19</v>
      </c>
      <c r="L90" s="82">
        <v>29.1</v>
      </c>
      <c r="M90" s="82">
        <v>35.6</v>
      </c>
      <c r="N90" s="82">
        <v>41.7</v>
      </c>
      <c r="O90" s="44">
        <f t="shared" si="5"/>
        <v>1.8393771199506694</v>
      </c>
      <c r="P90">
        <f t="shared" si="6"/>
        <v>29.96</v>
      </c>
      <c r="Q90" s="111">
        <v>0.11799999999999999</v>
      </c>
      <c r="R90">
        <v>0.309</v>
      </c>
      <c r="S90" s="65">
        <v>12</v>
      </c>
      <c r="T90">
        <v>10</v>
      </c>
      <c r="U90" t="s">
        <v>31</v>
      </c>
      <c r="V90" t="s">
        <v>32</v>
      </c>
    </row>
    <row r="91" spans="1:23" x14ac:dyDescent="0.2">
      <c r="A91" s="5" t="s">
        <v>150</v>
      </c>
      <c r="B91" s="6" t="s">
        <v>27</v>
      </c>
      <c r="C91" s="6" t="s">
        <v>38</v>
      </c>
      <c r="D91" s="65" t="str">
        <f t="shared" si="4"/>
        <v>008_S_b</v>
      </c>
      <c r="E91">
        <v>68</v>
      </c>
      <c r="F91" t="s">
        <v>49</v>
      </c>
      <c r="G91" t="s">
        <v>156</v>
      </c>
      <c r="I91">
        <v>5.5507497427353396</v>
      </c>
      <c r="J91" s="82">
        <v>4.7</v>
      </c>
      <c r="K91" s="82">
        <v>19.600000000000001</v>
      </c>
      <c r="L91" s="82">
        <v>5.8</v>
      </c>
      <c r="M91" s="82">
        <v>54.9</v>
      </c>
      <c r="N91" s="82">
        <v>33.200000000000003</v>
      </c>
      <c r="O91" s="44">
        <f t="shared" si="5"/>
        <v>25.845490196078426</v>
      </c>
      <c r="P91">
        <f t="shared" si="6"/>
        <v>23.64</v>
      </c>
      <c r="Q91" s="111">
        <v>0.35399999999999998</v>
      </c>
      <c r="R91">
        <v>0.73899999999999999</v>
      </c>
      <c r="S91" s="65">
        <v>18</v>
      </c>
      <c r="T91">
        <v>49</v>
      </c>
      <c r="U91" t="s">
        <v>31</v>
      </c>
      <c r="V91" t="s">
        <v>32</v>
      </c>
    </row>
    <row r="92" spans="1:23" s="50" customFormat="1" x14ac:dyDescent="0.2">
      <c r="A92" s="17" t="s">
        <v>150</v>
      </c>
      <c r="B92" s="18" t="s">
        <v>27</v>
      </c>
      <c r="C92" s="18" t="s">
        <v>45</v>
      </c>
      <c r="D92" s="66" t="str">
        <f t="shared" si="4"/>
        <v>008_S_c</v>
      </c>
      <c r="E92" s="19">
        <v>79</v>
      </c>
      <c r="F92" s="19" t="s">
        <v>68</v>
      </c>
      <c r="G92" s="19" t="s">
        <v>157</v>
      </c>
      <c r="H92" s="19"/>
      <c r="I92">
        <v>3.0628472467661001</v>
      </c>
      <c r="J92" s="82">
        <v>2.7</v>
      </c>
      <c r="K92" s="82">
        <v>2.2000000000000002</v>
      </c>
      <c r="L92" s="82">
        <v>36.6</v>
      </c>
      <c r="M92" s="70" t="s">
        <v>57</v>
      </c>
      <c r="N92" s="82">
        <v>42.6</v>
      </c>
      <c r="O92" s="54">
        <f t="shared" si="5"/>
        <v>28.106265060240972</v>
      </c>
      <c r="P92">
        <f t="shared" si="6"/>
        <v>21.024999999999999</v>
      </c>
      <c r="Q92" s="112">
        <v>0.16500000000000001</v>
      </c>
      <c r="R92" s="19">
        <v>0.4</v>
      </c>
      <c r="S92" s="66">
        <v>24</v>
      </c>
      <c r="T92" s="19">
        <v>18</v>
      </c>
      <c r="U92" s="19" t="s">
        <v>51</v>
      </c>
      <c r="V92" t="s">
        <v>32</v>
      </c>
      <c r="W92" s="19"/>
    </row>
    <row r="93" spans="1:23" s="47" customFormat="1" x14ac:dyDescent="0.2">
      <c r="A93" s="5" t="s">
        <v>150</v>
      </c>
      <c r="B93" s="6" t="s">
        <v>33</v>
      </c>
      <c r="C93" s="6" t="s">
        <v>45</v>
      </c>
      <c r="D93" s="65" t="str">
        <f t="shared" si="4"/>
        <v>008_V_c</v>
      </c>
      <c r="E93">
        <v>82</v>
      </c>
      <c r="F93" t="s">
        <v>34</v>
      </c>
      <c r="G93" t="s">
        <v>158</v>
      </c>
      <c r="H93"/>
      <c r="I93">
        <v>5.73541078591591</v>
      </c>
      <c r="J93" s="83">
        <v>38.5</v>
      </c>
      <c r="K93" s="82">
        <v>37.1</v>
      </c>
      <c r="L93" s="82">
        <v>15.1</v>
      </c>
      <c r="M93" s="82">
        <v>18.100000000000001</v>
      </c>
      <c r="N93" s="82">
        <v>14.3</v>
      </c>
      <c r="O93" s="44">
        <f t="shared" si="5"/>
        <v>5.5750000000000126</v>
      </c>
      <c r="P93">
        <f t="shared" si="6"/>
        <v>24.619999999999997</v>
      </c>
      <c r="Q93" s="111">
        <v>0.61199999999999999</v>
      </c>
      <c r="R93">
        <v>0.626</v>
      </c>
      <c r="S93" s="65">
        <v>24</v>
      </c>
      <c r="T93">
        <v>19</v>
      </c>
      <c r="U93" t="s">
        <v>72</v>
      </c>
      <c r="V93" t="s">
        <v>32</v>
      </c>
      <c r="W93"/>
    </row>
    <row r="94" spans="1:23" x14ac:dyDescent="0.2">
      <c r="A94" s="5" t="s">
        <v>150</v>
      </c>
      <c r="B94" s="6" t="s">
        <v>36</v>
      </c>
      <c r="C94" s="6" t="s">
        <v>45</v>
      </c>
      <c r="D94" s="65" t="str">
        <f t="shared" si="4"/>
        <v>008_O_c</v>
      </c>
      <c r="E94">
        <v>89</v>
      </c>
      <c r="F94" t="s">
        <v>29</v>
      </c>
      <c r="G94" t="s">
        <v>159</v>
      </c>
      <c r="I94">
        <v>2.9075770133996399</v>
      </c>
      <c r="J94" s="82">
        <v>39.299999999999997</v>
      </c>
      <c r="K94" s="82">
        <v>15.7</v>
      </c>
      <c r="L94" s="82">
        <v>53.4</v>
      </c>
      <c r="M94" s="82">
        <v>50.4</v>
      </c>
      <c r="N94" s="82">
        <v>64.5</v>
      </c>
      <c r="O94" s="44">
        <f t="shared" si="5"/>
        <v>7.3748110831234186</v>
      </c>
      <c r="P94">
        <f t="shared" si="6"/>
        <v>44.660000000000004</v>
      </c>
      <c r="Q94" s="111">
        <v>0.29199999999999998</v>
      </c>
      <c r="R94">
        <v>0.58299999999999996</v>
      </c>
      <c r="S94" s="65">
        <v>20</v>
      </c>
      <c r="T94">
        <v>14</v>
      </c>
      <c r="U94" t="s">
        <v>54</v>
      </c>
      <c r="V94" t="s">
        <v>32</v>
      </c>
    </row>
    <row r="95" spans="1:23" s="47" customFormat="1" x14ac:dyDescent="0.2">
      <c r="A95" s="5" t="s">
        <v>150</v>
      </c>
      <c r="B95" s="6" t="s">
        <v>33</v>
      </c>
      <c r="C95" s="6" t="s">
        <v>52</v>
      </c>
      <c r="D95" s="65" t="str">
        <f t="shared" si="4"/>
        <v>008_V_d</v>
      </c>
      <c r="E95">
        <v>116</v>
      </c>
      <c r="F95" t="s">
        <v>41</v>
      </c>
      <c r="G95" t="s">
        <v>160</v>
      </c>
      <c r="H95"/>
      <c r="I95">
        <v>1.9117823228634001</v>
      </c>
      <c r="J95" s="82">
        <v>21.7</v>
      </c>
      <c r="K95" s="82">
        <v>7</v>
      </c>
      <c r="L95" s="82">
        <v>26.9</v>
      </c>
      <c r="M95">
        <v>32.700000000000003</v>
      </c>
      <c r="N95" s="82">
        <v>29.3</v>
      </c>
      <c r="O95" s="44">
        <f t="shared" si="5"/>
        <v>5.4898829747074389</v>
      </c>
      <c r="P95">
        <f t="shared" si="6"/>
        <v>23.52</v>
      </c>
      <c r="Q95" s="111">
        <v>0.11600000000000001</v>
      </c>
      <c r="R95">
        <v>0.247</v>
      </c>
      <c r="S95" s="65">
        <v>17</v>
      </c>
      <c r="T95">
        <v>11</v>
      </c>
      <c r="U95" t="s">
        <v>31</v>
      </c>
      <c r="V95" t="s">
        <v>32</v>
      </c>
      <c r="W95"/>
    </row>
    <row r="96" spans="1:23" ht="16" x14ac:dyDescent="0.2">
      <c r="A96" s="5" t="s">
        <v>150</v>
      </c>
      <c r="B96" s="6" t="s">
        <v>27</v>
      </c>
      <c r="C96" s="6" t="s">
        <v>52</v>
      </c>
      <c r="D96" s="65" t="str">
        <f t="shared" si="4"/>
        <v>008_S_d</v>
      </c>
      <c r="E96">
        <v>123</v>
      </c>
      <c r="F96" t="s">
        <v>82</v>
      </c>
      <c r="G96" t="s">
        <v>161</v>
      </c>
      <c r="H96" t="s">
        <v>56</v>
      </c>
      <c r="I96">
        <v>0</v>
      </c>
      <c r="J96" s="82">
        <v>1.1000000000000001</v>
      </c>
      <c r="K96" s="82">
        <v>1</v>
      </c>
      <c r="L96" s="84">
        <v>1</v>
      </c>
      <c r="M96">
        <v>1</v>
      </c>
      <c r="N96" s="82">
        <v>0.9</v>
      </c>
      <c r="O96" s="44">
        <f t="shared" si="5"/>
        <v>2.4390243902439068E-3</v>
      </c>
      <c r="P96">
        <f t="shared" si="6"/>
        <v>1</v>
      </c>
      <c r="Q96" s="111">
        <v>0.26700000000000002</v>
      </c>
      <c r="R96" t="s">
        <v>57</v>
      </c>
      <c r="S96" s="65" t="s">
        <v>57</v>
      </c>
      <c r="T96" t="s">
        <v>57</v>
      </c>
      <c r="V96" t="s">
        <v>32</v>
      </c>
      <c r="W96" t="s">
        <v>162</v>
      </c>
    </row>
    <row r="97" spans="1:23" s="47" customFormat="1" ht="16" x14ac:dyDescent="0.2">
      <c r="A97" s="5" t="s">
        <v>150</v>
      </c>
      <c r="B97" s="6" t="s">
        <v>36</v>
      </c>
      <c r="C97" s="6" t="s">
        <v>52</v>
      </c>
      <c r="D97" s="65" t="str">
        <f t="shared" si="4"/>
        <v>008_O_d</v>
      </c>
      <c r="E97">
        <v>139</v>
      </c>
      <c r="F97" t="s">
        <v>70</v>
      </c>
      <c r="G97" t="s">
        <v>163</v>
      </c>
      <c r="H97"/>
      <c r="I97">
        <v>3.0427802340702201</v>
      </c>
      <c r="J97" s="82">
        <v>29.6</v>
      </c>
      <c r="K97" s="82">
        <v>4.5999999999999996</v>
      </c>
      <c r="L97" s="84">
        <v>41.1</v>
      </c>
      <c r="M97" s="82">
        <v>36.4</v>
      </c>
      <c r="N97" s="82">
        <v>52.1</v>
      </c>
      <c r="O97" s="44">
        <f t="shared" si="5"/>
        <v>9.4570874365860806</v>
      </c>
      <c r="P97">
        <f t="shared" si="6"/>
        <v>32.760000000000005</v>
      </c>
      <c r="Q97" s="111">
        <v>0.315</v>
      </c>
      <c r="R97">
        <v>0.48499999999999999</v>
      </c>
      <c r="S97" s="65">
        <v>26</v>
      </c>
      <c r="T97">
        <v>48</v>
      </c>
      <c r="U97" t="s">
        <v>72</v>
      </c>
      <c r="V97" t="s">
        <v>32</v>
      </c>
      <c r="W97"/>
    </row>
    <row r="98" spans="1:23" ht="16" x14ac:dyDescent="0.2">
      <c r="A98" s="5" t="s">
        <v>164</v>
      </c>
      <c r="B98" s="6" t="s">
        <v>36</v>
      </c>
      <c r="C98" s="6" t="s">
        <v>28</v>
      </c>
      <c r="D98" s="65" t="str">
        <f t="shared" si="4"/>
        <v>009_O_a</v>
      </c>
      <c r="E98">
        <v>1</v>
      </c>
      <c r="F98" t="s">
        <v>29</v>
      </c>
      <c r="G98" t="s">
        <v>165</v>
      </c>
      <c r="I98">
        <v>3.3222812692544701</v>
      </c>
      <c r="J98" s="84">
        <v>20.399999999999999</v>
      </c>
      <c r="K98" s="82">
        <v>23.3</v>
      </c>
      <c r="L98" s="82">
        <v>25.7</v>
      </c>
      <c r="M98" s="82">
        <v>28.7</v>
      </c>
      <c r="N98" s="82">
        <v>32.4</v>
      </c>
      <c r="O98" s="44" t="e">
        <f>VAR(J98:O7M2)/AVERAGE(J98:M98)</f>
        <v>#NAME?</v>
      </c>
      <c r="P98">
        <f t="shared" si="6"/>
        <v>26.1</v>
      </c>
      <c r="Q98" s="111">
        <v>0.32900000000000001</v>
      </c>
      <c r="R98">
        <v>0.36899999999999999</v>
      </c>
      <c r="S98" s="65">
        <v>19</v>
      </c>
      <c r="T98">
        <v>13</v>
      </c>
      <c r="U98" t="s">
        <v>31</v>
      </c>
      <c r="V98" t="s">
        <v>32</v>
      </c>
    </row>
    <row r="99" spans="1:23" ht="16" x14ac:dyDescent="0.2">
      <c r="A99" s="2" t="s">
        <v>164</v>
      </c>
      <c r="B99" t="s">
        <v>33</v>
      </c>
      <c r="C99" t="s">
        <v>28</v>
      </c>
      <c r="D99" s="65" t="str">
        <f t="shared" si="4"/>
        <v>009_V_a</v>
      </c>
      <c r="E99">
        <v>5</v>
      </c>
      <c r="F99" t="s">
        <v>49</v>
      </c>
      <c r="G99" t="s">
        <v>166</v>
      </c>
      <c r="I99">
        <v>3.5115564445555698</v>
      </c>
      <c r="J99" s="84">
        <v>13.6</v>
      </c>
      <c r="K99" s="82">
        <v>40</v>
      </c>
      <c r="L99" s="82">
        <v>34.299999999999997</v>
      </c>
      <c r="M99" s="82">
        <v>10.5</v>
      </c>
      <c r="N99" s="82">
        <v>40</v>
      </c>
      <c r="O99" s="44">
        <f t="shared" ref="O99:O162" si="7">VAR(J99:M99)/AVERAGE(J99:M99)</f>
        <v>8.8219512195121883</v>
      </c>
      <c r="P99">
        <f t="shared" si="6"/>
        <v>27.68</v>
      </c>
      <c r="Q99" s="111">
        <v>0.216</v>
      </c>
      <c r="R99">
        <v>0.47499999999999998</v>
      </c>
      <c r="S99" s="65">
        <v>9</v>
      </c>
      <c r="T99">
        <v>7</v>
      </c>
      <c r="U99" t="s">
        <v>31</v>
      </c>
      <c r="V99" t="s">
        <v>32</v>
      </c>
    </row>
    <row r="100" spans="1:23" x14ac:dyDescent="0.2">
      <c r="A100" s="5" t="s">
        <v>164</v>
      </c>
      <c r="B100" s="6" t="s">
        <v>27</v>
      </c>
      <c r="C100" s="6" t="s">
        <v>28</v>
      </c>
      <c r="D100" s="65" t="str">
        <f t="shared" si="4"/>
        <v>009_S_a</v>
      </c>
      <c r="E100">
        <v>27</v>
      </c>
      <c r="F100" t="s">
        <v>39</v>
      </c>
      <c r="G100" t="s">
        <v>167</v>
      </c>
      <c r="I100">
        <v>0.56223462493657705</v>
      </c>
      <c r="J100" s="82">
        <v>0.9</v>
      </c>
      <c r="K100" t="s">
        <v>57</v>
      </c>
      <c r="L100" s="82">
        <v>1</v>
      </c>
      <c r="M100" s="82">
        <v>1</v>
      </c>
      <c r="N100" s="82">
        <v>0.9</v>
      </c>
      <c r="O100" s="44">
        <f t="shared" si="7"/>
        <v>3.4482758620689637E-3</v>
      </c>
      <c r="P100">
        <f t="shared" si="6"/>
        <v>0.95</v>
      </c>
      <c r="Q100" s="111">
        <v>3.2000000000000001E-2</v>
      </c>
      <c r="R100">
        <v>1.0999999999999999E-2</v>
      </c>
      <c r="S100" s="65">
        <v>0</v>
      </c>
      <c r="T100">
        <v>5</v>
      </c>
      <c r="U100" t="s">
        <v>31</v>
      </c>
      <c r="V100" t="s">
        <v>32</v>
      </c>
      <c r="W100" t="s">
        <v>168</v>
      </c>
    </row>
    <row r="101" spans="1:23" s="47" customFormat="1" x14ac:dyDescent="0.2">
      <c r="A101" s="5" t="s">
        <v>164</v>
      </c>
      <c r="B101" s="6" t="s">
        <v>36</v>
      </c>
      <c r="C101" s="6" t="s">
        <v>38</v>
      </c>
      <c r="D101" s="65" t="str">
        <f t="shared" si="4"/>
        <v>009_O_b</v>
      </c>
      <c r="E101">
        <v>42</v>
      </c>
      <c r="F101" t="s">
        <v>49</v>
      </c>
      <c r="G101" t="s">
        <v>169</v>
      </c>
      <c r="H101"/>
      <c r="I101">
        <v>2.0070901742864402</v>
      </c>
      <c r="J101" s="82">
        <v>43.7</v>
      </c>
      <c r="K101" s="82">
        <v>37.299999999999997</v>
      </c>
      <c r="L101" s="82">
        <v>16.5</v>
      </c>
      <c r="M101" s="82">
        <v>33.1</v>
      </c>
      <c r="N101" s="82">
        <v>42.2</v>
      </c>
      <c r="O101" s="44">
        <f t="shared" si="7"/>
        <v>4.1322103113833686</v>
      </c>
      <c r="P101">
        <f t="shared" si="6"/>
        <v>34.56</v>
      </c>
      <c r="Q101" s="111">
        <v>0.223</v>
      </c>
      <c r="R101">
        <v>0.34899999999999998</v>
      </c>
      <c r="S101" s="65">
        <v>15</v>
      </c>
      <c r="T101">
        <v>8</v>
      </c>
      <c r="U101" t="s">
        <v>31</v>
      </c>
      <c r="V101" t="s">
        <v>32</v>
      </c>
      <c r="W101"/>
    </row>
    <row r="102" spans="1:23" s="19" customFormat="1" x14ac:dyDescent="0.2">
      <c r="A102" s="17" t="s">
        <v>164</v>
      </c>
      <c r="B102" s="18" t="s">
        <v>27</v>
      </c>
      <c r="C102" s="18" t="s">
        <v>38</v>
      </c>
      <c r="D102" s="66" t="str">
        <f t="shared" si="4"/>
        <v>009_S_b</v>
      </c>
      <c r="E102" s="19">
        <v>44</v>
      </c>
      <c r="F102" s="19" t="s">
        <v>39</v>
      </c>
      <c r="G102" s="19" t="s">
        <v>170</v>
      </c>
      <c r="I102">
        <v>6.7805488721804501</v>
      </c>
      <c r="J102" s="83">
        <v>2.5</v>
      </c>
      <c r="K102" s="82">
        <v>48.6</v>
      </c>
      <c r="L102" s="82">
        <v>6.8</v>
      </c>
      <c r="M102" s="82">
        <v>39</v>
      </c>
      <c r="N102" s="82">
        <v>40.200000000000003</v>
      </c>
      <c r="O102" s="54">
        <f t="shared" si="7"/>
        <v>21.85135878912968</v>
      </c>
      <c r="P102">
        <f t="shared" si="6"/>
        <v>27.420000000000005</v>
      </c>
      <c r="Q102" s="112">
        <v>0.41599999999999998</v>
      </c>
      <c r="R102" s="19">
        <v>0.51</v>
      </c>
      <c r="S102" s="66">
        <v>12</v>
      </c>
      <c r="T102" s="19">
        <v>18</v>
      </c>
      <c r="U102" t="s">
        <v>31</v>
      </c>
      <c r="V102" t="s">
        <v>32</v>
      </c>
    </row>
    <row r="103" spans="1:23" x14ac:dyDescent="0.2">
      <c r="A103" s="2" t="s">
        <v>164</v>
      </c>
      <c r="B103" t="s">
        <v>33</v>
      </c>
      <c r="C103" t="s">
        <v>38</v>
      </c>
      <c r="D103" s="65" t="str">
        <f t="shared" si="4"/>
        <v>009_V_b</v>
      </c>
      <c r="E103">
        <v>57</v>
      </c>
      <c r="F103" t="s">
        <v>49</v>
      </c>
      <c r="G103" t="s">
        <v>171</v>
      </c>
      <c r="I103">
        <v>5.3925876357646603</v>
      </c>
      <c r="J103" s="82">
        <v>2.7</v>
      </c>
      <c r="K103" s="82">
        <v>8.1</v>
      </c>
      <c r="L103" s="82">
        <v>11.3</v>
      </c>
      <c r="M103" s="82">
        <v>23.8</v>
      </c>
      <c r="N103" s="82">
        <v>5.9</v>
      </c>
      <c r="O103" s="44">
        <f t="shared" si="7"/>
        <v>6.9811909949164841</v>
      </c>
      <c r="P103">
        <f t="shared" si="6"/>
        <v>10.360000000000001</v>
      </c>
      <c r="Q103" s="111">
        <v>0.32100000000000001</v>
      </c>
      <c r="R103">
        <v>0.53300000000000003</v>
      </c>
      <c r="S103" s="65">
        <v>18</v>
      </c>
      <c r="T103">
        <v>16</v>
      </c>
      <c r="U103" t="s">
        <v>31</v>
      </c>
      <c r="V103" t="s">
        <v>32</v>
      </c>
    </row>
    <row r="104" spans="1:23" s="47" customFormat="1" x14ac:dyDescent="0.2">
      <c r="A104" s="5" t="s">
        <v>164</v>
      </c>
      <c r="B104" s="6" t="s">
        <v>27</v>
      </c>
      <c r="C104" s="6" t="s">
        <v>45</v>
      </c>
      <c r="D104" s="65" t="str">
        <f t="shared" si="4"/>
        <v>009_S_c</v>
      </c>
      <c r="E104">
        <v>83</v>
      </c>
      <c r="F104" t="s">
        <v>41</v>
      </c>
      <c r="G104" t="s">
        <v>172</v>
      </c>
      <c r="H104"/>
      <c r="I104">
        <v>2.0630077964710698</v>
      </c>
      <c r="J104" s="82">
        <v>15.1</v>
      </c>
      <c r="K104" s="82">
        <v>20</v>
      </c>
      <c r="L104" s="82">
        <v>27.2</v>
      </c>
      <c r="M104" s="82">
        <v>23.4</v>
      </c>
      <c r="N104" s="82">
        <v>28.1</v>
      </c>
      <c r="O104" s="44">
        <f t="shared" si="7"/>
        <v>1.2335667055620438</v>
      </c>
      <c r="P104">
        <f t="shared" si="6"/>
        <v>22.759999999999998</v>
      </c>
      <c r="Q104" s="111">
        <v>0.21299999999999999</v>
      </c>
      <c r="R104">
        <v>0.379</v>
      </c>
      <c r="S104" s="65">
        <v>25</v>
      </c>
      <c r="T104">
        <v>33</v>
      </c>
      <c r="U104" t="s">
        <v>72</v>
      </c>
      <c r="V104" t="s">
        <v>32</v>
      </c>
      <c r="W104"/>
    </row>
    <row r="105" spans="1:23" x14ac:dyDescent="0.2">
      <c r="A105" s="5" t="s">
        <v>164</v>
      </c>
      <c r="B105" s="6" t="s">
        <v>36</v>
      </c>
      <c r="C105" s="6" t="s">
        <v>45</v>
      </c>
      <c r="D105" s="65" t="str">
        <f t="shared" si="4"/>
        <v>009_O_c</v>
      </c>
      <c r="E105">
        <v>84</v>
      </c>
      <c r="F105" t="s">
        <v>39</v>
      </c>
      <c r="G105" t="s">
        <v>173</v>
      </c>
      <c r="I105">
        <v>3.4924325494156698</v>
      </c>
      <c r="J105" s="82">
        <v>29.8</v>
      </c>
      <c r="K105" t="s">
        <v>57</v>
      </c>
      <c r="L105" s="82">
        <v>44.7</v>
      </c>
      <c r="M105" s="82">
        <v>19.5</v>
      </c>
      <c r="N105" s="82">
        <v>32.700000000000003</v>
      </c>
      <c r="O105" s="44">
        <f t="shared" si="7"/>
        <v>5.1230851063829785</v>
      </c>
      <c r="P105">
        <f t="shared" si="6"/>
        <v>31.675000000000001</v>
      </c>
      <c r="Q105" s="111">
        <v>0.16</v>
      </c>
      <c r="R105">
        <v>0.34899999999999998</v>
      </c>
      <c r="S105" s="65">
        <v>16</v>
      </c>
      <c r="T105">
        <v>15</v>
      </c>
      <c r="U105" t="s">
        <v>72</v>
      </c>
      <c r="V105" t="s">
        <v>32</v>
      </c>
    </row>
    <row r="106" spans="1:23" x14ac:dyDescent="0.2">
      <c r="A106" s="5" t="s">
        <v>164</v>
      </c>
      <c r="B106" s="6" t="s">
        <v>33</v>
      </c>
      <c r="C106" s="6" t="s">
        <v>45</v>
      </c>
      <c r="D106" s="65" t="str">
        <f t="shared" si="4"/>
        <v>009_V_c</v>
      </c>
      <c r="E106">
        <v>86</v>
      </c>
      <c r="F106" t="s">
        <v>29</v>
      </c>
      <c r="G106" t="s">
        <v>174</v>
      </c>
      <c r="I106">
        <v>2.7324345549738198</v>
      </c>
      <c r="J106" s="82">
        <v>8.1</v>
      </c>
      <c r="K106" s="82">
        <v>1</v>
      </c>
      <c r="L106" s="82">
        <v>2.8</v>
      </c>
      <c r="M106" s="82">
        <v>10.4</v>
      </c>
      <c r="N106" s="82">
        <v>3.3</v>
      </c>
      <c r="O106" s="44">
        <f t="shared" si="7"/>
        <v>3.4850523168908856</v>
      </c>
      <c r="P106">
        <f t="shared" si="6"/>
        <v>5.1199999999999992</v>
      </c>
      <c r="Q106" s="111">
        <v>0.33300000000000002</v>
      </c>
      <c r="R106">
        <v>0.60099999999999998</v>
      </c>
      <c r="S106" s="65">
        <v>23</v>
      </c>
      <c r="T106">
        <v>2</v>
      </c>
      <c r="U106" t="s">
        <v>72</v>
      </c>
      <c r="V106" t="s">
        <v>32</v>
      </c>
    </row>
    <row r="107" spans="1:23" s="47" customFormat="1" ht="16" x14ac:dyDescent="0.2">
      <c r="A107" s="5" t="s">
        <v>164</v>
      </c>
      <c r="B107" s="6" t="s">
        <v>27</v>
      </c>
      <c r="C107" s="6" t="s">
        <v>52</v>
      </c>
      <c r="D107" s="65" t="str">
        <f t="shared" si="4"/>
        <v>009_S_d</v>
      </c>
      <c r="E107">
        <v>123</v>
      </c>
      <c r="F107" t="s">
        <v>63</v>
      </c>
      <c r="G107" t="s">
        <v>175</v>
      </c>
      <c r="H107" t="s">
        <v>56</v>
      </c>
      <c r="I107">
        <v>0</v>
      </c>
      <c r="J107" s="82">
        <v>1.1000000000000001</v>
      </c>
      <c r="K107" s="82">
        <v>1</v>
      </c>
      <c r="L107" s="84">
        <v>1</v>
      </c>
      <c r="M107">
        <v>1</v>
      </c>
      <c r="N107" s="82">
        <v>0.9</v>
      </c>
      <c r="O107" s="44">
        <f t="shared" si="7"/>
        <v>2.4390243902439068E-3</v>
      </c>
      <c r="P107">
        <f t="shared" si="6"/>
        <v>1</v>
      </c>
      <c r="Q107" s="111" t="s">
        <v>57</v>
      </c>
      <c r="R107" t="s">
        <v>57</v>
      </c>
      <c r="S107" s="65" t="s">
        <v>57</v>
      </c>
      <c r="T107" t="s">
        <v>57</v>
      </c>
      <c r="U107"/>
      <c r="V107" t="s">
        <v>32</v>
      </c>
      <c r="W107" t="s">
        <v>67</v>
      </c>
    </row>
    <row r="108" spans="1:23" ht="16" x14ac:dyDescent="0.2">
      <c r="A108" s="5" t="s">
        <v>164</v>
      </c>
      <c r="B108" s="6" t="s">
        <v>33</v>
      </c>
      <c r="C108" s="6" t="s">
        <v>52</v>
      </c>
      <c r="D108" s="65" t="str">
        <f t="shared" si="4"/>
        <v>009_V_d</v>
      </c>
      <c r="E108">
        <v>127</v>
      </c>
      <c r="F108" t="s">
        <v>82</v>
      </c>
      <c r="G108" t="s">
        <v>176</v>
      </c>
      <c r="I108">
        <v>1.0574327906096199</v>
      </c>
      <c r="J108" s="82">
        <v>17.7</v>
      </c>
      <c r="K108" s="82">
        <v>13.5</v>
      </c>
      <c r="L108" s="84">
        <v>35.700000000000003</v>
      </c>
      <c r="M108">
        <v>33.5</v>
      </c>
      <c r="N108" s="82">
        <v>43</v>
      </c>
      <c r="O108" s="44">
        <f t="shared" si="7"/>
        <v>4.9434262948207142</v>
      </c>
      <c r="P108">
        <f t="shared" si="6"/>
        <v>28.68</v>
      </c>
      <c r="Q108" s="111">
        <v>0.17</v>
      </c>
      <c r="R108">
        <v>0.27</v>
      </c>
      <c r="S108" s="65">
        <v>6</v>
      </c>
      <c r="T108">
        <v>0</v>
      </c>
      <c r="U108" t="s">
        <v>54</v>
      </c>
      <c r="V108" t="s">
        <v>32</v>
      </c>
    </row>
    <row r="109" spans="1:23" ht="16" x14ac:dyDescent="0.2">
      <c r="A109" s="5" t="s">
        <v>164</v>
      </c>
      <c r="B109" s="6" t="s">
        <v>36</v>
      </c>
      <c r="C109" s="6" t="s">
        <v>52</v>
      </c>
      <c r="D109" s="65" t="str">
        <f t="shared" si="4"/>
        <v>009_O_d</v>
      </c>
      <c r="E109">
        <v>132</v>
      </c>
      <c r="F109" t="s">
        <v>34</v>
      </c>
      <c r="G109" t="s">
        <v>177</v>
      </c>
      <c r="I109">
        <v>2.4516842130975398</v>
      </c>
      <c r="J109" s="82">
        <v>18.2</v>
      </c>
      <c r="K109" s="82">
        <v>35.299999999999997</v>
      </c>
      <c r="L109" s="84">
        <v>33.9</v>
      </c>
      <c r="M109">
        <v>21.3</v>
      </c>
      <c r="N109" s="82">
        <v>33.1</v>
      </c>
      <c r="O109" s="44">
        <f t="shared" si="7"/>
        <v>2.7759276295614774</v>
      </c>
      <c r="P109">
        <f t="shared" si="6"/>
        <v>28.360000000000003</v>
      </c>
      <c r="Q109" s="111">
        <v>0.19</v>
      </c>
      <c r="R109">
        <v>0.27900000000000003</v>
      </c>
      <c r="S109" s="65">
        <v>11</v>
      </c>
      <c r="T109">
        <v>9</v>
      </c>
      <c r="U109" t="s">
        <v>47</v>
      </c>
      <c r="V109" t="s">
        <v>32</v>
      </c>
    </row>
    <row r="110" spans="1:23" ht="16" x14ac:dyDescent="0.2">
      <c r="A110" s="5" t="s">
        <v>178</v>
      </c>
      <c r="B110" s="6" t="s">
        <v>27</v>
      </c>
      <c r="C110" s="6" t="s">
        <v>28</v>
      </c>
      <c r="D110" s="65" t="str">
        <f t="shared" si="4"/>
        <v>010_S_a</v>
      </c>
      <c r="E110">
        <v>8</v>
      </c>
      <c r="F110" t="s">
        <v>63</v>
      </c>
      <c r="G110" t="s">
        <v>179</v>
      </c>
      <c r="I110">
        <v>3.5216289335041999</v>
      </c>
      <c r="J110" s="84">
        <v>23.5</v>
      </c>
      <c r="K110" s="82">
        <v>8.6999999999999993</v>
      </c>
      <c r="L110" s="82">
        <v>57.7</v>
      </c>
      <c r="M110" s="82">
        <v>47.3</v>
      </c>
      <c r="N110" s="82">
        <v>39.299999999999997</v>
      </c>
      <c r="O110" s="44">
        <f t="shared" si="7"/>
        <v>14.466083576287673</v>
      </c>
      <c r="P110">
        <f t="shared" si="6"/>
        <v>35.299999999999997</v>
      </c>
      <c r="Q110" s="111">
        <v>0.32600000000000001</v>
      </c>
      <c r="R110">
        <v>0.41299999999999998</v>
      </c>
      <c r="S110" s="65">
        <v>13</v>
      </c>
      <c r="T110">
        <v>15</v>
      </c>
      <c r="U110" t="s">
        <v>31</v>
      </c>
      <c r="V110" t="s">
        <v>32</v>
      </c>
    </row>
    <row r="111" spans="1:23" s="47" customFormat="1" x14ac:dyDescent="0.2">
      <c r="A111" s="5" t="s">
        <v>178</v>
      </c>
      <c r="B111" s="6" t="s">
        <v>36</v>
      </c>
      <c r="C111" s="6" t="s">
        <v>28</v>
      </c>
      <c r="D111" s="65" t="str">
        <f t="shared" si="4"/>
        <v>010_O_a</v>
      </c>
      <c r="E111">
        <v>21</v>
      </c>
      <c r="F111" t="s">
        <v>70</v>
      </c>
      <c r="G111" t="s">
        <v>180</v>
      </c>
      <c r="H111"/>
      <c r="I111">
        <v>2.1403184765657102</v>
      </c>
      <c r="J111" s="82">
        <v>18.2</v>
      </c>
      <c r="K111" s="82">
        <v>23.4</v>
      </c>
      <c r="L111" s="82">
        <v>19.5</v>
      </c>
      <c r="M111" s="82">
        <v>21.9</v>
      </c>
      <c r="N111" s="82">
        <v>29</v>
      </c>
      <c r="O111" s="44">
        <f t="shared" si="7"/>
        <v>0.2636144578313252</v>
      </c>
      <c r="P111">
        <f t="shared" si="6"/>
        <v>22.4</v>
      </c>
      <c r="Q111" s="111">
        <v>0.21</v>
      </c>
      <c r="R111">
        <v>0.35099999999999998</v>
      </c>
      <c r="S111" s="65">
        <v>9</v>
      </c>
      <c r="T111">
        <v>31</v>
      </c>
      <c r="U111" t="s">
        <v>72</v>
      </c>
      <c r="V111" t="s">
        <v>32</v>
      </c>
      <c r="W111"/>
    </row>
    <row r="112" spans="1:23" s="19" customFormat="1" x14ac:dyDescent="0.2">
      <c r="A112" s="42" t="s">
        <v>178</v>
      </c>
      <c r="B112" s="19" t="s">
        <v>33</v>
      </c>
      <c r="C112" s="19" t="s">
        <v>28</v>
      </c>
      <c r="D112" s="66" t="str">
        <f t="shared" si="4"/>
        <v>010_V_a</v>
      </c>
      <c r="E112" s="19">
        <v>22</v>
      </c>
      <c r="F112" s="19" t="s">
        <v>63</v>
      </c>
      <c r="G112" s="19" t="s">
        <v>181</v>
      </c>
      <c r="I112">
        <v>4.9159339761398897</v>
      </c>
      <c r="J112" s="82">
        <v>1.7</v>
      </c>
      <c r="K112" s="82">
        <v>38.6</v>
      </c>
      <c r="L112" s="82">
        <v>19.5</v>
      </c>
      <c r="M112" s="82">
        <v>30.6</v>
      </c>
      <c r="N112" s="82">
        <v>31.9</v>
      </c>
      <c r="O112" s="54">
        <f t="shared" si="7"/>
        <v>11.30412979351032</v>
      </c>
      <c r="P112">
        <f t="shared" si="6"/>
        <v>24.46</v>
      </c>
      <c r="Q112" s="112">
        <v>0.49</v>
      </c>
      <c r="R112" s="19">
        <v>0.65200000000000002</v>
      </c>
      <c r="S112" s="66">
        <v>32</v>
      </c>
      <c r="T112" s="106">
        <v>30</v>
      </c>
      <c r="U112" s="19" t="s">
        <v>31</v>
      </c>
      <c r="V112" t="s">
        <v>32</v>
      </c>
    </row>
    <row r="113" spans="1:23" x14ac:dyDescent="0.2">
      <c r="A113" s="2" t="s">
        <v>178</v>
      </c>
      <c r="B113" t="s">
        <v>33</v>
      </c>
      <c r="C113" t="s">
        <v>38</v>
      </c>
      <c r="D113" s="65" t="str">
        <f t="shared" si="4"/>
        <v>010_V_b</v>
      </c>
      <c r="E113">
        <v>48</v>
      </c>
      <c r="F113" t="s">
        <v>39</v>
      </c>
      <c r="G113" t="s">
        <v>182</v>
      </c>
      <c r="I113">
        <v>1.2740420966588299</v>
      </c>
      <c r="J113" s="82">
        <v>9.5</v>
      </c>
      <c r="K113" s="82">
        <v>16.2</v>
      </c>
      <c r="L113" s="82">
        <v>25.4</v>
      </c>
      <c r="M113" s="82">
        <v>15.4</v>
      </c>
      <c r="N113" s="82">
        <v>12.6</v>
      </c>
      <c r="O113" s="44">
        <f t="shared" si="7"/>
        <v>2.5954385964912281</v>
      </c>
      <c r="P113">
        <f t="shared" si="6"/>
        <v>15.819999999999999</v>
      </c>
      <c r="Q113" s="111">
        <v>0.104</v>
      </c>
      <c r="R113">
        <v>0.36099999999999999</v>
      </c>
      <c r="S113" s="65">
        <v>15</v>
      </c>
      <c r="T113" s="43">
        <v>43</v>
      </c>
      <c r="U113" t="s">
        <v>31</v>
      </c>
      <c r="V113" t="s">
        <v>32</v>
      </c>
    </row>
    <row r="114" spans="1:23" x14ac:dyDescent="0.2">
      <c r="A114" s="5" t="s">
        <v>178</v>
      </c>
      <c r="B114" s="6" t="s">
        <v>36</v>
      </c>
      <c r="C114" s="6" t="s">
        <v>38</v>
      </c>
      <c r="D114" s="65" t="str">
        <f t="shared" si="4"/>
        <v>010_O_b</v>
      </c>
      <c r="E114">
        <v>66</v>
      </c>
      <c r="F114" t="s">
        <v>41</v>
      </c>
      <c r="G114" t="s">
        <v>183</v>
      </c>
      <c r="I114">
        <v>1.2221334108414501</v>
      </c>
      <c r="J114" s="82">
        <v>6.5</v>
      </c>
      <c r="K114" s="82">
        <v>4.9000000000000004</v>
      </c>
      <c r="L114" t="s">
        <v>57</v>
      </c>
      <c r="M114" s="82">
        <v>30.1</v>
      </c>
      <c r="N114" s="82">
        <v>39.9</v>
      </c>
      <c r="O114" s="44">
        <f t="shared" si="7"/>
        <v>14.392289156626507</v>
      </c>
      <c r="P114">
        <f t="shared" si="6"/>
        <v>20.350000000000001</v>
      </c>
      <c r="Q114" s="111">
        <v>8.2000000000000003E-2</v>
      </c>
      <c r="R114">
        <v>0.17499999999999999</v>
      </c>
      <c r="S114" s="65">
        <v>13</v>
      </c>
      <c r="T114">
        <v>12</v>
      </c>
      <c r="U114" t="s">
        <v>31</v>
      </c>
      <c r="V114" t="s">
        <v>32</v>
      </c>
    </row>
    <row r="115" spans="1:23" x14ac:dyDescent="0.2">
      <c r="A115" s="5" t="s">
        <v>178</v>
      </c>
      <c r="B115" s="6" t="s">
        <v>27</v>
      </c>
      <c r="C115" s="6" t="s">
        <v>38</v>
      </c>
      <c r="D115" s="65" t="str">
        <f t="shared" si="4"/>
        <v>010_S_b</v>
      </c>
      <c r="E115">
        <v>67</v>
      </c>
      <c r="F115" t="s">
        <v>34</v>
      </c>
      <c r="G115" t="s">
        <v>184</v>
      </c>
      <c r="I115">
        <v>4.4552865548614502</v>
      </c>
      <c r="J115" s="82">
        <v>28.9</v>
      </c>
      <c r="K115" s="82">
        <v>41.4</v>
      </c>
      <c r="L115" t="s">
        <v>57</v>
      </c>
      <c r="M115" s="82">
        <v>39.9</v>
      </c>
      <c r="N115" s="82">
        <v>15.8</v>
      </c>
      <c r="O115" s="44">
        <f t="shared" si="7"/>
        <v>1.2681488203266831</v>
      </c>
      <c r="P115">
        <f t="shared" si="6"/>
        <v>31.499999999999996</v>
      </c>
      <c r="Q115" s="111">
        <v>0.249</v>
      </c>
      <c r="R115">
        <v>0.39100000000000001</v>
      </c>
      <c r="S115" s="65">
        <v>12</v>
      </c>
      <c r="T115">
        <v>16</v>
      </c>
      <c r="U115" t="s">
        <v>31</v>
      </c>
      <c r="V115" t="s">
        <v>32</v>
      </c>
    </row>
    <row r="116" spans="1:23" x14ac:dyDescent="0.2">
      <c r="A116" s="5" t="s">
        <v>178</v>
      </c>
      <c r="B116" s="6" t="s">
        <v>27</v>
      </c>
      <c r="C116" s="6" t="s">
        <v>45</v>
      </c>
      <c r="D116" s="65" t="str">
        <f t="shared" si="4"/>
        <v>010_S_c</v>
      </c>
      <c r="E116">
        <v>91</v>
      </c>
      <c r="F116" t="s">
        <v>34</v>
      </c>
      <c r="G116" t="s">
        <v>185</v>
      </c>
      <c r="I116">
        <v>2.78788367034561</v>
      </c>
      <c r="J116" s="82">
        <v>19.7</v>
      </c>
      <c r="K116" s="82">
        <v>25.4</v>
      </c>
      <c r="L116" s="82">
        <v>27.2</v>
      </c>
      <c r="M116">
        <v>26</v>
      </c>
      <c r="N116" s="82">
        <v>21.9</v>
      </c>
      <c r="O116" s="44">
        <f t="shared" si="7"/>
        <v>0.45259409969481573</v>
      </c>
      <c r="P116">
        <f t="shared" si="6"/>
        <v>24.04</v>
      </c>
      <c r="Q116" s="111">
        <v>0.18099999999999999</v>
      </c>
      <c r="R116">
        <v>0.32</v>
      </c>
      <c r="S116" s="65">
        <v>12</v>
      </c>
      <c r="T116">
        <v>40</v>
      </c>
      <c r="U116" t="s">
        <v>47</v>
      </c>
      <c r="V116" t="s">
        <v>32</v>
      </c>
    </row>
    <row r="117" spans="1:23" s="47" customFormat="1" x14ac:dyDescent="0.2">
      <c r="A117" s="5" t="s">
        <v>178</v>
      </c>
      <c r="B117" s="6" t="s">
        <v>36</v>
      </c>
      <c r="C117" s="6" t="s">
        <v>45</v>
      </c>
      <c r="D117" s="65" t="str">
        <f t="shared" si="4"/>
        <v>010_O_c</v>
      </c>
      <c r="E117">
        <v>101</v>
      </c>
      <c r="F117" t="s">
        <v>82</v>
      </c>
      <c r="G117" t="s">
        <v>186</v>
      </c>
      <c r="H117"/>
      <c r="I117">
        <v>2.40683192261185</v>
      </c>
      <c r="J117" s="82">
        <v>23.3</v>
      </c>
      <c r="K117" t="s">
        <v>57</v>
      </c>
      <c r="L117" s="82">
        <v>27.7</v>
      </c>
      <c r="M117">
        <v>25.7</v>
      </c>
      <c r="N117" s="82">
        <v>28.4</v>
      </c>
      <c r="O117" s="44">
        <f t="shared" si="7"/>
        <v>0.18983050847457614</v>
      </c>
      <c r="P117">
        <f t="shared" si="6"/>
        <v>26.274999999999999</v>
      </c>
      <c r="Q117" s="111">
        <v>0.15</v>
      </c>
      <c r="R117">
        <v>0.24199999999999999</v>
      </c>
      <c r="S117" s="65">
        <v>6</v>
      </c>
      <c r="T117">
        <v>26</v>
      </c>
      <c r="U117" t="s">
        <v>72</v>
      </c>
      <c r="V117" t="s">
        <v>32</v>
      </c>
      <c r="W117"/>
    </row>
    <row r="118" spans="1:23" x14ac:dyDescent="0.2">
      <c r="A118" s="5" t="s">
        <v>178</v>
      </c>
      <c r="B118" s="6" t="s">
        <v>33</v>
      </c>
      <c r="C118" s="6" t="s">
        <v>45</v>
      </c>
      <c r="D118" s="65" t="str">
        <f t="shared" si="4"/>
        <v>010_V_c</v>
      </c>
      <c r="E118">
        <v>104</v>
      </c>
      <c r="F118" t="s">
        <v>49</v>
      </c>
      <c r="G118" t="s">
        <v>187</v>
      </c>
      <c r="I118">
        <v>3.6123651240091998</v>
      </c>
      <c r="J118" s="82">
        <v>34</v>
      </c>
      <c r="K118" s="82">
        <v>42.6</v>
      </c>
      <c r="L118" s="82">
        <v>41.1</v>
      </c>
      <c r="M118">
        <v>25.4</v>
      </c>
      <c r="N118" s="82">
        <v>2.8</v>
      </c>
      <c r="O118" s="44">
        <f t="shared" si="7"/>
        <v>1.730514791521089</v>
      </c>
      <c r="P118">
        <f t="shared" si="6"/>
        <v>29.18</v>
      </c>
      <c r="Q118" s="111">
        <v>0.34599999999999997</v>
      </c>
      <c r="R118">
        <v>0.52600000000000002</v>
      </c>
      <c r="S118" s="65">
        <v>25</v>
      </c>
      <c r="T118">
        <v>37</v>
      </c>
      <c r="U118" t="s">
        <v>72</v>
      </c>
      <c r="V118" t="s">
        <v>32</v>
      </c>
    </row>
    <row r="119" spans="1:23" x14ac:dyDescent="0.2">
      <c r="A119" s="5" t="s">
        <v>178</v>
      </c>
      <c r="B119" s="6" t="s">
        <v>27</v>
      </c>
      <c r="C119" s="6" t="s">
        <v>52</v>
      </c>
      <c r="D119" s="65" t="str">
        <f t="shared" si="4"/>
        <v>010_S_d</v>
      </c>
      <c r="E119">
        <v>110</v>
      </c>
      <c r="F119" t="s">
        <v>39</v>
      </c>
      <c r="G119" t="s">
        <v>188</v>
      </c>
      <c r="H119" t="s">
        <v>56</v>
      </c>
      <c r="I119">
        <v>0</v>
      </c>
      <c r="J119" s="82">
        <v>1.1000000000000001</v>
      </c>
      <c r="K119" s="82">
        <v>1</v>
      </c>
      <c r="L119" s="82">
        <v>0.9</v>
      </c>
      <c r="M119">
        <v>1</v>
      </c>
      <c r="N119" s="82">
        <v>1</v>
      </c>
      <c r="O119" s="44">
        <f t="shared" si="7"/>
        <v>6.6666666666666706E-3</v>
      </c>
      <c r="P119">
        <f t="shared" si="6"/>
        <v>1</v>
      </c>
      <c r="R119" t="s">
        <v>57</v>
      </c>
      <c r="S119" s="65" t="s">
        <v>57</v>
      </c>
      <c r="T119" t="s">
        <v>57</v>
      </c>
      <c r="U119" t="s">
        <v>57</v>
      </c>
      <c r="V119" t="s">
        <v>32</v>
      </c>
      <c r="W119" t="s">
        <v>67</v>
      </c>
    </row>
    <row r="120" spans="1:23" ht="16" x14ac:dyDescent="0.2">
      <c r="A120" s="5" t="s">
        <v>178</v>
      </c>
      <c r="B120" s="6" t="s">
        <v>36</v>
      </c>
      <c r="C120" s="6" t="s">
        <v>52</v>
      </c>
      <c r="D120" s="65" t="str">
        <f t="shared" si="4"/>
        <v>010_O_d</v>
      </c>
      <c r="E120">
        <v>125</v>
      </c>
      <c r="F120" t="s">
        <v>82</v>
      </c>
      <c r="G120" t="s">
        <v>189</v>
      </c>
      <c r="I120">
        <v>2.1176528549772602</v>
      </c>
      <c r="J120" s="82">
        <v>38.4</v>
      </c>
      <c r="K120" s="82">
        <v>40.6</v>
      </c>
      <c r="L120" s="84">
        <v>42.4</v>
      </c>
      <c r="M120">
        <v>42.7</v>
      </c>
      <c r="N120" s="82">
        <v>52.5</v>
      </c>
      <c r="O120" s="44">
        <f t="shared" si="7"/>
        <v>9.5612431444241391E-2</v>
      </c>
      <c r="P120">
        <f t="shared" si="6"/>
        <v>43.320000000000007</v>
      </c>
      <c r="Q120" s="111">
        <v>0.29899999999999999</v>
      </c>
      <c r="R120">
        <v>0.39500000000000002</v>
      </c>
      <c r="S120" s="65">
        <v>13</v>
      </c>
      <c r="T120">
        <v>20</v>
      </c>
      <c r="U120" t="s">
        <v>31</v>
      </c>
      <c r="V120" t="s">
        <v>32</v>
      </c>
    </row>
    <row r="121" spans="1:23" s="47" customFormat="1" ht="16" x14ac:dyDescent="0.2">
      <c r="A121" s="5" t="s">
        <v>178</v>
      </c>
      <c r="B121" s="6" t="s">
        <v>33</v>
      </c>
      <c r="C121" s="6" t="s">
        <v>52</v>
      </c>
      <c r="D121" s="65" t="str">
        <f t="shared" si="4"/>
        <v>010_V_d</v>
      </c>
      <c r="E121">
        <v>125</v>
      </c>
      <c r="F121" t="s">
        <v>41</v>
      </c>
      <c r="G121" t="s">
        <v>190</v>
      </c>
      <c r="H121"/>
      <c r="I121">
        <v>1.9663264274886301</v>
      </c>
      <c r="J121" s="82">
        <v>37.9</v>
      </c>
      <c r="K121" s="82">
        <v>38.1</v>
      </c>
      <c r="L121" s="84">
        <v>37.1</v>
      </c>
      <c r="M121">
        <v>37.799999999999997</v>
      </c>
      <c r="N121" s="82">
        <v>32.200000000000003</v>
      </c>
      <c r="O121" s="44">
        <f t="shared" si="7"/>
        <v>5.0143582946763727E-3</v>
      </c>
      <c r="P121">
        <f t="shared" si="6"/>
        <v>36.61999999999999</v>
      </c>
      <c r="Q121" s="111">
        <v>0.16900000000000001</v>
      </c>
      <c r="R121">
        <v>0.36099999999999999</v>
      </c>
      <c r="S121" s="65">
        <v>18</v>
      </c>
      <c r="T121">
        <v>13</v>
      </c>
      <c r="U121" t="s">
        <v>31</v>
      </c>
      <c r="V121" t="s">
        <v>32</v>
      </c>
      <c r="W121"/>
    </row>
    <row r="122" spans="1:23" s="50" customFormat="1" ht="16" x14ac:dyDescent="0.2">
      <c r="A122" s="17" t="s">
        <v>191</v>
      </c>
      <c r="B122" s="18" t="s">
        <v>36</v>
      </c>
      <c r="C122" s="18" t="s">
        <v>28</v>
      </c>
      <c r="D122" s="66" t="str">
        <f t="shared" si="4"/>
        <v>011_O_a</v>
      </c>
      <c r="E122" s="19">
        <v>18</v>
      </c>
      <c r="F122" s="19" t="s">
        <v>70</v>
      </c>
      <c r="G122" s="19" t="s">
        <v>192</v>
      </c>
      <c r="H122" s="19"/>
      <c r="I122">
        <v>3.9370763117579499</v>
      </c>
      <c r="J122" s="85">
        <v>35.5</v>
      </c>
      <c r="K122" s="82">
        <v>37.1</v>
      </c>
      <c r="L122" s="82">
        <v>40.799999999999997</v>
      </c>
      <c r="M122" s="82">
        <v>46.4</v>
      </c>
      <c r="N122" s="82">
        <v>51.3</v>
      </c>
      <c r="O122" s="54">
        <f t="shared" si="7"/>
        <v>0.58614935335837226</v>
      </c>
      <c r="P122">
        <f t="shared" si="6"/>
        <v>42.219999999999992</v>
      </c>
      <c r="Q122" s="112">
        <v>0.36699999999999999</v>
      </c>
      <c r="R122" s="19">
        <v>0.45100000000000001</v>
      </c>
      <c r="S122" s="66">
        <v>31</v>
      </c>
      <c r="T122" s="19">
        <v>24</v>
      </c>
      <c r="U122" s="19" t="s">
        <v>51</v>
      </c>
      <c r="V122" t="s">
        <v>32</v>
      </c>
      <c r="W122" s="19"/>
    </row>
    <row r="123" spans="1:23" x14ac:dyDescent="0.2">
      <c r="A123" s="5" t="s">
        <v>191</v>
      </c>
      <c r="B123" s="6" t="s">
        <v>27</v>
      </c>
      <c r="C123" s="6" t="s">
        <v>28</v>
      </c>
      <c r="D123" s="65" t="str">
        <f t="shared" si="4"/>
        <v>011_S_a</v>
      </c>
      <c r="E123">
        <v>25</v>
      </c>
      <c r="F123" t="s">
        <v>29</v>
      </c>
      <c r="G123" t="s">
        <v>193</v>
      </c>
      <c r="I123">
        <v>3.5896612665684802</v>
      </c>
      <c r="J123" s="82">
        <v>8.8000000000000007</v>
      </c>
      <c r="K123" t="s">
        <v>57</v>
      </c>
      <c r="L123" s="82">
        <v>23.9</v>
      </c>
      <c r="M123" s="82">
        <v>32.1</v>
      </c>
      <c r="N123" s="82">
        <v>35.6</v>
      </c>
      <c r="O123" s="44">
        <f t="shared" si="7"/>
        <v>6.467129629629615</v>
      </c>
      <c r="P123">
        <f t="shared" si="6"/>
        <v>25.1</v>
      </c>
      <c r="Q123" s="111">
        <v>0.14399999999999999</v>
      </c>
      <c r="R123">
        <v>0.25600000000000001</v>
      </c>
      <c r="S123" s="65">
        <v>14</v>
      </c>
      <c r="T123">
        <v>10</v>
      </c>
      <c r="U123" t="s">
        <v>31</v>
      </c>
      <c r="V123" t="s">
        <v>32</v>
      </c>
    </row>
    <row r="124" spans="1:23" s="47" customFormat="1" x14ac:dyDescent="0.2">
      <c r="A124" s="2" t="s">
        <v>191</v>
      </c>
      <c r="B124" t="s">
        <v>33</v>
      </c>
      <c r="C124" t="s">
        <v>28</v>
      </c>
      <c r="D124" s="65" t="str">
        <f t="shared" si="4"/>
        <v>011_V_a</v>
      </c>
      <c r="E124">
        <v>28</v>
      </c>
      <c r="F124" t="s">
        <v>39</v>
      </c>
      <c r="G124" t="s">
        <v>194</v>
      </c>
      <c r="H124"/>
      <c r="I124">
        <v>3.18</v>
      </c>
      <c r="J124" s="82">
        <v>12.8</v>
      </c>
      <c r="K124" t="s">
        <v>57</v>
      </c>
      <c r="L124" s="82">
        <v>27.6</v>
      </c>
      <c r="M124" s="82">
        <v>29.3</v>
      </c>
      <c r="N124" s="82">
        <v>29.4</v>
      </c>
      <c r="O124" s="44">
        <f t="shared" si="7"/>
        <v>3.5450502152080348</v>
      </c>
      <c r="P124">
        <f t="shared" si="6"/>
        <v>24.774999999999999</v>
      </c>
      <c r="Q124" s="111">
        <v>0.11899999999999999</v>
      </c>
      <c r="R124">
        <v>0.28000000000000003</v>
      </c>
      <c r="S124" s="65">
        <v>9</v>
      </c>
      <c r="T124">
        <v>27</v>
      </c>
      <c r="U124" t="s">
        <v>31</v>
      </c>
      <c r="V124" t="s">
        <v>32</v>
      </c>
      <c r="W124"/>
    </row>
    <row r="125" spans="1:23" x14ac:dyDescent="0.2">
      <c r="A125" s="5" t="s">
        <v>191</v>
      </c>
      <c r="B125" s="6" t="s">
        <v>36</v>
      </c>
      <c r="C125" s="6" t="s">
        <v>38</v>
      </c>
      <c r="D125" s="65" t="str">
        <f t="shared" si="4"/>
        <v>011_O_b</v>
      </c>
      <c r="E125">
        <v>42</v>
      </c>
      <c r="F125" t="s">
        <v>82</v>
      </c>
      <c r="G125" t="s">
        <v>195</v>
      </c>
      <c r="I125">
        <v>1.68617580197019</v>
      </c>
      <c r="J125" s="82">
        <v>30.7</v>
      </c>
      <c r="K125" s="82">
        <v>22.9</v>
      </c>
      <c r="L125" s="82">
        <v>31.4</v>
      </c>
      <c r="M125" s="82">
        <v>27.1</v>
      </c>
      <c r="N125" s="82">
        <v>31.8</v>
      </c>
      <c r="O125" s="44">
        <f t="shared" si="7"/>
        <v>0.54317573595005564</v>
      </c>
      <c r="P125">
        <f t="shared" si="6"/>
        <v>28.78</v>
      </c>
      <c r="Q125" s="111">
        <v>0.187</v>
      </c>
      <c r="R125">
        <v>0.31900000000000001</v>
      </c>
      <c r="S125" s="65">
        <v>16</v>
      </c>
      <c r="T125">
        <v>16</v>
      </c>
      <c r="U125" t="s">
        <v>31</v>
      </c>
      <c r="V125" t="s">
        <v>32</v>
      </c>
    </row>
    <row r="126" spans="1:23" x14ac:dyDescent="0.2">
      <c r="A126" s="2" t="s">
        <v>191</v>
      </c>
      <c r="B126" t="s">
        <v>33</v>
      </c>
      <c r="C126" t="s">
        <v>38</v>
      </c>
      <c r="D126" s="65" t="str">
        <f t="shared" si="4"/>
        <v>011_V_b</v>
      </c>
      <c r="E126">
        <v>46</v>
      </c>
      <c r="F126" t="s">
        <v>41</v>
      </c>
      <c r="G126" t="s">
        <v>196</v>
      </c>
      <c r="I126">
        <v>2.0156017320589301</v>
      </c>
      <c r="J126" s="82">
        <v>8</v>
      </c>
      <c r="K126" s="82">
        <v>34</v>
      </c>
      <c r="L126" s="82">
        <v>27.6</v>
      </c>
      <c r="M126" s="82">
        <v>18.3</v>
      </c>
      <c r="N126" s="82">
        <v>19.399999999999999</v>
      </c>
      <c r="O126" s="44">
        <f t="shared" si="7"/>
        <v>5.8406901782328458</v>
      </c>
      <c r="P126">
        <f t="shared" si="6"/>
        <v>21.459999999999997</v>
      </c>
      <c r="Q126" s="111">
        <v>0.16900000000000001</v>
      </c>
      <c r="R126">
        <v>0.30399999999999999</v>
      </c>
      <c r="S126" s="65">
        <v>5</v>
      </c>
      <c r="T126" s="43">
        <v>8</v>
      </c>
      <c r="U126" t="s">
        <v>31</v>
      </c>
      <c r="V126" t="s">
        <v>32</v>
      </c>
    </row>
    <row r="127" spans="1:23" x14ac:dyDescent="0.2">
      <c r="A127" s="5" t="s">
        <v>191</v>
      </c>
      <c r="B127" s="6" t="s">
        <v>27</v>
      </c>
      <c r="C127" s="6" t="s">
        <v>38</v>
      </c>
      <c r="D127" s="65" t="str">
        <f t="shared" si="4"/>
        <v>011_S_b</v>
      </c>
      <c r="E127">
        <v>54</v>
      </c>
      <c r="F127" t="s">
        <v>68</v>
      </c>
      <c r="G127" t="s">
        <v>197</v>
      </c>
      <c r="I127">
        <v>1.6029802044811801</v>
      </c>
      <c r="J127" s="82">
        <v>37.6</v>
      </c>
      <c r="K127" s="82">
        <v>35.200000000000003</v>
      </c>
      <c r="L127" s="82">
        <v>14.9</v>
      </c>
      <c r="M127" s="82">
        <v>35.700000000000003</v>
      </c>
      <c r="N127" s="82">
        <v>45.9</v>
      </c>
      <c r="O127" s="44">
        <f t="shared" si="7"/>
        <v>3.6997298757428392</v>
      </c>
      <c r="P127">
        <f t="shared" si="6"/>
        <v>33.86</v>
      </c>
      <c r="Q127" s="111">
        <v>0.18</v>
      </c>
      <c r="R127">
        <v>0.32400000000000001</v>
      </c>
      <c r="S127" s="65">
        <v>9</v>
      </c>
      <c r="T127">
        <v>12</v>
      </c>
      <c r="U127" t="s">
        <v>31</v>
      </c>
      <c r="V127" t="s">
        <v>32</v>
      </c>
    </row>
    <row r="128" spans="1:23" x14ac:dyDescent="0.2">
      <c r="A128" s="5" t="s">
        <v>191</v>
      </c>
      <c r="B128" s="6" t="s">
        <v>27</v>
      </c>
      <c r="C128" s="6" t="s">
        <v>45</v>
      </c>
      <c r="D128" s="65" t="str">
        <f t="shared" si="4"/>
        <v>011_S_c</v>
      </c>
      <c r="E128">
        <v>78</v>
      </c>
      <c r="F128" t="s">
        <v>63</v>
      </c>
      <c r="G128" t="s">
        <v>198</v>
      </c>
      <c r="I128">
        <v>6.5027015478112196</v>
      </c>
      <c r="J128" s="82">
        <v>47.3</v>
      </c>
      <c r="K128" s="82">
        <v>47.3</v>
      </c>
      <c r="L128" s="82">
        <v>3.9</v>
      </c>
      <c r="M128" s="82">
        <v>34.299999999999997</v>
      </c>
      <c r="N128" s="82">
        <v>45.7</v>
      </c>
      <c r="O128" s="44">
        <f t="shared" si="7"/>
        <v>12.623694779116443</v>
      </c>
      <c r="P128">
        <f t="shared" si="6"/>
        <v>35.700000000000003</v>
      </c>
      <c r="Q128" s="111">
        <v>0.56200000000000006</v>
      </c>
      <c r="R128">
        <v>0.82299999999999995</v>
      </c>
      <c r="S128" s="65">
        <v>13</v>
      </c>
      <c r="T128">
        <v>23</v>
      </c>
      <c r="U128" t="s">
        <v>31</v>
      </c>
      <c r="V128" t="s">
        <v>32</v>
      </c>
    </row>
    <row r="129" spans="1:23" s="47" customFormat="1" x14ac:dyDescent="0.2">
      <c r="A129" s="5" t="s">
        <v>191</v>
      </c>
      <c r="B129" s="6" t="s">
        <v>33</v>
      </c>
      <c r="C129" s="6" t="s">
        <v>45</v>
      </c>
      <c r="D129" s="65" t="str">
        <f t="shared" si="4"/>
        <v>011_V_c</v>
      </c>
      <c r="E129">
        <v>84</v>
      </c>
      <c r="F129" t="s">
        <v>63</v>
      </c>
      <c r="G129" t="s">
        <v>199</v>
      </c>
      <c r="H129"/>
      <c r="I129">
        <v>2.7801543788775098</v>
      </c>
      <c r="J129" s="82">
        <v>38.1</v>
      </c>
      <c r="K129" t="s">
        <v>57</v>
      </c>
      <c r="L129" s="82">
        <v>12.3</v>
      </c>
      <c r="M129" s="82">
        <v>39</v>
      </c>
      <c r="N129" s="82">
        <v>35.299999999999997</v>
      </c>
      <c r="O129" s="44">
        <f t="shared" si="7"/>
        <v>7.7144295302013379</v>
      </c>
      <c r="P129">
        <f t="shared" si="6"/>
        <v>31.175000000000001</v>
      </c>
      <c r="Q129" s="111">
        <v>0.22600000000000001</v>
      </c>
      <c r="R129">
        <v>0.57899999999999996</v>
      </c>
      <c r="S129" s="65">
        <v>27</v>
      </c>
      <c r="T129">
        <v>119</v>
      </c>
      <c r="U129" t="s">
        <v>72</v>
      </c>
      <c r="V129" t="s">
        <v>32</v>
      </c>
      <c r="W129"/>
    </row>
    <row r="130" spans="1:23" s="47" customFormat="1" x14ac:dyDescent="0.2">
      <c r="A130" s="5" t="s">
        <v>191</v>
      </c>
      <c r="B130" s="6" t="s">
        <v>36</v>
      </c>
      <c r="C130" s="6" t="s">
        <v>45</v>
      </c>
      <c r="D130" s="65" t="str">
        <f t="shared" ref="D130:D193" si="8">A130&amp;"_"&amp;B130&amp;"_"&amp;C130</f>
        <v>011_O_c</v>
      </c>
      <c r="E130">
        <v>87</v>
      </c>
      <c r="F130" t="s">
        <v>39</v>
      </c>
      <c r="G130" t="s">
        <v>200</v>
      </c>
      <c r="H130"/>
      <c r="I130">
        <v>2.07603096253085</v>
      </c>
      <c r="J130" s="82">
        <v>23.5</v>
      </c>
      <c r="K130" s="82">
        <v>9.1999999999999993</v>
      </c>
      <c r="L130" s="82">
        <v>29.2</v>
      </c>
      <c r="M130" s="82">
        <v>26</v>
      </c>
      <c r="N130" s="82">
        <v>24.1</v>
      </c>
      <c r="O130" s="44">
        <f t="shared" si="7"/>
        <v>3.5483883200606678</v>
      </c>
      <c r="P130">
        <f t="shared" ref="P130:P193" si="9">AVERAGE(J130:N130)</f>
        <v>22.4</v>
      </c>
      <c r="Q130" s="111">
        <v>0.14699999999999999</v>
      </c>
      <c r="R130">
        <v>0.255</v>
      </c>
      <c r="S130" s="65">
        <v>22</v>
      </c>
      <c r="T130">
        <v>12</v>
      </c>
      <c r="U130" t="s">
        <v>72</v>
      </c>
      <c r="V130" t="s">
        <v>32</v>
      </c>
      <c r="W130"/>
    </row>
    <row r="131" spans="1:23" x14ac:dyDescent="0.2">
      <c r="A131" s="5" t="s">
        <v>191</v>
      </c>
      <c r="B131" s="6" t="s">
        <v>36</v>
      </c>
      <c r="C131" s="6" t="s">
        <v>52</v>
      </c>
      <c r="D131" s="65" t="str">
        <f t="shared" si="8"/>
        <v>011_O_d</v>
      </c>
      <c r="E131">
        <v>115</v>
      </c>
      <c r="F131" t="s">
        <v>39</v>
      </c>
      <c r="G131" t="s">
        <v>201</v>
      </c>
      <c r="I131">
        <v>2.9057377615135001</v>
      </c>
      <c r="J131" s="82">
        <v>37.299999999999997</v>
      </c>
      <c r="K131" s="82">
        <v>4.7</v>
      </c>
      <c r="L131" s="82">
        <v>40.5</v>
      </c>
      <c r="M131">
        <v>40.700000000000003</v>
      </c>
      <c r="N131" s="82">
        <v>48.5</v>
      </c>
      <c r="O131" s="44">
        <f t="shared" si="7"/>
        <v>9.9086580086580032</v>
      </c>
      <c r="P131">
        <f t="shared" si="9"/>
        <v>34.339999999999996</v>
      </c>
      <c r="Q131" s="111">
        <v>0.31</v>
      </c>
      <c r="R131">
        <v>0.45100000000000001</v>
      </c>
      <c r="S131" s="65">
        <v>14</v>
      </c>
      <c r="T131">
        <v>11</v>
      </c>
      <c r="U131" t="s">
        <v>31</v>
      </c>
      <c r="V131" t="s">
        <v>32</v>
      </c>
    </row>
    <row r="132" spans="1:23" s="19" customFormat="1" ht="16" x14ac:dyDescent="0.2">
      <c r="A132" s="17" t="s">
        <v>191</v>
      </c>
      <c r="B132" s="18" t="s">
        <v>27</v>
      </c>
      <c r="C132" s="18" t="s">
        <v>52</v>
      </c>
      <c r="D132" s="66" t="str">
        <f t="shared" si="8"/>
        <v>011_S_d</v>
      </c>
      <c r="E132" s="19">
        <v>130</v>
      </c>
      <c r="F132" s="19" t="s">
        <v>39</v>
      </c>
      <c r="G132" s="19" t="s">
        <v>202</v>
      </c>
      <c r="H132" s="19" t="s">
        <v>56</v>
      </c>
      <c r="I132">
        <v>0</v>
      </c>
      <c r="J132" s="83">
        <v>1.1000000000000001</v>
      </c>
      <c r="K132" s="82">
        <v>1</v>
      </c>
      <c r="L132" s="84">
        <v>1</v>
      </c>
      <c r="M132">
        <v>1</v>
      </c>
      <c r="N132" s="82">
        <v>0.9</v>
      </c>
      <c r="O132" s="54">
        <f t="shared" si="7"/>
        <v>2.4390243902439068E-3</v>
      </c>
      <c r="P132">
        <f t="shared" si="9"/>
        <v>1</v>
      </c>
      <c r="Q132" s="112" t="s">
        <v>57</v>
      </c>
      <c r="R132" s="19" t="s">
        <v>57</v>
      </c>
      <c r="S132" s="66" t="s">
        <v>57</v>
      </c>
      <c r="T132" s="19" t="s">
        <v>57</v>
      </c>
      <c r="V132" t="s">
        <v>32</v>
      </c>
      <c r="W132" s="19" t="s">
        <v>67</v>
      </c>
    </row>
    <row r="133" spans="1:23" ht="16" x14ac:dyDescent="0.2">
      <c r="A133" s="5" t="s">
        <v>191</v>
      </c>
      <c r="B133" s="6" t="s">
        <v>33</v>
      </c>
      <c r="C133" s="6" t="s">
        <v>52</v>
      </c>
      <c r="D133" s="65" t="str">
        <f t="shared" si="8"/>
        <v>011_V_d</v>
      </c>
      <c r="E133">
        <v>134</v>
      </c>
      <c r="F133" t="s">
        <v>68</v>
      </c>
      <c r="G133" t="s">
        <v>203</v>
      </c>
      <c r="I133">
        <v>0.69479728554028197</v>
      </c>
      <c r="J133" s="82">
        <v>8.6</v>
      </c>
      <c r="K133" s="82">
        <v>22.5</v>
      </c>
      <c r="L133" s="98">
        <v>8.1</v>
      </c>
      <c r="M133" s="82">
        <v>27.2</v>
      </c>
      <c r="N133" s="82">
        <v>22.1</v>
      </c>
      <c r="O133" s="44">
        <f t="shared" si="7"/>
        <v>5.6911646586345297</v>
      </c>
      <c r="P133">
        <f t="shared" si="9"/>
        <v>17.7</v>
      </c>
      <c r="Q133" s="111">
        <v>0.104</v>
      </c>
      <c r="R133">
        <v>0.26500000000000001</v>
      </c>
      <c r="S133" s="65">
        <v>2</v>
      </c>
      <c r="T133">
        <v>31</v>
      </c>
      <c r="U133" t="s">
        <v>54</v>
      </c>
      <c r="V133" t="s">
        <v>32</v>
      </c>
    </row>
    <row r="134" spans="1:23" ht="16" x14ac:dyDescent="0.2">
      <c r="A134" s="1" t="s">
        <v>204</v>
      </c>
      <c r="B134" t="s">
        <v>36</v>
      </c>
      <c r="C134" t="s">
        <v>28</v>
      </c>
      <c r="D134" s="65" t="str">
        <f t="shared" si="8"/>
        <v>012_O_a</v>
      </c>
      <c r="E134">
        <v>9</v>
      </c>
      <c r="F134" t="s">
        <v>63</v>
      </c>
      <c r="G134" t="s">
        <v>205</v>
      </c>
      <c r="I134">
        <v>2.5403045275789</v>
      </c>
      <c r="J134" s="84">
        <v>25.7</v>
      </c>
      <c r="K134" s="82">
        <v>10.3</v>
      </c>
      <c r="L134" s="82">
        <v>18.3</v>
      </c>
      <c r="M134" s="82">
        <v>12.3</v>
      </c>
      <c r="N134" s="82">
        <v>21.3</v>
      </c>
      <c r="O134" s="44">
        <f t="shared" si="7"/>
        <v>2.8802802802802829</v>
      </c>
      <c r="P134">
        <f t="shared" si="9"/>
        <v>17.579999999999998</v>
      </c>
      <c r="Q134" s="111">
        <v>0.14000000000000001</v>
      </c>
      <c r="R134">
        <v>0.19600000000000001</v>
      </c>
      <c r="S134" s="65">
        <v>4</v>
      </c>
      <c r="T134">
        <v>37</v>
      </c>
      <c r="U134" t="s">
        <v>47</v>
      </c>
      <c r="V134" t="s">
        <v>32</v>
      </c>
    </row>
    <row r="135" spans="1:23" s="47" customFormat="1" x14ac:dyDescent="0.2">
      <c r="A135" s="2" t="s">
        <v>204</v>
      </c>
      <c r="B135" t="s">
        <v>33</v>
      </c>
      <c r="C135" t="s">
        <v>28</v>
      </c>
      <c r="D135" s="65" t="str">
        <f t="shared" si="8"/>
        <v>012_V_a</v>
      </c>
      <c r="E135">
        <v>24</v>
      </c>
      <c r="F135" t="s">
        <v>39</v>
      </c>
      <c r="G135" t="s">
        <v>206</v>
      </c>
      <c r="H135"/>
      <c r="I135">
        <v>2.29705969545883</v>
      </c>
      <c r="J135" s="82">
        <v>2.2000000000000002</v>
      </c>
      <c r="K135" s="82">
        <v>3.5</v>
      </c>
      <c r="L135" s="82">
        <v>22</v>
      </c>
      <c r="M135" s="82">
        <v>7.7</v>
      </c>
      <c r="N135" s="82">
        <v>29.5</v>
      </c>
      <c r="O135" s="44">
        <f t="shared" si="7"/>
        <v>9.3065913370998139</v>
      </c>
      <c r="P135">
        <f t="shared" si="9"/>
        <v>12.98</v>
      </c>
      <c r="Q135" s="111">
        <v>5.6000000000000001E-2</v>
      </c>
      <c r="R135">
        <v>0.17399999999999999</v>
      </c>
      <c r="S135" s="65">
        <v>12</v>
      </c>
      <c r="T135">
        <v>11</v>
      </c>
      <c r="U135" t="s">
        <v>47</v>
      </c>
      <c r="V135" t="s">
        <v>32</v>
      </c>
      <c r="W135"/>
    </row>
    <row r="136" spans="1:23" x14ac:dyDescent="0.2">
      <c r="A136" s="5" t="s">
        <v>204</v>
      </c>
      <c r="B136" s="6" t="s">
        <v>27</v>
      </c>
      <c r="C136" s="6" t="s">
        <v>28</v>
      </c>
      <c r="D136" s="65" t="str">
        <f t="shared" si="8"/>
        <v>012_S_a</v>
      </c>
      <c r="E136">
        <v>35</v>
      </c>
      <c r="F136" t="s">
        <v>41</v>
      </c>
      <c r="G136" t="s">
        <v>207</v>
      </c>
      <c r="I136">
        <v>2.0436439020574202</v>
      </c>
      <c r="J136" s="82">
        <v>3</v>
      </c>
      <c r="K136" t="s">
        <v>57</v>
      </c>
      <c r="L136" s="82">
        <v>7.3</v>
      </c>
      <c r="M136" s="82">
        <v>43.8</v>
      </c>
      <c r="N136" s="82">
        <v>45.8</v>
      </c>
      <c r="O136" s="44">
        <f t="shared" si="7"/>
        <v>27.868576709796677</v>
      </c>
      <c r="P136">
        <f t="shared" si="9"/>
        <v>24.974999999999998</v>
      </c>
      <c r="Q136" s="111">
        <v>0.104</v>
      </c>
      <c r="R136">
        <v>0.17599999999999999</v>
      </c>
      <c r="S136" s="65">
        <v>6</v>
      </c>
      <c r="T136">
        <v>31</v>
      </c>
      <c r="U136" t="s">
        <v>47</v>
      </c>
      <c r="V136" t="s">
        <v>32</v>
      </c>
      <c r="W136" t="s">
        <v>208</v>
      </c>
    </row>
    <row r="137" spans="1:23" x14ac:dyDescent="0.2">
      <c r="A137" s="2" t="s">
        <v>204</v>
      </c>
      <c r="B137" t="s">
        <v>33</v>
      </c>
      <c r="C137" t="s">
        <v>38</v>
      </c>
      <c r="D137" s="65" t="str">
        <f t="shared" si="8"/>
        <v>012_V_b</v>
      </c>
      <c r="E137">
        <v>45</v>
      </c>
      <c r="F137" t="s">
        <v>63</v>
      </c>
      <c r="G137" t="s">
        <v>209</v>
      </c>
      <c r="I137">
        <v>0.34335634893903699</v>
      </c>
      <c r="J137" s="82">
        <v>2.2999999999999998</v>
      </c>
      <c r="K137" s="82">
        <v>12.2</v>
      </c>
      <c r="L137" s="82">
        <v>9.8000000000000007</v>
      </c>
      <c r="M137" s="82">
        <v>12.2</v>
      </c>
      <c r="N137" s="82">
        <v>32.700000000000003</v>
      </c>
      <c r="O137" s="44">
        <f t="shared" si="7"/>
        <v>2.4090410958904109</v>
      </c>
      <c r="P137">
        <f t="shared" si="9"/>
        <v>13.84</v>
      </c>
      <c r="Q137" s="111">
        <v>5.5E-2</v>
      </c>
      <c r="R137">
        <v>0.21</v>
      </c>
      <c r="S137" s="65">
        <v>7</v>
      </c>
      <c r="T137">
        <v>27</v>
      </c>
      <c r="U137" t="s">
        <v>47</v>
      </c>
      <c r="V137" t="s">
        <v>32</v>
      </c>
    </row>
    <row r="138" spans="1:23" x14ac:dyDescent="0.2">
      <c r="A138" s="5" t="s">
        <v>204</v>
      </c>
      <c r="B138" s="6" t="s">
        <v>36</v>
      </c>
      <c r="C138" s="6" t="s">
        <v>38</v>
      </c>
      <c r="D138" s="65" t="str">
        <f t="shared" si="8"/>
        <v>012_O_b</v>
      </c>
      <c r="E138">
        <v>51</v>
      </c>
      <c r="F138" t="s">
        <v>34</v>
      </c>
      <c r="G138" t="s">
        <v>210</v>
      </c>
      <c r="I138">
        <v>1.93306463995087</v>
      </c>
      <c r="J138" s="82">
        <v>23.6</v>
      </c>
      <c r="K138" s="82">
        <v>16.2</v>
      </c>
      <c r="L138" s="82">
        <v>28</v>
      </c>
      <c r="M138" s="82">
        <v>24.3</v>
      </c>
      <c r="N138" s="82">
        <v>35</v>
      </c>
      <c r="O138" s="44">
        <f t="shared" si="7"/>
        <v>1.0609844372059409</v>
      </c>
      <c r="P138">
        <f t="shared" si="9"/>
        <v>25.419999999999998</v>
      </c>
      <c r="Q138" s="111">
        <v>0.16300000000000001</v>
      </c>
      <c r="R138">
        <v>0.379</v>
      </c>
      <c r="S138" s="65">
        <v>7</v>
      </c>
      <c r="T138">
        <v>52</v>
      </c>
      <c r="U138" t="s">
        <v>47</v>
      </c>
      <c r="V138" t="s">
        <v>32</v>
      </c>
    </row>
    <row r="139" spans="1:23" x14ac:dyDescent="0.2">
      <c r="A139" s="5" t="s">
        <v>204</v>
      </c>
      <c r="B139" s="6" t="s">
        <v>27</v>
      </c>
      <c r="C139" s="6" t="s">
        <v>38</v>
      </c>
      <c r="D139" s="65" t="str">
        <f t="shared" si="8"/>
        <v>012_S_b</v>
      </c>
      <c r="E139">
        <v>61</v>
      </c>
      <c r="F139" t="s">
        <v>63</v>
      </c>
      <c r="G139" t="s">
        <v>211</v>
      </c>
      <c r="I139">
        <v>5.6574103090555399</v>
      </c>
      <c r="J139" s="82">
        <v>46.8</v>
      </c>
      <c r="K139" s="82">
        <v>16.8</v>
      </c>
      <c r="L139" s="82">
        <v>2.2000000000000002</v>
      </c>
      <c r="M139" s="82">
        <v>33.5</v>
      </c>
      <c r="N139" s="82">
        <v>54.6</v>
      </c>
      <c r="O139" s="44">
        <f t="shared" si="7"/>
        <v>15.232594830480025</v>
      </c>
      <c r="P139">
        <f t="shared" si="9"/>
        <v>30.78</v>
      </c>
      <c r="Q139" s="111">
        <v>0.51559999999999995</v>
      </c>
      <c r="R139">
        <v>0.59</v>
      </c>
      <c r="S139" s="65">
        <v>10</v>
      </c>
      <c r="T139">
        <v>74</v>
      </c>
      <c r="U139" t="s">
        <v>47</v>
      </c>
      <c r="V139" t="s">
        <v>32</v>
      </c>
    </row>
    <row r="140" spans="1:23" x14ac:dyDescent="0.2">
      <c r="A140" s="5" t="s">
        <v>204</v>
      </c>
      <c r="B140" s="6" t="s">
        <v>27</v>
      </c>
      <c r="C140" s="6" t="s">
        <v>45</v>
      </c>
      <c r="D140" s="65" t="str">
        <f t="shared" si="8"/>
        <v>012_S_c</v>
      </c>
      <c r="E140">
        <v>80</v>
      </c>
      <c r="F140" t="s">
        <v>63</v>
      </c>
      <c r="G140" t="s">
        <v>212</v>
      </c>
      <c r="I140">
        <v>3.5099519479907699</v>
      </c>
      <c r="J140" s="82">
        <v>25.7</v>
      </c>
      <c r="K140" s="82">
        <v>27.5</v>
      </c>
      <c r="L140" s="82">
        <v>31.4</v>
      </c>
      <c r="M140" s="82">
        <v>28</v>
      </c>
      <c r="N140" s="82">
        <v>30.6</v>
      </c>
      <c r="O140" s="44">
        <f t="shared" si="7"/>
        <v>0.2014209591474245</v>
      </c>
      <c r="P140">
        <f t="shared" si="9"/>
        <v>28.639999999999997</v>
      </c>
      <c r="Q140" s="111">
        <v>0.23799999999999999</v>
      </c>
      <c r="R140">
        <v>0.32800000000000001</v>
      </c>
      <c r="S140" s="65">
        <v>6</v>
      </c>
      <c r="T140">
        <v>76</v>
      </c>
      <c r="U140" t="s">
        <v>47</v>
      </c>
      <c r="V140" t="s">
        <v>32</v>
      </c>
    </row>
    <row r="141" spans="1:23" x14ac:dyDescent="0.2">
      <c r="A141" s="5" t="s">
        <v>204</v>
      </c>
      <c r="B141" s="6" t="s">
        <v>33</v>
      </c>
      <c r="C141" s="6" t="s">
        <v>45</v>
      </c>
      <c r="D141" s="65" t="str">
        <f t="shared" si="8"/>
        <v>012_V_c</v>
      </c>
      <c r="E141">
        <v>89</v>
      </c>
      <c r="F141" t="s">
        <v>70</v>
      </c>
      <c r="G141" t="s">
        <v>213</v>
      </c>
      <c r="I141">
        <v>3.5084818345075299</v>
      </c>
      <c r="J141" s="82">
        <v>29.8</v>
      </c>
      <c r="K141" s="82">
        <v>37.4</v>
      </c>
      <c r="L141" s="82">
        <v>8</v>
      </c>
      <c r="M141" s="82">
        <v>31</v>
      </c>
      <c r="N141" s="82">
        <v>43.5</v>
      </c>
      <c r="O141" s="44">
        <f t="shared" si="7"/>
        <v>6.1794099183929703</v>
      </c>
      <c r="P141">
        <f t="shared" si="9"/>
        <v>29.939999999999998</v>
      </c>
      <c r="Q141" s="111">
        <v>0.18099999999999999</v>
      </c>
      <c r="R141">
        <v>0.35399999999999998</v>
      </c>
      <c r="S141" s="65">
        <v>9</v>
      </c>
      <c r="T141">
        <v>34</v>
      </c>
      <c r="U141" t="s">
        <v>47</v>
      </c>
      <c r="V141" t="s">
        <v>32</v>
      </c>
    </row>
    <row r="142" spans="1:23" s="19" customFormat="1" x14ac:dyDescent="0.2">
      <c r="A142" s="17" t="s">
        <v>204</v>
      </c>
      <c r="B142" s="18" t="s">
        <v>36</v>
      </c>
      <c r="C142" s="18" t="s">
        <v>45</v>
      </c>
      <c r="D142" s="66" t="str">
        <f t="shared" si="8"/>
        <v>012_O_c</v>
      </c>
      <c r="E142" s="19">
        <v>102</v>
      </c>
      <c r="F142" s="19" t="s">
        <v>63</v>
      </c>
      <c r="G142" s="19" t="s">
        <v>214</v>
      </c>
      <c r="I142">
        <v>3.4527254606322302</v>
      </c>
      <c r="J142" s="83">
        <v>25.7</v>
      </c>
      <c r="K142" s="82">
        <v>20</v>
      </c>
      <c r="L142" s="82">
        <v>24.5</v>
      </c>
      <c r="M142">
        <v>22.9</v>
      </c>
      <c r="N142" s="82">
        <v>29.1</v>
      </c>
      <c r="O142" s="54">
        <f t="shared" si="7"/>
        <v>0.26133190118152522</v>
      </c>
      <c r="P142">
        <f t="shared" si="9"/>
        <v>24.439999999999998</v>
      </c>
      <c r="Q142" s="112">
        <v>0.24</v>
      </c>
      <c r="R142" s="19">
        <v>0.27200000000000002</v>
      </c>
      <c r="S142" s="66">
        <v>4</v>
      </c>
      <c r="T142" s="19">
        <v>33</v>
      </c>
      <c r="U142" s="19" t="s">
        <v>47</v>
      </c>
      <c r="V142" t="s">
        <v>32</v>
      </c>
      <c r="W142"/>
    </row>
    <row r="143" spans="1:23" x14ac:dyDescent="0.2">
      <c r="A143" s="5" t="s">
        <v>204</v>
      </c>
      <c r="B143" s="6" t="s">
        <v>33</v>
      </c>
      <c r="C143" s="6" t="s">
        <v>52</v>
      </c>
      <c r="D143" s="65" t="str">
        <f t="shared" si="8"/>
        <v>012_V_d</v>
      </c>
      <c r="E143">
        <v>118</v>
      </c>
      <c r="F143" t="s">
        <v>41</v>
      </c>
      <c r="G143" t="s">
        <v>215</v>
      </c>
      <c r="I143">
        <v>1.3778461615755599</v>
      </c>
      <c r="J143" s="82">
        <v>9</v>
      </c>
      <c r="K143" s="82">
        <v>2.8</v>
      </c>
      <c r="L143" s="82">
        <v>25.3</v>
      </c>
      <c r="M143">
        <v>24.3</v>
      </c>
      <c r="N143" s="82">
        <v>33.4</v>
      </c>
      <c r="O143" s="44">
        <f t="shared" si="7"/>
        <v>8.1852334419109649</v>
      </c>
      <c r="P143">
        <f t="shared" si="9"/>
        <v>18.96</v>
      </c>
      <c r="Q143" s="111">
        <v>0.08</v>
      </c>
      <c r="R143">
        <v>0.20699999999999999</v>
      </c>
      <c r="S143" s="65">
        <v>12</v>
      </c>
      <c r="T143">
        <v>30</v>
      </c>
      <c r="U143" t="s">
        <v>54</v>
      </c>
      <c r="V143" t="s">
        <v>32</v>
      </c>
    </row>
    <row r="144" spans="1:23" s="47" customFormat="1" ht="16" x14ac:dyDescent="0.2">
      <c r="A144" s="5" t="s">
        <v>204</v>
      </c>
      <c r="B144" s="6" t="s">
        <v>36</v>
      </c>
      <c r="C144" s="6" t="s">
        <v>52</v>
      </c>
      <c r="D144" s="65" t="str">
        <f t="shared" si="8"/>
        <v>012_O_d</v>
      </c>
      <c r="E144">
        <v>124</v>
      </c>
      <c r="F144" t="s">
        <v>29</v>
      </c>
      <c r="G144" t="s">
        <v>216</v>
      </c>
      <c r="H144"/>
      <c r="I144">
        <v>3.3716930741378</v>
      </c>
      <c r="J144" s="82">
        <v>9.6999999999999993</v>
      </c>
      <c r="K144" s="82">
        <v>42.2</v>
      </c>
      <c r="L144" s="84">
        <v>17.899999999999999</v>
      </c>
      <c r="M144">
        <v>14.4</v>
      </c>
      <c r="N144" s="82">
        <v>29.2</v>
      </c>
      <c r="O144" s="44">
        <f t="shared" si="7"/>
        <v>9.9808392715756042</v>
      </c>
      <c r="P144">
        <f t="shared" si="9"/>
        <v>22.680000000000003</v>
      </c>
      <c r="Q144" s="111">
        <v>0.16800000000000001</v>
      </c>
      <c r="R144">
        <v>0.247</v>
      </c>
      <c r="S144" s="65">
        <v>22</v>
      </c>
      <c r="T144">
        <v>31</v>
      </c>
      <c r="U144" t="s">
        <v>217</v>
      </c>
      <c r="V144" t="s">
        <v>32</v>
      </c>
      <c r="W144"/>
    </row>
    <row r="145" spans="1:23" s="47" customFormat="1" ht="16" x14ac:dyDescent="0.2">
      <c r="A145" s="5" t="s">
        <v>204</v>
      </c>
      <c r="B145" s="6" t="s">
        <v>27</v>
      </c>
      <c r="C145" s="6" t="s">
        <v>52</v>
      </c>
      <c r="D145" s="65" t="str">
        <f t="shared" si="8"/>
        <v>012_S_d</v>
      </c>
      <c r="E145">
        <v>131</v>
      </c>
      <c r="F145" t="s">
        <v>41</v>
      </c>
      <c r="G145" t="s">
        <v>218</v>
      </c>
      <c r="H145" t="s">
        <v>56</v>
      </c>
      <c r="I145">
        <v>0</v>
      </c>
      <c r="J145" s="82">
        <v>1.1000000000000001</v>
      </c>
      <c r="K145" s="82">
        <v>1</v>
      </c>
      <c r="L145" s="84">
        <v>1</v>
      </c>
      <c r="M145">
        <v>1</v>
      </c>
      <c r="N145" s="82">
        <v>0.9</v>
      </c>
      <c r="O145" s="44">
        <f t="shared" si="7"/>
        <v>2.4390243902439068E-3</v>
      </c>
      <c r="P145">
        <f t="shared" si="9"/>
        <v>1</v>
      </c>
      <c r="Q145" s="111" t="s">
        <v>57</v>
      </c>
      <c r="R145" t="s">
        <v>57</v>
      </c>
      <c r="S145" s="65" t="s">
        <v>57</v>
      </c>
      <c r="T145" t="s">
        <v>57</v>
      </c>
      <c r="U145"/>
      <c r="V145" t="s">
        <v>32</v>
      </c>
      <c r="W145" t="s">
        <v>67</v>
      </c>
    </row>
    <row r="146" spans="1:23" s="47" customFormat="1" ht="16" x14ac:dyDescent="0.2">
      <c r="A146" s="5" t="s">
        <v>219</v>
      </c>
      <c r="B146" s="6" t="s">
        <v>36</v>
      </c>
      <c r="C146" s="6" t="s">
        <v>28</v>
      </c>
      <c r="D146" s="65" t="str">
        <f t="shared" si="8"/>
        <v>013_O_a</v>
      </c>
      <c r="E146">
        <v>16</v>
      </c>
      <c r="F146" t="s">
        <v>43</v>
      </c>
      <c r="G146" t="s">
        <v>220</v>
      </c>
      <c r="H146"/>
      <c r="I146">
        <v>4.0323407815729899</v>
      </c>
      <c r="J146" s="84">
        <v>7.4</v>
      </c>
      <c r="K146" s="82">
        <v>20.9</v>
      </c>
      <c r="L146" s="82">
        <v>24.8</v>
      </c>
      <c r="M146" s="82">
        <v>27.6</v>
      </c>
      <c r="N146" s="82">
        <v>34.700000000000003</v>
      </c>
      <c r="O146" s="44">
        <f t="shared" si="7"/>
        <v>3.9693928128872513</v>
      </c>
      <c r="P146">
        <f t="shared" si="9"/>
        <v>23.08</v>
      </c>
      <c r="Q146" s="111">
        <v>0.35099999999999998</v>
      </c>
      <c r="R146">
        <v>0.72099999999999997</v>
      </c>
      <c r="S146" s="65">
        <v>42</v>
      </c>
      <c r="T146">
        <v>48</v>
      </c>
      <c r="U146" s="47" t="s">
        <v>31</v>
      </c>
      <c r="V146" t="s">
        <v>32</v>
      </c>
      <c r="W146"/>
    </row>
    <row r="147" spans="1:23" x14ac:dyDescent="0.2">
      <c r="A147" s="5" t="s">
        <v>219</v>
      </c>
      <c r="B147" s="6" t="s">
        <v>27</v>
      </c>
      <c r="C147" s="6" t="s">
        <v>28</v>
      </c>
      <c r="D147" s="65" t="str">
        <f t="shared" si="8"/>
        <v>013_S_a</v>
      </c>
      <c r="E147">
        <v>29</v>
      </c>
      <c r="F147" t="s">
        <v>68</v>
      </c>
      <c r="G147" t="s">
        <v>221</v>
      </c>
      <c r="I147">
        <v>3.7036240090600199</v>
      </c>
      <c r="J147" s="43">
        <v>3.4</v>
      </c>
      <c r="K147" s="82">
        <v>17.100000000000001</v>
      </c>
      <c r="L147" s="82">
        <v>26.5</v>
      </c>
      <c r="M147" s="82">
        <v>30.4</v>
      </c>
      <c r="N147" s="82">
        <v>45.9</v>
      </c>
      <c r="O147" s="44">
        <f t="shared" si="7"/>
        <v>7.4537467700258357</v>
      </c>
      <c r="P147">
        <f t="shared" si="9"/>
        <v>24.660000000000004</v>
      </c>
      <c r="Q147" s="111">
        <v>0.17799999999999999</v>
      </c>
      <c r="R147">
        <v>0.48299999999999998</v>
      </c>
      <c r="S147" s="65">
        <v>36</v>
      </c>
      <c r="T147">
        <v>41</v>
      </c>
      <c r="U147" t="s">
        <v>51</v>
      </c>
      <c r="V147" t="s">
        <v>32</v>
      </c>
    </row>
    <row r="148" spans="1:23" x14ac:dyDescent="0.2">
      <c r="A148" s="2" t="s">
        <v>219</v>
      </c>
      <c r="B148" t="s">
        <v>33</v>
      </c>
      <c r="C148" t="s">
        <v>28</v>
      </c>
      <c r="D148" s="65" t="str">
        <f t="shared" si="8"/>
        <v>013_V_a</v>
      </c>
      <c r="E148">
        <v>33</v>
      </c>
      <c r="F148" t="s">
        <v>82</v>
      </c>
      <c r="G148" t="s">
        <v>222</v>
      </c>
      <c r="I148">
        <v>1.9512334018556601</v>
      </c>
      <c r="J148" s="82">
        <v>23.7</v>
      </c>
      <c r="K148" s="82">
        <v>37.1</v>
      </c>
      <c r="L148" s="82">
        <v>28.6</v>
      </c>
      <c r="M148" s="82">
        <v>31.4</v>
      </c>
      <c r="N148" s="82">
        <v>37.1</v>
      </c>
      <c r="O148" s="44">
        <f t="shared" si="7"/>
        <v>1.0359823399558412</v>
      </c>
      <c r="P148">
        <f t="shared" si="9"/>
        <v>31.580000000000002</v>
      </c>
      <c r="Q148" s="111">
        <v>0.18099999999999999</v>
      </c>
      <c r="R148">
        <v>0.45100000000000001</v>
      </c>
      <c r="S148" s="65">
        <v>17</v>
      </c>
      <c r="T148">
        <v>31</v>
      </c>
      <c r="U148" t="s">
        <v>31</v>
      </c>
      <c r="V148" t="s">
        <v>32</v>
      </c>
    </row>
    <row r="149" spans="1:23" x14ac:dyDescent="0.2">
      <c r="A149" s="5" t="s">
        <v>219</v>
      </c>
      <c r="B149" s="6" t="s">
        <v>27</v>
      </c>
      <c r="C149" s="6" t="s">
        <v>38</v>
      </c>
      <c r="D149" s="65" t="str">
        <f t="shared" si="8"/>
        <v>013_S_b</v>
      </c>
      <c r="E149">
        <v>49</v>
      </c>
      <c r="F149" t="s">
        <v>49</v>
      </c>
      <c r="G149" t="s">
        <v>223</v>
      </c>
      <c r="I149">
        <v>6.7032764845014299</v>
      </c>
      <c r="J149" s="82">
        <v>6.5</v>
      </c>
      <c r="K149" s="82">
        <v>21.5</v>
      </c>
      <c r="L149" s="82">
        <v>15.2</v>
      </c>
      <c r="M149" s="82">
        <v>35.4</v>
      </c>
      <c r="N149" s="82">
        <v>58.1</v>
      </c>
      <c r="O149" s="44">
        <f t="shared" si="7"/>
        <v>7.535368956743004</v>
      </c>
      <c r="P149">
        <f t="shared" si="9"/>
        <v>27.339999999999996</v>
      </c>
      <c r="Q149" s="111">
        <v>0.371</v>
      </c>
      <c r="R149">
        <v>0.79900000000000004</v>
      </c>
      <c r="S149" s="65">
        <v>25</v>
      </c>
      <c r="T149" s="43">
        <v>5</v>
      </c>
      <c r="U149" t="s">
        <v>54</v>
      </c>
      <c r="V149" t="s">
        <v>32</v>
      </c>
    </row>
    <row r="150" spans="1:23" x14ac:dyDescent="0.2">
      <c r="A150" s="2" t="s">
        <v>219</v>
      </c>
      <c r="B150" t="s">
        <v>33</v>
      </c>
      <c r="C150" t="s">
        <v>38</v>
      </c>
      <c r="D150" s="65" t="str">
        <f t="shared" si="8"/>
        <v>013_V_b</v>
      </c>
      <c r="E150">
        <v>57</v>
      </c>
      <c r="F150" t="s">
        <v>68</v>
      </c>
      <c r="G150" t="s">
        <v>224</v>
      </c>
      <c r="I150">
        <v>0</v>
      </c>
      <c r="J150" s="82">
        <v>10.1</v>
      </c>
      <c r="K150" s="82">
        <v>20.2</v>
      </c>
      <c r="L150" s="82">
        <v>32.9</v>
      </c>
      <c r="M150" s="82">
        <v>10.1</v>
      </c>
      <c r="N150" s="82">
        <v>18.100000000000001</v>
      </c>
      <c r="O150" s="44">
        <f t="shared" si="7"/>
        <v>6.389222373806275</v>
      </c>
      <c r="P150">
        <f t="shared" si="9"/>
        <v>18.28</v>
      </c>
      <c r="Q150" s="111">
        <v>0.108</v>
      </c>
      <c r="R150">
        <v>0.312</v>
      </c>
      <c r="S150" s="65">
        <v>11</v>
      </c>
      <c r="T150">
        <v>9</v>
      </c>
      <c r="U150" t="s">
        <v>31</v>
      </c>
      <c r="V150" t="s">
        <v>32</v>
      </c>
    </row>
    <row r="151" spans="1:23" x14ac:dyDescent="0.2">
      <c r="A151" s="5" t="s">
        <v>219</v>
      </c>
      <c r="B151" s="6" t="s">
        <v>36</v>
      </c>
      <c r="C151" s="6" t="s">
        <v>38</v>
      </c>
      <c r="D151" s="65" t="str">
        <f t="shared" si="8"/>
        <v>013_O_b</v>
      </c>
      <c r="E151">
        <v>61</v>
      </c>
      <c r="F151" t="s">
        <v>41</v>
      </c>
      <c r="G151" t="s">
        <v>225</v>
      </c>
      <c r="I151">
        <v>3.6372568618975598</v>
      </c>
      <c r="J151" s="82">
        <v>28.2</v>
      </c>
      <c r="K151" s="82">
        <v>29.5</v>
      </c>
      <c r="L151" s="82">
        <v>6.4</v>
      </c>
      <c r="M151" s="82">
        <v>7.7</v>
      </c>
      <c r="N151" s="82">
        <v>41.2</v>
      </c>
      <c r="O151" s="44">
        <f t="shared" si="7"/>
        <v>8.8566388115134558</v>
      </c>
      <c r="P151">
        <f t="shared" si="9"/>
        <v>22.6</v>
      </c>
      <c r="Q151" s="111">
        <v>0.245</v>
      </c>
      <c r="R151">
        <v>0.57599999999999996</v>
      </c>
      <c r="S151" s="65">
        <v>30</v>
      </c>
      <c r="T151">
        <v>46</v>
      </c>
      <c r="U151" t="s">
        <v>31</v>
      </c>
      <c r="V151" t="s">
        <v>32</v>
      </c>
    </row>
    <row r="152" spans="1:23" s="19" customFormat="1" x14ac:dyDescent="0.2">
      <c r="A152" s="17" t="s">
        <v>219</v>
      </c>
      <c r="B152" s="18" t="s">
        <v>27</v>
      </c>
      <c r="C152" s="18" t="s">
        <v>45</v>
      </c>
      <c r="D152" s="66" t="str">
        <f t="shared" si="8"/>
        <v>013_S_c</v>
      </c>
      <c r="E152" s="19">
        <v>85</v>
      </c>
      <c r="F152" s="19" t="s">
        <v>68</v>
      </c>
      <c r="G152" s="19" t="s">
        <v>226</v>
      </c>
      <c r="I152">
        <v>2.3102496773332102</v>
      </c>
      <c r="J152" s="83">
        <v>14.3</v>
      </c>
      <c r="K152" s="82">
        <v>7.5</v>
      </c>
      <c r="L152" s="82">
        <v>57.4</v>
      </c>
      <c r="M152" s="82">
        <v>27.5</v>
      </c>
      <c r="N152" s="82">
        <v>42.6</v>
      </c>
      <c r="O152" s="54">
        <f t="shared" si="7"/>
        <v>18.313370821618239</v>
      </c>
      <c r="P152">
        <f t="shared" si="9"/>
        <v>29.860000000000003</v>
      </c>
      <c r="Q152" s="112">
        <v>0.14599999999999999</v>
      </c>
      <c r="R152" s="19">
        <v>0.32600000000000001</v>
      </c>
      <c r="S152" s="66">
        <v>23</v>
      </c>
      <c r="T152" s="19">
        <v>11</v>
      </c>
      <c r="U152" s="19" t="s">
        <v>72</v>
      </c>
      <c r="V152" t="s">
        <v>32</v>
      </c>
      <c r="W152"/>
    </row>
    <row r="153" spans="1:23" x14ac:dyDescent="0.2">
      <c r="A153" s="5" t="s">
        <v>219</v>
      </c>
      <c r="B153" s="6" t="s">
        <v>33</v>
      </c>
      <c r="C153" s="6" t="s">
        <v>45</v>
      </c>
      <c r="D153" s="65" t="str">
        <f t="shared" si="8"/>
        <v>013_V_c</v>
      </c>
      <c r="E153">
        <v>88</v>
      </c>
      <c r="F153" t="s">
        <v>63</v>
      </c>
      <c r="G153" t="s">
        <v>227</v>
      </c>
      <c r="I153">
        <v>2.70850649192468</v>
      </c>
      <c r="J153" s="82">
        <v>44.7</v>
      </c>
      <c r="L153" s="82">
        <v>23.1</v>
      </c>
      <c r="M153" s="82">
        <v>19.5</v>
      </c>
      <c r="N153" s="82">
        <v>45.2</v>
      </c>
      <c r="O153" s="44">
        <f t="shared" si="7"/>
        <v>6.3835051546391659</v>
      </c>
      <c r="P153">
        <f t="shared" si="9"/>
        <v>33.125</v>
      </c>
      <c r="Q153" s="111">
        <v>0.33800000000000002</v>
      </c>
      <c r="R153">
        <v>0.48499999999999999</v>
      </c>
      <c r="S153" s="65">
        <v>43</v>
      </c>
      <c r="T153">
        <v>101</v>
      </c>
      <c r="U153" t="s">
        <v>72</v>
      </c>
      <c r="V153" t="s">
        <v>32</v>
      </c>
    </row>
    <row r="154" spans="1:23" x14ac:dyDescent="0.2">
      <c r="A154" s="5" t="s">
        <v>219</v>
      </c>
      <c r="B154" s="6" t="s">
        <v>36</v>
      </c>
      <c r="C154" s="6" t="s">
        <v>45</v>
      </c>
      <c r="D154" s="65" t="str">
        <f t="shared" si="8"/>
        <v>013_O_c</v>
      </c>
      <c r="E154">
        <v>97</v>
      </c>
      <c r="F154" t="s">
        <v>82</v>
      </c>
      <c r="G154" t="s">
        <v>228</v>
      </c>
      <c r="I154">
        <v>3.4703857566765599</v>
      </c>
      <c r="J154" s="82">
        <v>38.1</v>
      </c>
      <c r="K154" s="82">
        <v>33.6</v>
      </c>
      <c r="L154" s="82">
        <v>39</v>
      </c>
      <c r="M154">
        <v>37.1</v>
      </c>
      <c r="N154" s="82">
        <v>40.6</v>
      </c>
      <c r="O154" s="44">
        <f t="shared" si="7"/>
        <v>0.15128552097428954</v>
      </c>
      <c r="P154">
        <f t="shared" si="9"/>
        <v>37.68</v>
      </c>
      <c r="Q154" s="111">
        <v>0.184</v>
      </c>
      <c r="R154">
        <v>0.35399999999999998</v>
      </c>
      <c r="S154" s="65">
        <v>20</v>
      </c>
      <c r="T154">
        <v>46</v>
      </c>
      <c r="U154" t="s">
        <v>72</v>
      </c>
      <c r="V154" t="s">
        <v>32</v>
      </c>
    </row>
    <row r="155" spans="1:23" x14ac:dyDescent="0.2">
      <c r="A155" s="5" t="s">
        <v>219</v>
      </c>
      <c r="B155" s="6" t="s">
        <v>33</v>
      </c>
      <c r="C155" s="6" t="s">
        <v>52</v>
      </c>
      <c r="D155" s="65" t="str">
        <f t="shared" si="8"/>
        <v>013_V_d</v>
      </c>
      <c r="E155">
        <v>117</v>
      </c>
      <c r="F155" t="s">
        <v>70</v>
      </c>
      <c r="G155" t="s">
        <v>229</v>
      </c>
      <c r="I155">
        <v>5.1408841720550997</v>
      </c>
      <c r="J155" s="82">
        <v>32.9</v>
      </c>
      <c r="K155" s="82">
        <v>28.1</v>
      </c>
      <c r="L155" s="82">
        <v>36.4</v>
      </c>
      <c r="M155">
        <v>22</v>
      </c>
      <c r="N155" s="82">
        <v>13.4</v>
      </c>
      <c r="O155" s="44">
        <f t="shared" si="7"/>
        <v>1.3053042992741419</v>
      </c>
      <c r="P155">
        <f t="shared" si="9"/>
        <v>26.560000000000002</v>
      </c>
      <c r="Q155" s="111">
        <v>0.371</v>
      </c>
      <c r="R155">
        <v>0.65100000000000002</v>
      </c>
      <c r="S155" s="65">
        <v>17</v>
      </c>
      <c r="T155">
        <v>118</v>
      </c>
      <c r="U155" t="s">
        <v>72</v>
      </c>
      <c r="V155" t="s">
        <v>32</v>
      </c>
    </row>
    <row r="156" spans="1:23" ht="16" x14ac:dyDescent="0.2">
      <c r="A156" s="5" t="s">
        <v>219</v>
      </c>
      <c r="B156" s="6" t="s">
        <v>27</v>
      </c>
      <c r="C156" s="6" t="s">
        <v>52</v>
      </c>
      <c r="D156" s="65" t="str">
        <f t="shared" si="8"/>
        <v>013_S_d</v>
      </c>
      <c r="E156">
        <v>132</v>
      </c>
      <c r="F156" t="s">
        <v>29</v>
      </c>
      <c r="G156" t="s">
        <v>230</v>
      </c>
      <c r="I156">
        <v>3.1557121571117999</v>
      </c>
      <c r="J156" s="82">
        <v>56.3</v>
      </c>
      <c r="K156" s="82">
        <v>57</v>
      </c>
      <c r="L156" s="84">
        <v>69.3</v>
      </c>
      <c r="M156">
        <v>40.1</v>
      </c>
      <c r="N156" s="82">
        <v>54.3</v>
      </c>
      <c r="O156" s="44">
        <f t="shared" si="7"/>
        <v>2.5766651698847602</v>
      </c>
      <c r="P156">
        <f t="shared" si="9"/>
        <v>55.4</v>
      </c>
      <c r="Q156" s="111">
        <v>0.35199999999999998</v>
      </c>
      <c r="R156">
        <v>0.67400000000000004</v>
      </c>
      <c r="S156" s="65">
        <v>22</v>
      </c>
      <c r="T156">
        <v>86</v>
      </c>
      <c r="U156" t="s">
        <v>47</v>
      </c>
      <c r="V156" t="s">
        <v>32</v>
      </c>
    </row>
    <row r="157" spans="1:23" ht="16" x14ac:dyDescent="0.2">
      <c r="A157" s="5" t="s">
        <v>219</v>
      </c>
      <c r="B157" s="6" t="s">
        <v>36</v>
      </c>
      <c r="C157" s="6" t="s">
        <v>52</v>
      </c>
      <c r="D157" s="65" t="str">
        <f t="shared" si="8"/>
        <v>013_O_d</v>
      </c>
      <c r="E157">
        <v>142</v>
      </c>
      <c r="F157" t="s">
        <v>43</v>
      </c>
      <c r="G157" t="s">
        <v>231</v>
      </c>
      <c r="I157">
        <v>4.8605845680103004</v>
      </c>
      <c r="J157" s="82">
        <v>47.3</v>
      </c>
      <c r="K157" s="82">
        <v>40.700000000000003</v>
      </c>
      <c r="L157" s="84">
        <v>55.9</v>
      </c>
      <c r="M157" s="82">
        <v>45</v>
      </c>
      <c r="N157" s="82">
        <v>47.6</v>
      </c>
      <c r="O157" s="44">
        <f t="shared" si="7"/>
        <v>0.86668431268749146</v>
      </c>
      <c r="P157">
        <f t="shared" si="9"/>
        <v>47.3</v>
      </c>
      <c r="Q157" s="111">
        <v>0.48</v>
      </c>
      <c r="R157">
        <v>0.60599999999999998</v>
      </c>
      <c r="S157" s="65">
        <v>24</v>
      </c>
      <c r="T157">
        <v>44</v>
      </c>
      <c r="U157" t="s">
        <v>51</v>
      </c>
      <c r="V157" t="s">
        <v>32</v>
      </c>
    </row>
    <row r="158" spans="1:23" x14ac:dyDescent="0.2">
      <c r="A158" s="2" t="s">
        <v>232</v>
      </c>
      <c r="B158" t="s">
        <v>33</v>
      </c>
      <c r="C158" t="s">
        <v>28</v>
      </c>
      <c r="D158" s="65" t="str">
        <f t="shared" si="8"/>
        <v>014_V_a</v>
      </c>
      <c r="E158">
        <v>23</v>
      </c>
      <c r="F158" t="s">
        <v>39</v>
      </c>
      <c r="G158" t="s">
        <v>233</v>
      </c>
      <c r="I158">
        <v>4.1763288372340996</v>
      </c>
      <c r="J158" s="82">
        <v>2.4</v>
      </c>
      <c r="K158" s="82">
        <v>3.5</v>
      </c>
      <c r="L158" s="82">
        <v>19.899999999999999</v>
      </c>
      <c r="M158" s="82">
        <v>19.600000000000001</v>
      </c>
      <c r="N158" s="82">
        <v>22.2</v>
      </c>
      <c r="O158" s="44">
        <f t="shared" si="7"/>
        <v>8.3080763582966259</v>
      </c>
      <c r="P158">
        <f t="shared" si="9"/>
        <v>13.52</v>
      </c>
      <c r="Q158" s="111">
        <v>0.185</v>
      </c>
      <c r="R158">
        <v>0.373</v>
      </c>
      <c r="S158" s="65">
        <v>12</v>
      </c>
      <c r="T158" s="43">
        <v>48</v>
      </c>
      <c r="U158" t="s">
        <v>31</v>
      </c>
      <c r="V158" t="s">
        <v>32</v>
      </c>
    </row>
    <row r="159" spans="1:23" x14ac:dyDescent="0.2">
      <c r="A159" s="58" t="s">
        <v>232</v>
      </c>
      <c r="B159" s="59" t="s">
        <v>27</v>
      </c>
      <c r="C159" s="59" t="s">
        <v>28</v>
      </c>
      <c r="D159" s="68" t="str">
        <f t="shared" si="8"/>
        <v>014_S_a</v>
      </c>
      <c r="E159" s="43">
        <v>23</v>
      </c>
      <c r="F159" s="43" t="s">
        <v>82</v>
      </c>
      <c r="G159" s="43" t="s">
        <v>234</v>
      </c>
      <c r="H159" s="43"/>
      <c r="I159">
        <v>3.8183025003998501</v>
      </c>
      <c r="J159" s="82">
        <v>2.5</v>
      </c>
      <c r="K159" s="82">
        <v>36.799999999999997</v>
      </c>
      <c r="L159" s="82">
        <v>43.2</v>
      </c>
      <c r="M159" s="82">
        <v>46.6</v>
      </c>
      <c r="N159" s="82">
        <v>41.3</v>
      </c>
      <c r="O159" s="56">
        <f t="shared" si="7"/>
        <v>12.719726310353737</v>
      </c>
      <c r="P159" s="43">
        <f t="shared" si="9"/>
        <v>34.08</v>
      </c>
      <c r="Q159" s="114">
        <v>0.25</v>
      </c>
      <c r="R159" s="43">
        <v>0.38300000000000001</v>
      </c>
      <c r="S159" s="68">
        <v>1</v>
      </c>
      <c r="T159" s="43">
        <v>5</v>
      </c>
      <c r="U159" t="s">
        <v>31</v>
      </c>
      <c r="V159" t="s">
        <v>32</v>
      </c>
      <c r="W159" s="43"/>
    </row>
    <row r="160" spans="1:23" x14ac:dyDescent="0.2">
      <c r="A160" s="5" t="s">
        <v>232</v>
      </c>
      <c r="B160" s="6" t="s">
        <v>36</v>
      </c>
      <c r="C160" s="6" t="s">
        <v>28</v>
      </c>
      <c r="D160" s="65" t="str">
        <f t="shared" si="8"/>
        <v>014_O_a</v>
      </c>
      <c r="E160">
        <v>33</v>
      </c>
      <c r="F160" t="s">
        <v>63</v>
      </c>
      <c r="G160" t="s">
        <v>235</v>
      </c>
      <c r="I160">
        <v>2.7599616645369198</v>
      </c>
      <c r="J160" s="82">
        <v>4.2</v>
      </c>
      <c r="K160" s="82">
        <v>6.8</v>
      </c>
      <c r="L160" s="82">
        <v>20.399999999999999</v>
      </c>
      <c r="M160" s="82">
        <v>32.700000000000003</v>
      </c>
      <c r="N160" s="82">
        <v>41.1</v>
      </c>
      <c r="O160" s="44">
        <f t="shared" si="7"/>
        <v>10.860686427457106</v>
      </c>
      <c r="P160">
        <f t="shared" si="9"/>
        <v>21.04</v>
      </c>
      <c r="Q160" s="111">
        <v>0.10199999999999999</v>
      </c>
      <c r="R160">
        <v>0.23300000000000001</v>
      </c>
      <c r="S160" s="65">
        <v>12</v>
      </c>
      <c r="T160">
        <v>29</v>
      </c>
      <c r="U160" t="s">
        <v>31</v>
      </c>
      <c r="V160" t="s">
        <v>32</v>
      </c>
    </row>
    <row r="161" spans="1:23" x14ac:dyDescent="0.2">
      <c r="A161" s="5" t="s">
        <v>232</v>
      </c>
      <c r="B161" s="6" t="s">
        <v>27</v>
      </c>
      <c r="C161" s="6" t="s">
        <v>38</v>
      </c>
      <c r="D161" s="65" t="str">
        <f t="shared" si="8"/>
        <v>014_S_b</v>
      </c>
      <c r="E161">
        <v>46</v>
      </c>
      <c r="F161" t="s">
        <v>29</v>
      </c>
      <c r="G161" t="s">
        <v>236</v>
      </c>
      <c r="I161">
        <v>5.4669483022654104</v>
      </c>
      <c r="J161" s="83">
        <v>14.2</v>
      </c>
      <c r="K161" s="82">
        <v>12.5</v>
      </c>
      <c r="L161" s="82">
        <v>14.3</v>
      </c>
      <c r="M161" s="82">
        <v>20.7</v>
      </c>
      <c r="N161" s="82">
        <v>23.6</v>
      </c>
      <c r="O161" s="44">
        <f t="shared" si="7"/>
        <v>0.84597514856833722</v>
      </c>
      <c r="P161">
        <f t="shared" si="9"/>
        <v>17.060000000000002</v>
      </c>
      <c r="Q161" s="111">
        <v>0.23400000000000001</v>
      </c>
      <c r="R161">
        <v>0.35</v>
      </c>
      <c r="S161" s="65">
        <v>14</v>
      </c>
      <c r="T161" s="43">
        <v>68</v>
      </c>
      <c r="U161" t="s">
        <v>31</v>
      </c>
      <c r="V161" t="s">
        <v>32</v>
      </c>
    </row>
    <row r="162" spans="1:23" s="19" customFormat="1" x14ac:dyDescent="0.2">
      <c r="A162" s="17" t="s">
        <v>232</v>
      </c>
      <c r="B162" s="18" t="s">
        <v>36</v>
      </c>
      <c r="C162" s="18" t="s">
        <v>38</v>
      </c>
      <c r="D162" s="66" t="str">
        <f t="shared" si="8"/>
        <v>014_O_b</v>
      </c>
      <c r="E162" s="19">
        <v>47</v>
      </c>
      <c r="F162" s="19" t="s">
        <v>43</v>
      </c>
      <c r="G162" s="19" t="s">
        <v>237</v>
      </c>
      <c r="I162">
        <v>3.46192551602556</v>
      </c>
      <c r="J162" s="82">
        <v>37.200000000000003</v>
      </c>
      <c r="K162" s="82">
        <v>22.1</v>
      </c>
      <c r="L162" s="82">
        <v>25.2</v>
      </c>
      <c r="M162" s="82">
        <v>28.3</v>
      </c>
      <c r="N162" s="82">
        <v>24.7</v>
      </c>
      <c r="O162" s="54">
        <f t="shared" si="7"/>
        <v>1.5037825059101633</v>
      </c>
      <c r="P162">
        <f t="shared" si="9"/>
        <v>27.5</v>
      </c>
      <c r="Q162" s="112">
        <v>0.26800000000000002</v>
      </c>
      <c r="R162" s="19">
        <v>0.22800000000000001</v>
      </c>
      <c r="S162" s="66">
        <v>18</v>
      </c>
      <c r="T162" s="106">
        <v>29</v>
      </c>
      <c r="U162" s="19" t="s">
        <v>54</v>
      </c>
      <c r="V162" t="s">
        <v>32</v>
      </c>
    </row>
    <row r="163" spans="1:23" x14ac:dyDescent="0.2">
      <c r="A163" s="2" t="s">
        <v>232</v>
      </c>
      <c r="B163" t="s">
        <v>33</v>
      </c>
      <c r="C163" t="s">
        <v>38</v>
      </c>
      <c r="D163" s="65" t="str">
        <f t="shared" si="8"/>
        <v>014_V_b</v>
      </c>
      <c r="E163">
        <v>55</v>
      </c>
      <c r="F163" t="s">
        <v>29</v>
      </c>
      <c r="G163" t="s">
        <v>238</v>
      </c>
      <c r="I163">
        <v>3.8491927385090801</v>
      </c>
      <c r="J163" s="82">
        <v>2.8</v>
      </c>
      <c r="K163" s="82">
        <v>19.8</v>
      </c>
      <c r="L163" s="82">
        <v>38.5</v>
      </c>
      <c r="M163" s="82">
        <v>35.1</v>
      </c>
      <c r="N163" s="82">
        <v>37.200000000000003</v>
      </c>
      <c r="O163" s="44">
        <f t="shared" ref="O163:O226" si="10">VAR(J163:M163)/AVERAGE(J163:M163)</f>
        <v>11.095356895356899</v>
      </c>
      <c r="P163">
        <f t="shared" si="9"/>
        <v>26.68</v>
      </c>
      <c r="Q163" s="111">
        <v>0.156</v>
      </c>
      <c r="R163">
        <v>0.36699999999999999</v>
      </c>
      <c r="S163" s="65">
        <v>29</v>
      </c>
      <c r="T163">
        <v>18</v>
      </c>
      <c r="U163" t="s">
        <v>31</v>
      </c>
      <c r="V163" t="s">
        <v>32</v>
      </c>
    </row>
    <row r="164" spans="1:23" x14ac:dyDescent="0.2">
      <c r="A164" s="5" t="s">
        <v>232</v>
      </c>
      <c r="B164" s="6" t="s">
        <v>33</v>
      </c>
      <c r="C164" s="6" t="s">
        <v>45</v>
      </c>
      <c r="D164" s="65" t="str">
        <f t="shared" si="8"/>
        <v>014_V_c</v>
      </c>
      <c r="E164">
        <v>103</v>
      </c>
      <c r="F164" t="s">
        <v>41</v>
      </c>
      <c r="G164" t="s">
        <v>239</v>
      </c>
      <c r="I164">
        <v>1.46166979506827</v>
      </c>
      <c r="J164" s="82">
        <v>13.4</v>
      </c>
      <c r="K164" s="82">
        <v>35.200000000000003</v>
      </c>
      <c r="L164" s="82">
        <v>33.1</v>
      </c>
      <c r="M164">
        <v>27.6</v>
      </c>
      <c r="N164" s="82">
        <v>12.9</v>
      </c>
      <c r="O164" s="44">
        <f t="shared" si="10"/>
        <v>3.5297041781030778</v>
      </c>
      <c r="P164">
        <f t="shared" si="9"/>
        <v>24.440000000000005</v>
      </c>
      <c r="Q164" s="111">
        <v>0.16200000000000001</v>
      </c>
      <c r="R164">
        <v>0.33</v>
      </c>
      <c r="S164" s="65">
        <v>8</v>
      </c>
      <c r="T164">
        <v>41</v>
      </c>
      <c r="U164" t="s">
        <v>72</v>
      </c>
      <c r="V164" t="s">
        <v>32</v>
      </c>
    </row>
    <row r="165" spans="1:23" s="47" customFormat="1" x14ac:dyDescent="0.2">
      <c r="A165" s="5" t="s">
        <v>232</v>
      </c>
      <c r="B165" s="6" t="s">
        <v>27</v>
      </c>
      <c r="C165" s="6" t="s">
        <v>45</v>
      </c>
      <c r="D165" s="65" t="str">
        <f t="shared" si="8"/>
        <v>014_S_c</v>
      </c>
      <c r="E165">
        <v>106</v>
      </c>
      <c r="F165" t="s">
        <v>29</v>
      </c>
      <c r="G165" t="s">
        <v>240</v>
      </c>
      <c r="H165"/>
      <c r="I165">
        <v>3.6640143129279701</v>
      </c>
      <c r="J165" s="82">
        <v>18.7</v>
      </c>
      <c r="K165" s="82">
        <v>22.2</v>
      </c>
      <c r="L165" s="82">
        <v>28.7</v>
      </c>
      <c r="M165">
        <v>27.2</v>
      </c>
      <c r="N165" s="82">
        <v>41</v>
      </c>
      <c r="O165" s="44">
        <f t="shared" si="10"/>
        <v>0.8746556473829139</v>
      </c>
      <c r="P165">
        <f t="shared" si="9"/>
        <v>27.560000000000002</v>
      </c>
      <c r="Q165" s="111">
        <v>0.52200000000000002</v>
      </c>
      <c r="R165">
        <v>0.71199999999999997</v>
      </c>
      <c r="S165" s="65">
        <v>55</v>
      </c>
      <c r="T165">
        <v>47</v>
      </c>
      <c r="U165" t="s">
        <v>72</v>
      </c>
      <c r="V165" t="s">
        <v>32</v>
      </c>
      <c r="W165"/>
    </row>
    <row r="166" spans="1:23" s="47" customFormat="1" x14ac:dyDescent="0.2">
      <c r="A166" s="5" t="s">
        <v>232</v>
      </c>
      <c r="B166" s="6" t="s">
        <v>36</v>
      </c>
      <c r="C166" s="6" t="s">
        <v>45</v>
      </c>
      <c r="D166" s="65" t="str">
        <f t="shared" si="8"/>
        <v>014_O_c</v>
      </c>
      <c r="E166">
        <v>108</v>
      </c>
      <c r="F166" t="s">
        <v>29</v>
      </c>
      <c r="G166" t="s">
        <v>241</v>
      </c>
      <c r="H166"/>
      <c r="I166">
        <v>3.64821388452033</v>
      </c>
      <c r="J166" s="82">
        <v>41.5</v>
      </c>
      <c r="K166" s="82">
        <v>19.2</v>
      </c>
      <c r="L166" s="82">
        <v>45.2</v>
      </c>
      <c r="M166">
        <v>28.6</v>
      </c>
      <c r="N166" s="82">
        <v>32.700000000000003</v>
      </c>
      <c r="O166" s="44">
        <f t="shared" si="10"/>
        <v>4.2560346964064468</v>
      </c>
      <c r="P166">
        <f t="shared" si="9"/>
        <v>33.44</v>
      </c>
      <c r="Q166" s="111">
        <v>0.28899999999999998</v>
      </c>
      <c r="R166">
        <v>0.39800000000000002</v>
      </c>
      <c r="S166" s="65">
        <v>1</v>
      </c>
      <c r="T166">
        <v>48</v>
      </c>
      <c r="U166" t="s">
        <v>47</v>
      </c>
      <c r="V166" t="s">
        <v>32</v>
      </c>
      <c r="W166"/>
    </row>
    <row r="167" spans="1:23" x14ac:dyDescent="0.2">
      <c r="A167" s="5" t="s">
        <v>232</v>
      </c>
      <c r="B167" s="6" t="s">
        <v>33</v>
      </c>
      <c r="C167" s="6" t="s">
        <v>52</v>
      </c>
      <c r="D167" s="65" t="str">
        <f t="shared" si="8"/>
        <v>014_V_d</v>
      </c>
      <c r="E167">
        <v>109</v>
      </c>
      <c r="F167" t="s">
        <v>82</v>
      </c>
      <c r="G167" t="s">
        <v>242</v>
      </c>
      <c r="I167">
        <v>2.79899155566391</v>
      </c>
      <c r="J167" s="82">
        <v>11.2</v>
      </c>
      <c r="K167" s="82">
        <v>41</v>
      </c>
      <c r="L167" s="82">
        <v>22.7</v>
      </c>
      <c r="M167">
        <v>2.2999999999999998</v>
      </c>
      <c r="N167" s="82">
        <v>31.8</v>
      </c>
      <c r="O167" s="44">
        <f t="shared" si="10"/>
        <v>14.456994818652849</v>
      </c>
      <c r="P167">
        <f t="shared" si="9"/>
        <v>21.8</v>
      </c>
      <c r="Q167" s="111">
        <v>0.28000000000000003</v>
      </c>
      <c r="R167">
        <v>0.376</v>
      </c>
      <c r="S167" s="65">
        <v>26</v>
      </c>
      <c r="T167">
        <v>52</v>
      </c>
      <c r="U167" t="s">
        <v>54</v>
      </c>
      <c r="V167" t="s">
        <v>32</v>
      </c>
    </row>
    <row r="168" spans="1:23" x14ac:dyDescent="0.2">
      <c r="A168" s="5" t="s">
        <v>232</v>
      </c>
      <c r="B168" s="6" t="s">
        <v>36</v>
      </c>
      <c r="C168" s="6" t="s">
        <v>52</v>
      </c>
      <c r="D168" s="65" t="str">
        <f t="shared" si="8"/>
        <v>014_O_d</v>
      </c>
      <c r="E168">
        <v>111</v>
      </c>
      <c r="F168" t="s">
        <v>29</v>
      </c>
      <c r="G168" t="s">
        <v>243</v>
      </c>
      <c r="I168">
        <v>4.87236530378296</v>
      </c>
      <c r="J168" s="82">
        <v>37.9</v>
      </c>
      <c r="K168" s="82">
        <v>30</v>
      </c>
      <c r="L168" s="82">
        <v>45.4</v>
      </c>
      <c r="M168">
        <v>43.7</v>
      </c>
      <c r="N168" s="82">
        <v>26.6</v>
      </c>
      <c r="O168" s="44">
        <f t="shared" si="10"/>
        <v>1.2315074309978786</v>
      </c>
      <c r="P168">
        <f t="shared" si="9"/>
        <v>36.72</v>
      </c>
      <c r="Q168" s="111">
        <v>0.433</v>
      </c>
      <c r="R168">
        <v>0.70499999999999996</v>
      </c>
      <c r="S168" s="65">
        <v>22</v>
      </c>
      <c r="T168">
        <v>62</v>
      </c>
      <c r="U168" t="s">
        <v>54</v>
      </c>
      <c r="V168" t="s">
        <v>32</v>
      </c>
    </row>
    <row r="169" spans="1:23" ht="16" x14ac:dyDescent="0.2">
      <c r="A169" s="5" t="s">
        <v>232</v>
      </c>
      <c r="B169" s="6" t="s">
        <v>27</v>
      </c>
      <c r="C169" s="6" t="s">
        <v>52</v>
      </c>
      <c r="D169" s="65" t="str">
        <f t="shared" si="8"/>
        <v>014_S_d</v>
      </c>
      <c r="E169">
        <v>138</v>
      </c>
      <c r="F169" t="s">
        <v>43</v>
      </c>
      <c r="G169" t="s">
        <v>244</v>
      </c>
      <c r="H169" t="s">
        <v>56</v>
      </c>
      <c r="I169">
        <v>0</v>
      </c>
      <c r="J169" s="81"/>
      <c r="K169" s="82">
        <v>1</v>
      </c>
      <c r="L169" s="84">
        <v>1</v>
      </c>
      <c r="M169" s="82">
        <v>1</v>
      </c>
      <c r="N169" s="82">
        <v>0.9</v>
      </c>
      <c r="O169" s="44">
        <f t="shared" si="10"/>
        <v>0</v>
      </c>
      <c r="P169">
        <f t="shared" si="9"/>
        <v>0.97499999999999998</v>
      </c>
      <c r="Q169" s="111" t="s">
        <v>57</v>
      </c>
      <c r="R169" t="s">
        <v>57</v>
      </c>
      <c r="S169" s="65" t="s">
        <v>57</v>
      </c>
      <c r="T169" t="s">
        <v>57</v>
      </c>
      <c r="V169" t="s">
        <v>32</v>
      </c>
      <c r="W169" t="s">
        <v>67</v>
      </c>
    </row>
    <row r="170" spans="1:23" ht="16" x14ac:dyDescent="0.2">
      <c r="A170" s="5" t="s">
        <v>245</v>
      </c>
      <c r="B170" s="6" t="s">
        <v>36</v>
      </c>
      <c r="C170" s="6" t="s">
        <v>28</v>
      </c>
      <c r="D170" s="65" t="str">
        <f t="shared" si="8"/>
        <v>015_O_a</v>
      </c>
      <c r="E170">
        <v>1</v>
      </c>
      <c r="F170" t="s">
        <v>34</v>
      </c>
      <c r="G170" t="s">
        <v>246</v>
      </c>
      <c r="I170">
        <v>2.2934457794208298</v>
      </c>
      <c r="J170" s="84">
        <v>24.7</v>
      </c>
      <c r="K170" s="82">
        <v>25.2</v>
      </c>
      <c r="L170" s="82">
        <v>8.6</v>
      </c>
      <c r="M170" s="82">
        <v>11.5</v>
      </c>
      <c r="N170" s="82">
        <v>23.8</v>
      </c>
      <c r="O170" s="44">
        <f t="shared" si="10"/>
        <v>4.3112380952380942</v>
      </c>
      <c r="P170">
        <f t="shared" si="9"/>
        <v>18.759999999999998</v>
      </c>
      <c r="Q170" s="111">
        <v>0.17599999999999999</v>
      </c>
      <c r="R170">
        <v>0.32100000000000001</v>
      </c>
      <c r="S170" s="65">
        <v>6</v>
      </c>
      <c r="T170">
        <v>47</v>
      </c>
      <c r="U170" t="s">
        <v>31</v>
      </c>
      <c r="V170" t="s">
        <v>32</v>
      </c>
    </row>
    <row r="171" spans="1:23" s="47" customFormat="1" ht="16" x14ac:dyDescent="0.2">
      <c r="A171" s="2" t="s">
        <v>245</v>
      </c>
      <c r="B171" t="s">
        <v>33</v>
      </c>
      <c r="C171" t="s">
        <v>28</v>
      </c>
      <c r="D171" s="65" t="str">
        <f t="shared" si="8"/>
        <v>015_V_a</v>
      </c>
      <c r="E171">
        <v>18</v>
      </c>
      <c r="F171" t="s">
        <v>49</v>
      </c>
      <c r="G171" t="s">
        <v>247</v>
      </c>
      <c r="H171"/>
      <c r="I171">
        <v>2.6675842589046299</v>
      </c>
      <c r="J171" s="108">
        <v>1.6</v>
      </c>
      <c r="K171" s="82">
        <v>3.9</v>
      </c>
      <c r="L171" s="82">
        <v>31.1</v>
      </c>
      <c r="M171" s="82">
        <v>18.100000000000001</v>
      </c>
      <c r="N171" s="82">
        <v>7.7</v>
      </c>
      <c r="O171" s="44">
        <f t="shared" si="10"/>
        <v>13.761547836684949</v>
      </c>
      <c r="P171">
        <f t="shared" si="9"/>
        <v>12.48</v>
      </c>
      <c r="Q171" s="111">
        <v>0.23899999999999999</v>
      </c>
      <c r="R171">
        <v>0.36599999999999999</v>
      </c>
      <c r="S171" s="65">
        <v>26</v>
      </c>
      <c r="T171">
        <v>32</v>
      </c>
      <c r="U171" t="s">
        <v>51</v>
      </c>
      <c r="V171" t="s">
        <v>32</v>
      </c>
      <c r="W171"/>
    </row>
    <row r="172" spans="1:23" s="19" customFormat="1" x14ac:dyDescent="0.2">
      <c r="A172" s="17" t="s">
        <v>245</v>
      </c>
      <c r="B172" s="18" t="s">
        <v>27</v>
      </c>
      <c r="C172" s="18" t="s">
        <v>28</v>
      </c>
      <c r="D172" s="66" t="str">
        <f t="shared" si="8"/>
        <v>015_S_a</v>
      </c>
      <c r="E172" s="19">
        <v>19</v>
      </c>
      <c r="F172" s="19" t="s">
        <v>43</v>
      </c>
      <c r="G172" s="19" t="s">
        <v>248</v>
      </c>
      <c r="I172">
        <v>7.0084011651648401</v>
      </c>
      <c r="J172" s="83">
        <v>27.6</v>
      </c>
      <c r="K172" s="82">
        <v>44.2</v>
      </c>
      <c r="L172" s="82">
        <v>5.8</v>
      </c>
      <c r="M172" s="82">
        <v>34.6</v>
      </c>
      <c r="N172" s="82">
        <v>37.9</v>
      </c>
      <c r="O172" s="54">
        <f t="shared" si="10"/>
        <v>9.4948306595365377</v>
      </c>
      <c r="P172">
        <f t="shared" si="9"/>
        <v>30.020000000000003</v>
      </c>
      <c r="Q172" s="112">
        <v>1E-3</v>
      </c>
      <c r="R172" s="19">
        <v>0.50700000000000001</v>
      </c>
      <c r="S172" s="66">
        <v>24</v>
      </c>
      <c r="T172" s="19">
        <v>35</v>
      </c>
      <c r="U172" s="19" t="s">
        <v>31</v>
      </c>
      <c r="V172" t="s">
        <v>32</v>
      </c>
    </row>
    <row r="173" spans="1:23" x14ac:dyDescent="0.2">
      <c r="A173" s="5" t="s">
        <v>245</v>
      </c>
      <c r="B173" s="6" t="s">
        <v>36</v>
      </c>
      <c r="C173" s="6" t="s">
        <v>38</v>
      </c>
      <c r="D173" s="65" t="str">
        <f t="shared" si="8"/>
        <v>015_O_b</v>
      </c>
      <c r="E173">
        <v>62</v>
      </c>
      <c r="F173" t="s">
        <v>41</v>
      </c>
      <c r="G173" t="s">
        <v>249</v>
      </c>
      <c r="I173">
        <v>2.5934330347227399</v>
      </c>
      <c r="J173" s="82">
        <v>3.9</v>
      </c>
      <c r="K173" s="82">
        <v>31.7</v>
      </c>
      <c r="L173" s="82">
        <v>29.7</v>
      </c>
      <c r="M173" s="82">
        <v>42.2</v>
      </c>
      <c r="N173" s="82">
        <v>48.8</v>
      </c>
      <c r="O173" s="44">
        <f t="shared" si="10"/>
        <v>9.8476589147286848</v>
      </c>
      <c r="P173">
        <f t="shared" si="9"/>
        <v>31.26</v>
      </c>
      <c r="Q173" s="111">
        <v>0.17100000000000001</v>
      </c>
      <c r="R173">
        <v>0.38700000000000001</v>
      </c>
      <c r="S173" s="65">
        <v>18</v>
      </c>
      <c r="T173">
        <v>18</v>
      </c>
      <c r="U173" t="s">
        <v>31</v>
      </c>
      <c r="V173" t="s">
        <v>32</v>
      </c>
    </row>
    <row r="174" spans="1:23" x14ac:dyDescent="0.2">
      <c r="A174" s="2" t="s">
        <v>245</v>
      </c>
      <c r="B174" t="s">
        <v>33</v>
      </c>
      <c r="C174" t="s">
        <v>38</v>
      </c>
      <c r="D174" s="65" t="str">
        <f t="shared" si="8"/>
        <v>015_V_b</v>
      </c>
      <c r="E174">
        <v>68</v>
      </c>
      <c r="F174" t="s">
        <v>29</v>
      </c>
      <c r="G174" t="s">
        <v>250</v>
      </c>
      <c r="I174">
        <v>0.75776939285539302</v>
      </c>
      <c r="J174" s="82">
        <v>6.1</v>
      </c>
      <c r="K174" s="82">
        <v>2.9</v>
      </c>
      <c r="L174" s="82">
        <v>10.1</v>
      </c>
      <c r="M174" s="82">
        <v>23.3</v>
      </c>
      <c r="N174" s="82">
        <v>27.7</v>
      </c>
      <c r="O174" s="44">
        <f t="shared" si="10"/>
        <v>7.5811320754716931</v>
      </c>
      <c r="P174">
        <f t="shared" si="9"/>
        <v>14.020000000000001</v>
      </c>
      <c r="Q174" s="111">
        <v>7.0999999999999994E-2</v>
      </c>
      <c r="R174">
        <v>0.16900000000000001</v>
      </c>
      <c r="S174" s="65">
        <v>5</v>
      </c>
      <c r="T174">
        <v>9</v>
      </c>
      <c r="U174" t="s">
        <v>31</v>
      </c>
      <c r="V174" t="s">
        <v>32</v>
      </c>
    </row>
    <row r="175" spans="1:23" x14ac:dyDescent="0.2">
      <c r="A175" s="5" t="s">
        <v>245</v>
      </c>
      <c r="B175" s="6" t="s">
        <v>27</v>
      </c>
      <c r="C175" s="6" t="s">
        <v>38</v>
      </c>
      <c r="D175" s="65" t="str">
        <f t="shared" si="8"/>
        <v>015_S_b</v>
      </c>
      <c r="E175">
        <v>69</v>
      </c>
      <c r="F175" t="s">
        <v>34</v>
      </c>
      <c r="G175" t="s">
        <v>251</v>
      </c>
      <c r="I175">
        <v>3.6335743159203999</v>
      </c>
      <c r="J175" s="82">
        <v>31.2</v>
      </c>
      <c r="K175" s="82">
        <v>15.7</v>
      </c>
      <c r="L175" s="82">
        <v>25</v>
      </c>
      <c r="M175" s="82">
        <v>39.5</v>
      </c>
      <c r="N175" s="82">
        <v>43</v>
      </c>
      <c r="O175" s="44">
        <f t="shared" si="10"/>
        <v>3.6228605625373977</v>
      </c>
      <c r="P175">
        <f t="shared" si="9"/>
        <v>30.880000000000003</v>
      </c>
      <c r="Q175" s="111">
        <v>0.22</v>
      </c>
      <c r="R175">
        <v>0.38500000000000001</v>
      </c>
      <c r="S175" s="65">
        <v>14</v>
      </c>
      <c r="T175">
        <v>41</v>
      </c>
      <c r="U175" t="s">
        <v>31</v>
      </c>
      <c r="V175" t="s">
        <v>32</v>
      </c>
    </row>
    <row r="176" spans="1:23" x14ac:dyDescent="0.2">
      <c r="A176" s="5" t="s">
        <v>245</v>
      </c>
      <c r="B176" s="6" t="s">
        <v>36</v>
      </c>
      <c r="C176" s="6" t="s">
        <v>45</v>
      </c>
      <c r="D176" s="65" t="str">
        <f t="shared" si="8"/>
        <v>015_O_c</v>
      </c>
      <c r="E176">
        <v>83</v>
      </c>
      <c r="F176" t="s">
        <v>63</v>
      </c>
      <c r="G176" t="s">
        <v>252</v>
      </c>
      <c r="I176">
        <v>1.97860073861305</v>
      </c>
      <c r="J176" s="82">
        <v>20.399999999999999</v>
      </c>
      <c r="K176" s="82">
        <v>12.7</v>
      </c>
      <c r="L176" s="82">
        <v>33.299999999999997</v>
      </c>
      <c r="M176" s="82">
        <v>26.7</v>
      </c>
      <c r="N176" s="82">
        <v>19.5</v>
      </c>
      <c r="O176" s="44">
        <f t="shared" si="10"/>
        <v>3.3272824919441444</v>
      </c>
      <c r="P176">
        <f t="shared" si="9"/>
        <v>22.52</v>
      </c>
      <c r="Q176" s="111">
        <v>9.2999999999999999E-2</v>
      </c>
      <c r="R176">
        <v>0.20399999999999999</v>
      </c>
      <c r="S176" s="65">
        <v>5</v>
      </c>
      <c r="T176">
        <v>41</v>
      </c>
      <c r="U176" t="s">
        <v>72</v>
      </c>
      <c r="V176" t="s">
        <v>32</v>
      </c>
    </row>
    <row r="177" spans="1:25" x14ac:dyDescent="0.2">
      <c r="A177" s="5" t="s">
        <v>245</v>
      </c>
      <c r="B177" s="6" t="s">
        <v>27</v>
      </c>
      <c r="C177" s="6" t="s">
        <v>45</v>
      </c>
      <c r="D177" s="65" t="str">
        <f t="shared" si="8"/>
        <v>015_S_c</v>
      </c>
      <c r="E177">
        <v>94</v>
      </c>
      <c r="F177" t="s">
        <v>63</v>
      </c>
      <c r="G177" t="s">
        <v>253</v>
      </c>
      <c r="I177">
        <v>8.6772074244966397</v>
      </c>
      <c r="J177" s="82">
        <v>11.2</v>
      </c>
      <c r="K177" s="82">
        <v>16.100000000000001</v>
      </c>
      <c r="L177" s="82">
        <v>28.5</v>
      </c>
      <c r="M177">
        <v>29.1</v>
      </c>
      <c r="N177" s="82">
        <v>31.4</v>
      </c>
      <c r="O177" s="44">
        <f t="shared" si="10"/>
        <v>3.7959560266980721</v>
      </c>
      <c r="P177">
        <f t="shared" si="9"/>
        <v>23.26</v>
      </c>
      <c r="Q177" s="111">
        <v>0.54700000000000004</v>
      </c>
      <c r="R177">
        <v>0.60799999999999998</v>
      </c>
      <c r="S177" s="65">
        <v>30</v>
      </c>
      <c r="T177">
        <v>36</v>
      </c>
      <c r="U177" t="s">
        <v>72</v>
      </c>
      <c r="V177" t="s">
        <v>32</v>
      </c>
    </row>
    <row r="178" spans="1:25" x14ac:dyDescent="0.2">
      <c r="A178" s="5" t="s">
        <v>245</v>
      </c>
      <c r="B178" s="6" t="s">
        <v>33</v>
      </c>
      <c r="C178" s="6" t="s">
        <v>45</v>
      </c>
      <c r="D178" s="65" t="str">
        <f t="shared" si="8"/>
        <v>015_V_c</v>
      </c>
      <c r="E178">
        <v>100</v>
      </c>
      <c r="F178" t="s">
        <v>34</v>
      </c>
      <c r="G178" t="s">
        <v>254</v>
      </c>
      <c r="I178">
        <v>1.6453150642111001</v>
      </c>
      <c r="J178" s="82">
        <v>20.7</v>
      </c>
      <c r="K178" s="82">
        <v>19.7</v>
      </c>
      <c r="L178" s="82">
        <v>15.2</v>
      </c>
      <c r="M178">
        <v>27.3</v>
      </c>
      <c r="N178" s="82">
        <v>16.100000000000001</v>
      </c>
      <c r="O178" s="44">
        <f t="shared" si="10"/>
        <v>1.2031765178930458</v>
      </c>
      <c r="P178">
        <f t="shared" si="9"/>
        <v>19.8</v>
      </c>
      <c r="Q178" s="111">
        <v>0.13700000000000001</v>
      </c>
      <c r="R178">
        <v>0.27800000000000002</v>
      </c>
      <c r="S178" s="65">
        <v>2</v>
      </c>
      <c r="T178">
        <v>7</v>
      </c>
      <c r="U178" t="s">
        <v>47</v>
      </c>
      <c r="V178" t="s">
        <v>32</v>
      </c>
    </row>
    <row r="179" spans="1:25" ht="16" x14ac:dyDescent="0.2">
      <c r="A179" s="5" t="s">
        <v>245</v>
      </c>
      <c r="B179" s="6" t="s">
        <v>36</v>
      </c>
      <c r="C179" s="6" t="s">
        <v>52</v>
      </c>
      <c r="D179" s="65" t="str">
        <f t="shared" si="8"/>
        <v>015_O_d</v>
      </c>
      <c r="E179">
        <v>123</v>
      </c>
      <c r="F179" t="s">
        <v>39</v>
      </c>
      <c r="G179" t="s">
        <v>255</v>
      </c>
      <c r="I179">
        <v>4.3187056588345598</v>
      </c>
      <c r="J179" s="82">
        <v>41.2</v>
      </c>
      <c r="K179" s="82">
        <v>41.5</v>
      </c>
      <c r="L179" s="84">
        <v>53.7</v>
      </c>
      <c r="M179">
        <v>50.3</v>
      </c>
      <c r="N179" s="82">
        <v>55.6</v>
      </c>
      <c r="O179" s="44">
        <f t="shared" si="10"/>
        <v>0.85161578289593387</v>
      </c>
      <c r="P179">
        <f t="shared" si="9"/>
        <v>48.459999999999994</v>
      </c>
      <c r="Q179" s="111">
        <v>0.29799999999999999</v>
      </c>
      <c r="R179">
        <v>0.52200000000000002</v>
      </c>
      <c r="S179" s="65">
        <v>12</v>
      </c>
      <c r="T179">
        <v>33</v>
      </c>
      <c r="U179" t="s">
        <v>31</v>
      </c>
      <c r="V179" t="s">
        <v>32</v>
      </c>
    </row>
    <row r="180" spans="1:25" ht="16" x14ac:dyDescent="0.2">
      <c r="A180" s="5" t="s">
        <v>245</v>
      </c>
      <c r="B180" s="6" t="s">
        <v>27</v>
      </c>
      <c r="C180" s="6" t="s">
        <v>52</v>
      </c>
      <c r="D180" s="65" t="str">
        <f t="shared" si="8"/>
        <v>015_S_d</v>
      </c>
      <c r="E180">
        <v>127</v>
      </c>
      <c r="F180" t="s">
        <v>39</v>
      </c>
      <c r="G180" t="s">
        <v>256</v>
      </c>
      <c r="H180" t="s">
        <v>56</v>
      </c>
      <c r="I180">
        <v>0</v>
      </c>
      <c r="J180" s="82">
        <v>1.1000000000000001</v>
      </c>
      <c r="K180" s="82">
        <v>1</v>
      </c>
      <c r="L180" s="84">
        <v>1</v>
      </c>
      <c r="M180">
        <v>1</v>
      </c>
      <c r="N180" s="82">
        <v>0.9</v>
      </c>
      <c r="O180" s="44">
        <f t="shared" si="10"/>
        <v>2.4390243902439068E-3</v>
      </c>
      <c r="P180">
        <f t="shared" si="9"/>
        <v>1</v>
      </c>
      <c r="Q180" s="111" t="s">
        <v>57</v>
      </c>
      <c r="R180" t="s">
        <v>57</v>
      </c>
      <c r="S180" s="65" t="s">
        <v>57</v>
      </c>
      <c r="T180" t="s">
        <v>57</v>
      </c>
      <c r="V180" t="s">
        <v>32</v>
      </c>
      <c r="W180" t="s">
        <v>67</v>
      </c>
    </row>
    <row r="181" spans="1:25" ht="16" x14ac:dyDescent="0.2">
      <c r="A181" s="5" t="s">
        <v>245</v>
      </c>
      <c r="B181" s="6" t="s">
        <v>33</v>
      </c>
      <c r="C181" s="6" t="s">
        <v>52</v>
      </c>
      <c r="D181" s="65" t="str">
        <f t="shared" si="8"/>
        <v>015_V_d</v>
      </c>
      <c r="E181">
        <v>139</v>
      </c>
      <c r="F181" t="s">
        <v>82</v>
      </c>
      <c r="G181" t="s">
        <v>257</v>
      </c>
      <c r="I181">
        <v>1.3708088426528</v>
      </c>
      <c r="J181" s="82">
        <v>33.9</v>
      </c>
      <c r="K181" s="82">
        <v>2.8</v>
      </c>
      <c r="L181" s="84">
        <v>25.9</v>
      </c>
      <c r="M181" s="82">
        <v>29.5</v>
      </c>
      <c r="N181" s="82">
        <v>44.7</v>
      </c>
      <c r="O181" s="44">
        <f t="shared" si="10"/>
        <v>8.3605863192182373</v>
      </c>
      <c r="P181">
        <f t="shared" si="9"/>
        <v>27.360000000000003</v>
      </c>
      <c r="Q181" s="111">
        <v>0.16500000000000001</v>
      </c>
      <c r="R181">
        <v>0.26200000000000001</v>
      </c>
      <c r="S181" s="65">
        <v>7</v>
      </c>
      <c r="T181">
        <v>5</v>
      </c>
      <c r="U181" t="s">
        <v>72</v>
      </c>
      <c r="V181" t="s">
        <v>32</v>
      </c>
    </row>
    <row r="182" spans="1:25" s="19" customFormat="1" ht="16" x14ac:dyDescent="0.2">
      <c r="A182" s="17" t="s">
        <v>258</v>
      </c>
      <c r="B182" s="18" t="s">
        <v>36</v>
      </c>
      <c r="C182" s="18" t="s">
        <v>28</v>
      </c>
      <c r="D182" s="66" t="str">
        <f t="shared" si="8"/>
        <v>016_O_a</v>
      </c>
      <c r="E182" s="19">
        <v>3</v>
      </c>
      <c r="F182" s="19" t="s">
        <v>39</v>
      </c>
      <c r="G182" s="19" t="s">
        <v>259</v>
      </c>
      <c r="I182">
        <v>2.36361672581392</v>
      </c>
      <c r="J182" s="85">
        <v>5.4</v>
      </c>
      <c r="K182" s="82">
        <v>25.9</v>
      </c>
      <c r="L182" s="82">
        <v>29.7</v>
      </c>
      <c r="M182" s="82">
        <v>17.8</v>
      </c>
      <c r="N182" s="82">
        <v>36.1</v>
      </c>
      <c r="O182" s="54">
        <f t="shared" si="10"/>
        <v>5.8636209813874824</v>
      </c>
      <c r="P182">
        <f t="shared" si="9"/>
        <v>22.98</v>
      </c>
      <c r="Q182" s="112">
        <v>0.25600000000000001</v>
      </c>
      <c r="R182" s="19">
        <v>0.32100000000000001</v>
      </c>
      <c r="S182" s="66">
        <v>6</v>
      </c>
      <c r="T182" s="19">
        <v>56</v>
      </c>
      <c r="U182" t="s">
        <v>260</v>
      </c>
      <c r="V182" t="s">
        <v>32</v>
      </c>
      <c r="Y182" s="43">
        <v>9</v>
      </c>
    </row>
    <row r="183" spans="1:25" x14ac:dyDescent="0.2">
      <c r="A183" s="2" t="s">
        <v>258</v>
      </c>
      <c r="B183" t="s">
        <v>33</v>
      </c>
      <c r="C183" t="s">
        <v>28</v>
      </c>
      <c r="D183" s="65" t="str">
        <f t="shared" si="8"/>
        <v>016_V_a</v>
      </c>
      <c r="E183">
        <v>25</v>
      </c>
      <c r="F183" t="s">
        <v>43</v>
      </c>
      <c r="G183" t="s">
        <v>261</v>
      </c>
      <c r="I183">
        <v>1.08282768777614</v>
      </c>
      <c r="J183" s="43">
        <v>1.9</v>
      </c>
      <c r="K183" t="s">
        <v>57</v>
      </c>
      <c r="L183" s="82">
        <v>29.4</v>
      </c>
      <c r="M183" s="82">
        <v>25.8</v>
      </c>
      <c r="N183" s="82">
        <v>33.6</v>
      </c>
      <c r="O183" s="44">
        <f t="shared" si="10"/>
        <v>11.737478108581442</v>
      </c>
      <c r="P183">
        <f t="shared" si="9"/>
        <v>22.674999999999997</v>
      </c>
      <c r="Q183" s="111">
        <v>9.8000000000000004E-2</v>
      </c>
      <c r="R183">
        <v>0.25900000000000001</v>
      </c>
      <c r="S183" s="65">
        <v>9</v>
      </c>
      <c r="T183" s="43">
        <v>13</v>
      </c>
      <c r="U183" t="s">
        <v>31</v>
      </c>
      <c r="V183" t="s">
        <v>32</v>
      </c>
      <c r="Y183" s="43">
        <v>38.9</v>
      </c>
    </row>
    <row r="184" spans="1:25" x14ac:dyDescent="0.2">
      <c r="A184" s="5" t="s">
        <v>258</v>
      </c>
      <c r="B184" s="6" t="s">
        <v>27</v>
      </c>
      <c r="C184" s="6" t="s">
        <v>28</v>
      </c>
      <c r="D184" s="65" t="str">
        <f t="shared" si="8"/>
        <v>016_S_a</v>
      </c>
      <c r="E184">
        <v>28</v>
      </c>
      <c r="F184" t="s">
        <v>82</v>
      </c>
      <c r="G184" t="s">
        <v>262</v>
      </c>
      <c r="I184">
        <v>7.6731147540983597</v>
      </c>
      <c r="J184" s="82">
        <v>11.7</v>
      </c>
      <c r="K184" t="s">
        <v>57</v>
      </c>
      <c r="L184" s="82">
        <v>23.9</v>
      </c>
      <c r="M184" s="82">
        <v>4.4000000000000004</v>
      </c>
      <c r="N184" s="82">
        <v>38</v>
      </c>
      <c r="O184" s="44">
        <f t="shared" si="10"/>
        <v>7.2797500000000062</v>
      </c>
      <c r="P184">
        <f t="shared" si="9"/>
        <v>19.5</v>
      </c>
      <c r="Q184" s="111">
        <v>0.21099999999999999</v>
      </c>
      <c r="R184">
        <v>0.46100000000000002</v>
      </c>
      <c r="S184" s="65">
        <v>12</v>
      </c>
      <c r="T184">
        <v>9</v>
      </c>
      <c r="U184" t="s">
        <v>31</v>
      </c>
      <c r="V184" t="s">
        <v>32</v>
      </c>
      <c r="Y184" s="43">
        <v>23.6</v>
      </c>
    </row>
    <row r="185" spans="1:25" x14ac:dyDescent="0.2">
      <c r="A185" s="5" t="s">
        <v>258</v>
      </c>
      <c r="B185" s="6" t="s">
        <v>27</v>
      </c>
      <c r="C185" s="6" t="s">
        <v>38</v>
      </c>
      <c r="D185" s="65" t="str">
        <f t="shared" si="8"/>
        <v>016_S_b</v>
      </c>
      <c r="E185">
        <v>53</v>
      </c>
      <c r="F185" t="s">
        <v>63</v>
      </c>
      <c r="G185" t="s">
        <v>263</v>
      </c>
      <c r="I185">
        <v>2.5126153846153798</v>
      </c>
      <c r="J185" s="82">
        <v>19.8</v>
      </c>
      <c r="K185" s="82">
        <v>21.3</v>
      </c>
      <c r="L185" s="82">
        <v>31.3</v>
      </c>
      <c r="M185" s="82">
        <v>31</v>
      </c>
      <c r="N185" s="82">
        <v>28.4</v>
      </c>
      <c r="O185" s="44">
        <f t="shared" si="10"/>
        <v>1.4639587362991584</v>
      </c>
      <c r="P185">
        <f t="shared" si="9"/>
        <v>26.360000000000003</v>
      </c>
      <c r="Q185" s="111">
        <v>0.12</v>
      </c>
      <c r="R185">
        <v>0.26900000000000002</v>
      </c>
      <c r="S185" s="65">
        <v>10</v>
      </c>
      <c r="T185" s="43">
        <v>44</v>
      </c>
      <c r="U185" t="s">
        <v>31</v>
      </c>
      <c r="V185" t="s">
        <v>32</v>
      </c>
      <c r="Y185" s="43">
        <v>0.9</v>
      </c>
    </row>
    <row r="186" spans="1:25" x14ac:dyDescent="0.2">
      <c r="A186" s="2" t="s">
        <v>258</v>
      </c>
      <c r="B186" t="s">
        <v>33</v>
      </c>
      <c r="C186" t="s">
        <v>38</v>
      </c>
      <c r="D186" s="65" t="str">
        <f t="shared" si="8"/>
        <v>016_V_b</v>
      </c>
      <c r="E186">
        <v>54</v>
      </c>
      <c r="F186" t="s">
        <v>43</v>
      </c>
      <c r="G186" t="s">
        <v>264</v>
      </c>
      <c r="I186">
        <v>1.6710871220361101</v>
      </c>
      <c r="J186" s="82">
        <v>18.8</v>
      </c>
      <c r="K186" s="82">
        <v>2.9</v>
      </c>
      <c r="L186" s="82">
        <v>14.3</v>
      </c>
      <c r="M186" s="82">
        <v>1.7</v>
      </c>
      <c r="N186" s="82">
        <v>7.9</v>
      </c>
      <c r="O186" s="44">
        <f t="shared" si="10"/>
        <v>7.5652519893899219</v>
      </c>
      <c r="P186">
        <f t="shared" si="9"/>
        <v>9.120000000000001</v>
      </c>
      <c r="Q186" s="111">
        <v>0.157</v>
      </c>
      <c r="R186">
        <v>0.32300000000000001</v>
      </c>
      <c r="S186" s="65">
        <v>12</v>
      </c>
      <c r="T186">
        <v>25</v>
      </c>
      <c r="U186" t="s">
        <v>31</v>
      </c>
      <c r="V186" t="s">
        <v>32</v>
      </c>
      <c r="Y186" s="43">
        <v>38.299999999999997</v>
      </c>
    </row>
    <row r="187" spans="1:25" x14ac:dyDescent="0.2">
      <c r="A187" s="5" t="s">
        <v>258</v>
      </c>
      <c r="B187" s="6" t="s">
        <v>36</v>
      </c>
      <c r="C187" s="6" t="s">
        <v>38</v>
      </c>
      <c r="D187" s="65" t="str">
        <f t="shared" si="8"/>
        <v>016_O_b</v>
      </c>
      <c r="E187">
        <v>69</v>
      </c>
      <c r="F187" t="s">
        <v>63</v>
      </c>
      <c r="G187" t="s">
        <v>265</v>
      </c>
      <c r="I187">
        <v>4.0126399253731302</v>
      </c>
      <c r="J187" s="82">
        <v>10.7</v>
      </c>
      <c r="K187" s="82">
        <v>19.100000000000001</v>
      </c>
      <c r="L187" s="82">
        <v>29.5</v>
      </c>
      <c r="M187" s="82">
        <v>30.6</v>
      </c>
      <c r="N187" s="82">
        <v>39</v>
      </c>
      <c r="O187" s="44">
        <f t="shared" si="10"/>
        <v>3.9363366703744904</v>
      </c>
      <c r="P187">
        <f t="shared" si="9"/>
        <v>25.78</v>
      </c>
      <c r="Q187" s="111">
        <v>0.184</v>
      </c>
      <c r="R187">
        <v>0.435</v>
      </c>
      <c r="S187" s="65">
        <v>10</v>
      </c>
      <c r="T187">
        <v>24</v>
      </c>
      <c r="U187" t="s">
        <v>31</v>
      </c>
      <c r="V187" t="s">
        <v>32</v>
      </c>
      <c r="Y187" s="43">
        <v>41.8</v>
      </c>
    </row>
    <row r="188" spans="1:25" x14ac:dyDescent="0.2">
      <c r="A188" s="5" t="s">
        <v>258</v>
      </c>
      <c r="B188" s="6" t="s">
        <v>33</v>
      </c>
      <c r="C188" s="6" t="s">
        <v>45</v>
      </c>
      <c r="D188" s="65" t="str">
        <f t="shared" si="8"/>
        <v>016_V_c</v>
      </c>
      <c r="E188">
        <v>75</v>
      </c>
      <c r="F188" t="s">
        <v>49</v>
      </c>
      <c r="G188" t="s">
        <v>266</v>
      </c>
      <c r="I188">
        <v>5.8875000000000002</v>
      </c>
      <c r="J188" s="82">
        <v>9.1</v>
      </c>
      <c r="K188" s="82">
        <v>18.7</v>
      </c>
      <c r="L188" s="82">
        <v>15.5</v>
      </c>
      <c r="M188" s="82">
        <v>24.9</v>
      </c>
      <c r="N188" s="82">
        <v>40.700000000000003</v>
      </c>
      <c r="O188" s="44">
        <f t="shared" si="10"/>
        <v>2.5405669599217999</v>
      </c>
      <c r="P188">
        <f t="shared" si="9"/>
        <v>21.779999999999998</v>
      </c>
      <c r="Q188" s="111">
        <v>0.53400000000000003</v>
      </c>
      <c r="R188">
        <v>0.623</v>
      </c>
      <c r="S188" s="65">
        <v>13</v>
      </c>
      <c r="T188">
        <v>38</v>
      </c>
      <c r="U188" t="s">
        <v>128</v>
      </c>
      <c r="V188" t="s">
        <v>32</v>
      </c>
      <c r="Y188" s="43">
        <v>20.7</v>
      </c>
    </row>
    <row r="189" spans="1:25" x14ac:dyDescent="0.2">
      <c r="A189" s="5" t="s">
        <v>258</v>
      </c>
      <c r="B189" s="6" t="s">
        <v>36</v>
      </c>
      <c r="C189" s="6" t="s">
        <v>45</v>
      </c>
      <c r="D189" s="65" t="str">
        <f t="shared" si="8"/>
        <v>016_O_c</v>
      </c>
      <c r="E189">
        <v>89</v>
      </c>
      <c r="F189" t="s">
        <v>34</v>
      </c>
      <c r="G189" t="s">
        <v>267</v>
      </c>
      <c r="I189">
        <v>5.0955725928995701</v>
      </c>
      <c r="J189" s="82">
        <v>3.8</v>
      </c>
      <c r="K189" s="82">
        <v>3.4</v>
      </c>
      <c r="L189" s="82">
        <v>2.4</v>
      </c>
      <c r="M189" s="82">
        <v>25.9</v>
      </c>
      <c r="N189" s="82">
        <v>12.8</v>
      </c>
      <c r="O189" s="44">
        <f t="shared" si="10"/>
        <v>14.554272300469481</v>
      </c>
      <c r="P189">
        <f t="shared" si="9"/>
        <v>9.66</v>
      </c>
      <c r="Q189" s="111">
        <v>0.22800000000000001</v>
      </c>
      <c r="R189">
        <v>0.30099999999999999</v>
      </c>
      <c r="S189" s="65">
        <v>22</v>
      </c>
      <c r="T189">
        <v>21</v>
      </c>
      <c r="U189" t="s">
        <v>54</v>
      </c>
      <c r="V189" t="s">
        <v>32</v>
      </c>
      <c r="Y189" s="43">
        <v>30.7</v>
      </c>
    </row>
    <row r="190" spans="1:25" x14ac:dyDescent="0.2">
      <c r="A190" s="5" t="s">
        <v>258</v>
      </c>
      <c r="B190" s="6" t="s">
        <v>27</v>
      </c>
      <c r="C190" s="6" t="s">
        <v>45</v>
      </c>
      <c r="D190" s="65" t="str">
        <f t="shared" si="8"/>
        <v>016_S_c</v>
      </c>
      <c r="E190">
        <v>99</v>
      </c>
      <c r="F190" t="s">
        <v>82</v>
      </c>
      <c r="G190" t="s">
        <v>268</v>
      </c>
      <c r="I190">
        <v>3.98663454813894</v>
      </c>
      <c r="J190" s="82">
        <v>27</v>
      </c>
      <c r="K190" s="43">
        <v>1.8</v>
      </c>
      <c r="L190" s="82">
        <v>34.4</v>
      </c>
      <c r="M190">
        <v>29.3</v>
      </c>
      <c r="N190" s="82">
        <v>35.4</v>
      </c>
      <c r="O190" s="44">
        <f t="shared" si="10"/>
        <v>9.1535495495495507</v>
      </c>
      <c r="P190">
        <f t="shared" si="9"/>
        <v>25.580000000000002</v>
      </c>
      <c r="Q190" s="111">
        <v>0.16700000000000001</v>
      </c>
      <c r="R190">
        <v>0.29299999999999998</v>
      </c>
      <c r="S190" s="65">
        <v>6</v>
      </c>
      <c r="T190">
        <v>25</v>
      </c>
      <c r="U190" t="s">
        <v>54</v>
      </c>
      <c r="V190" t="s">
        <v>32</v>
      </c>
      <c r="Y190" s="43">
        <v>24.1</v>
      </c>
    </row>
    <row r="191" spans="1:25" ht="16" x14ac:dyDescent="0.2">
      <c r="A191" s="5" t="s">
        <v>258</v>
      </c>
      <c r="B191" s="6" t="s">
        <v>27</v>
      </c>
      <c r="C191" s="6" t="s">
        <v>52</v>
      </c>
      <c r="D191" s="65" t="str">
        <f t="shared" si="8"/>
        <v>016_S_d</v>
      </c>
      <c r="E191">
        <v>121</v>
      </c>
      <c r="F191" t="s">
        <v>29</v>
      </c>
      <c r="G191" t="s">
        <v>269</v>
      </c>
      <c r="I191">
        <v>1.7924276988740899</v>
      </c>
      <c r="J191" s="82">
        <v>12.2</v>
      </c>
      <c r="K191" s="82">
        <v>3</v>
      </c>
      <c r="L191" s="84">
        <v>10.4</v>
      </c>
      <c r="M191">
        <v>9.1</v>
      </c>
      <c r="N191" s="82">
        <v>11.5</v>
      </c>
      <c r="O191" s="44">
        <f t="shared" si="10"/>
        <v>1.8362151777137352</v>
      </c>
      <c r="P191">
        <f t="shared" si="9"/>
        <v>9.24</v>
      </c>
      <c r="Q191" s="111">
        <v>0.115</v>
      </c>
      <c r="R191">
        <v>0.253</v>
      </c>
      <c r="S191" s="65">
        <v>9</v>
      </c>
      <c r="T191">
        <v>30</v>
      </c>
      <c r="U191" t="s">
        <v>54</v>
      </c>
      <c r="V191" t="s">
        <v>32</v>
      </c>
      <c r="Y191" s="43">
        <v>0.9</v>
      </c>
    </row>
    <row r="192" spans="1:25" s="19" customFormat="1" ht="16" x14ac:dyDescent="0.2">
      <c r="A192" s="17" t="s">
        <v>258</v>
      </c>
      <c r="B192" s="18" t="s">
        <v>33</v>
      </c>
      <c r="C192" s="18" t="s">
        <v>52</v>
      </c>
      <c r="D192" s="66" t="str">
        <f t="shared" si="8"/>
        <v>016_V_d</v>
      </c>
      <c r="E192" s="19">
        <v>126</v>
      </c>
      <c r="F192" s="19" t="s">
        <v>82</v>
      </c>
      <c r="G192" s="19" t="s">
        <v>270</v>
      </c>
      <c r="I192">
        <v>1.90052838816207</v>
      </c>
      <c r="J192" s="83">
        <v>6.4</v>
      </c>
      <c r="K192" s="82">
        <v>2.2000000000000002</v>
      </c>
      <c r="L192" s="84">
        <v>14.3</v>
      </c>
      <c r="M192">
        <v>5.3</v>
      </c>
      <c r="N192" s="82">
        <v>21.3</v>
      </c>
      <c r="O192" s="54">
        <f t="shared" si="10"/>
        <v>3.7621749408983431</v>
      </c>
      <c r="P192">
        <f t="shared" si="9"/>
        <v>9.9</v>
      </c>
      <c r="Q192" s="112">
        <v>6.7000000000000004E-2</v>
      </c>
      <c r="R192" s="19">
        <v>0.13300000000000001</v>
      </c>
      <c r="S192" s="66">
        <v>6</v>
      </c>
      <c r="T192" s="19">
        <v>20</v>
      </c>
      <c r="U192" s="19" t="s">
        <v>51</v>
      </c>
      <c r="V192" t="s">
        <v>32</v>
      </c>
    </row>
    <row r="193" spans="1:23" s="43" customFormat="1" ht="16" x14ac:dyDescent="0.2">
      <c r="A193" s="5" t="s">
        <v>258</v>
      </c>
      <c r="B193" s="6" t="s">
        <v>36</v>
      </c>
      <c r="C193" s="6" t="s">
        <v>52</v>
      </c>
      <c r="D193" s="65" t="str">
        <f t="shared" si="8"/>
        <v>016_O_d</v>
      </c>
      <c r="E193">
        <v>127</v>
      </c>
      <c r="F193" t="s">
        <v>49</v>
      </c>
      <c r="G193" t="s">
        <v>271</v>
      </c>
      <c r="H193"/>
      <c r="I193">
        <v>1.5980613404013599</v>
      </c>
      <c r="J193" s="82">
        <v>18.100000000000001</v>
      </c>
      <c r="K193" s="82">
        <v>18.600000000000001</v>
      </c>
      <c r="L193" s="84">
        <v>31.4</v>
      </c>
      <c r="M193">
        <v>16.7</v>
      </c>
      <c r="N193" s="82">
        <v>33.6</v>
      </c>
      <c r="O193" s="44">
        <f t="shared" si="10"/>
        <v>2.2116352201257876</v>
      </c>
      <c r="P193">
        <f t="shared" si="9"/>
        <v>23.68</v>
      </c>
      <c r="Q193" s="111">
        <v>0.158</v>
      </c>
      <c r="R193">
        <v>0.157</v>
      </c>
      <c r="S193" s="65">
        <v>10</v>
      </c>
      <c r="T193">
        <v>16</v>
      </c>
      <c r="U193" t="s">
        <v>54</v>
      </c>
      <c r="V193" t="s">
        <v>32</v>
      </c>
      <c r="W193"/>
    </row>
    <row r="194" spans="1:23" ht="16" x14ac:dyDescent="0.2">
      <c r="A194" s="5" t="s">
        <v>272</v>
      </c>
      <c r="B194" s="6" t="s">
        <v>33</v>
      </c>
      <c r="C194" s="6" t="s">
        <v>28</v>
      </c>
      <c r="D194" s="65" t="str">
        <f t="shared" ref="D194:D257" si="11">A194&amp;"_"&amp;B194&amp;"_"&amp;C194</f>
        <v>017_V_a</v>
      </c>
      <c r="E194">
        <v>8</v>
      </c>
      <c r="F194" t="s">
        <v>43</v>
      </c>
      <c r="G194" t="s">
        <v>273</v>
      </c>
      <c r="H194" t="s">
        <v>56</v>
      </c>
      <c r="I194">
        <v>0</v>
      </c>
      <c r="J194" s="84">
        <v>1</v>
      </c>
      <c r="K194" s="82">
        <v>1</v>
      </c>
      <c r="L194" s="82">
        <v>1</v>
      </c>
      <c r="M194" s="82">
        <v>1</v>
      </c>
      <c r="N194" s="82">
        <v>0.9</v>
      </c>
      <c r="O194" s="44">
        <f t="shared" si="10"/>
        <v>0</v>
      </c>
      <c r="P194">
        <f t="shared" ref="P194:P257" si="12">AVERAGE(J194:N194)</f>
        <v>0.98000000000000009</v>
      </c>
      <c r="Q194" s="111" t="s">
        <v>57</v>
      </c>
      <c r="R194" t="s">
        <v>57</v>
      </c>
      <c r="S194" s="65" t="s">
        <v>57</v>
      </c>
      <c r="T194" t="s">
        <v>57</v>
      </c>
      <c r="U194" t="s">
        <v>57</v>
      </c>
      <c r="V194" t="s">
        <v>32</v>
      </c>
      <c r="W194" t="s">
        <v>274</v>
      </c>
    </row>
    <row r="195" spans="1:23" x14ac:dyDescent="0.2">
      <c r="A195" s="5" t="s">
        <v>272</v>
      </c>
      <c r="B195" s="6" t="s">
        <v>27</v>
      </c>
      <c r="C195" s="6" t="s">
        <v>28</v>
      </c>
      <c r="D195" s="65" t="str">
        <f t="shared" si="11"/>
        <v>017_S_a</v>
      </c>
      <c r="E195">
        <v>22</v>
      </c>
      <c r="F195" t="s">
        <v>70</v>
      </c>
      <c r="G195" t="s">
        <v>275</v>
      </c>
      <c r="I195">
        <v>2.3630495178950799</v>
      </c>
      <c r="J195" s="82">
        <v>2</v>
      </c>
      <c r="K195" s="82">
        <v>23.1</v>
      </c>
      <c r="L195" s="82">
        <v>12.3</v>
      </c>
      <c r="M195" s="82">
        <v>19.7</v>
      </c>
      <c r="N195" s="82">
        <v>36.6</v>
      </c>
      <c r="O195" s="44">
        <f t="shared" si="10"/>
        <v>6.1152948044366564</v>
      </c>
      <c r="P195">
        <f t="shared" si="12"/>
        <v>18.740000000000002</v>
      </c>
      <c r="Q195" s="111">
        <v>0.14599999999999999</v>
      </c>
      <c r="R195">
        <v>0.30599999999999999</v>
      </c>
      <c r="S195" s="65">
        <v>10</v>
      </c>
      <c r="T195" s="43">
        <v>12</v>
      </c>
      <c r="U195" t="s">
        <v>31</v>
      </c>
      <c r="V195" t="s">
        <v>32</v>
      </c>
    </row>
    <row r="196" spans="1:23" x14ac:dyDescent="0.2">
      <c r="A196" s="5" t="s">
        <v>272</v>
      </c>
      <c r="B196" s="6" t="s">
        <v>36</v>
      </c>
      <c r="C196" s="6" t="s">
        <v>28</v>
      </c>
      <c r="D196" s="65" t="str">
        <f t="shared" si="11"/>
        <v>017_O_a</v>
      </c>
      <c r="E196">
        <v>35</v>
      </c>
      <c r="F196" t="s">
        <v>63</v>
      </c>
      <c r="G196" t="s">
        <v>276</v>
      </c>
      <c r="I196">
        <v>2.5898145975123201</v>
      </c>
      <c r="J196" s="82">
        <v>20</v>
      </c>
      <c r="K196" t="s">
        <v>57</v>
      </c>
      <c r="L196" s="82">
        <v>29.3</v>
      </c>
      <c r="M196" s="82">
        <v>26.1</v>
      </c>
      <c r="N196" s="82">
        <v>35.4</v>
      </c>
      <c r="O196" s="44">
        <f t="shared" si="10"/>
        <v>0.88819628647214577</v>
      </c>
      <c r="P196">
        <f t="shared" si="12"/>
        <v>27.700000000000003</v>
      </c>
      <c r="Q196" s="111">
        <v>0.191</v>
      </c>
      <c r="R196">
        <v>0.32600000000000001</v>
      </c>
      <c r="S196" s="65">
        <v>17</v>
      </c>
      <c r="T196">
        <v>9</v>
      </c>
      <c r="U196" t="s">
        <v>31</v>
      </c>
      <c r="V196" t="s">
        <v>32</v>
      </c>
    </row>
    <row r="197" spans="1:23" x14ac:dyDescent="0.2">
      <c r="A197" s="5" t="s">
        <v>272</v>
      </c>
      <c r="B197" s="6" t="s">
        <v>36</v>
      </c>
      <c r="C197" s="6" t="s">
        <v>38</v>
      </c>
      <c r="D197" s="65" t="str">
        <f t="shared" si="11"/>
        <v>017_O_b</v>
      </c>
      <c r="E197">
        <v>52</v>
      </c>
      <c r="F197" t="s">
        <v>82</v>
      </c>
      <c r="G197" t="s">
        <v>277</v>
      </c>
      <c r="I197">
        <v>2.8122324159021401</v>
      </c>
      <c r="J197" s="82">
        <v>46.1</v>
      </c>
      <c r="K197" s="82">
        <v>42.9</v>
      </c>
      <c r="L197" s="82">
        <v>41.6</v>
      </c>
      <c r="M197" s="82">
        <v>42.5</v>
      </c>
      <c r="N197" s="82">
        <v>40.5</v>
      </c>
      <c r="O197" s="44">
        <f t="shared" si="10"/>
        <v>8.8792605430387084E-2</v>
      </c>
      <c r="P197">
        <f t="shared" si="12"/>
        <v>42.72</v>
      </c>
      <c r="Q197" s="111">
        <v>0.26800000000000002</v>
      </c>
      <c r="R197">
        <v>0.28799999999999998</v>
      </c>
      <c r="S197" s="65">
        <v>9</v>
      </c>
      <c r="T197">
        <v>25</v>
      </c>
      <c r="U197" t="s">
        <v>31</v>
      </c>
      <c r="V197" t="s">
        <v>32</v>
      </c>
    </row>
    <row r="198" spans="1:23" x14ac:dyDescent="0.2">
      <c r="A198" s="2" t="s">
        <v>272</v>
      </c>
      <c r="B198" t="s">
        <v>33</v>
      </c>
      <c r="C198" t="s">
        <v>38</v>
      </c>
      <c r="D198" s="65" t="str">
        <f t="shared" si="11"/>
        <v>017_V_b</v>
      </c>
      <c r="E198">
        <v>61</v>
      </c>
      <c r="F198" t="s">
        <v>43</v>
      </c>
      <c r="G198" t="s">
        <v>278</v>
      </c>
      <c r="I198">
        <v>4.1354306245947701</v>
      </c>
      <c r="J198" s="82">
        <v>5.5</v>
      </c>
      <c r="K198" s="82">
        <v>37.6</v>
      </c>
      <c r="L198" s="82">
        <v>32.5</v>
      </c>
      <c r="M198" s="82">
        <v>3.3</v>
      </c>
      <c r="N198" s="82">
        <v>32.799999999999997</v>
      </c>
      <c r="O198" s="44">
        <f t="shared" si="10"/>
        <v>16.13599493029152</v>
      </c>
      <c r="P198">
        <f t="shared" si="12"/>
        <v>22.339999999999996</v>
      </c>
      <c r="Q198" s="111">
        <v>0.317</v>
      </c>
      <c r="R198">
        <v>0.55400000000000005</v>
      </c>
      <c r="S198" s="65">
        <v>16</v>
      </c>
      <c r="T198">
        <v>48</v>
      </c>
      <c r="U198" t="s">
        <v>31</v>
      </c>
      <c r="V198" t="s">
        <v>32</v>
      </c>
    </row>
    <row r="199" spans="1:23" x14ac:dyDescent="0.2">
      <c r="A199" s="5" t="s">
        <v>272</v>
      </c>
      <c r="B199" s="6" t="s">
        <v>27</v>
      </c>
      <c r="C199" s="6" t="s">
        <v>38</v>
      </c>
      <c r="D199" s="65" t="str">
        <f t="shared" si="11"/>
        <v>017_S_b</v>
      </c>
      <c r="E199">
        <v>62</v>
      </c>
      <c r="F199" t="s">
        <v>82</v>
      </c>
      <c r="G199" t="s">
        <v>279</v>
      </c>
      <c r="I199">
        <v>7.01884208188347</v>
      </c>
      <c r="J199" s="82">
        <v>5.9</v>
      </c>
      <c r="K199" s="82">
        <v>10.7</v>
      </c>
      <c r="L199" s="82">
        <v>29.4</v>
      </c>
      <c r="M199" s="82">
        <v>29.6</v>
      </c>
      <c r="N199" s="82">
        <v>39.5</v>
      </c>
      <c r="O199" s="44">
        <f t="shared" si="10"/>
        <v>8.130158730158735</v>
      </c>
      <c r="P199">
        <f t="shared" si="12"/>
        <v>23.02</v>
      </c>
      <c r="Q199" s="111">
        <v>0.39700000000000002</v>
      </c>
      <c r="R199">
        <v>0.497</v>
      </c>
      <c r="S199" s="65">
        <v>17</v>
      </c>
      <c r="T199">
        <v>14</v>
      </c>
      <c r="U199" t="s">
        <v>31</v>
      </c>
      <c r="V199" t="s">
        <v>32</v>
      </c>
    </row>
    <row r="200" spans="1:23" x14ac:dyDescent="0.2">
      <c r="A200" s="5" t="s">
        <v>272</v>
      </c>
      <c r="B200" s="6" t="s">
        <v>33</v>
      </c>
      <c r="C200" s="6" t="s">
        <v>45</v>
      </c>
      <c r="D200" s="65" t="str">
        <f t="shared" si="11"/>
        <v>017_V_c</v>
      </c>
      <c r="E200">
        <v>99</v>
      </c>
      <c r="F200" t="s">
        <v>63</v>
      </c>
      <c r="G200" t="s">
        <v>280</v>
      </c>
      <c r="I200">
        <v>3.4939466936047898</v>
      </c>
      <c r="J200" s="82">
        <v>23</v>
      </c>
      <c r="K200" s="82">
        <v>24.9</v>
      </c>
      <c r="L200" s="82">
        <v>25.2</v>
      </c>
      <c r="M200">
        <v>6.9</v>
      </c>
      <c r="N200" s="82">
        <v>34.700000000000003</v>
      </c>
      <c r="O200" s="44">
        <f t="shared" si="10"/>
        <v>3.8609999999999935</v>
      </c>
      <c r="P200">
        <f t="shared" si="12"/>
        <v>22.94</v>
      </c>
      <c r="Q200" s="111">
        <v>0.26200000000000001</v>
      </c>
      <c r="R200">
        <v>0.50700000000000001</v>
      </c>
      <c r="S200" s="65">
        <v>12</v>
      </c>
      <c r="T200">
        <v>15</v>
      </c>
      <c r="U200" t="s">
        <v>54</v>
      </c>
      <c r="V200" t="s">
        <v>32</v>
      </c>
    </row>
    <row r="201" spans="1:23" x14ac:dyDescent="0.2">
      <c r="A201" s="5" t="s">
        <v>272</v>
      </c>
      <c r="B201" s="6" t="s">
        <v>36</v>
      </c>
      <c r="C201" s="6" t="s">
        <v>45</v>
      </c>
      <c r="D201" s="65" t="str">
        <f t="shared" si="11"/>
        <v>017_O_c</v>
      </c>
      <c r="E201">
        <v>105</v>
      </c>
      <c r="F201" t="s">
        <v>68</v>
      </c>
      <c r="G201" t="s">
        <v>281</v>
      </c>
      <c r="I201">
        <v>4.8379900823216202</v>
      </c>
      <c r="J201" s="82">
        <v>33.4</v>
      </c>
      <c r="K201" s="82">
        <v>31.1</v>
      </c>
      <c r="L201" s="82">
        <v>43.4</v>
      </c>
      <c r="M201">
        <v>31.3</v>
      </c>
      <c r="N201" s="82">
        <v>26.6</v>
      </c>
      <c r="O201" s="44">
        <f t="shared" si="10"/>
        <v>0.97567049808428796</v>
      </c>
      <c r="P201">
        <f t="shared" si="12"/>
        <v>33.160000000000004</v>
      </c>
      <c r="Q201" s="111">
        <v>0.373</v>
      </c>
      <c r="R201">
        <v>0.496</v>
      </c>
      <c r="S201" s="65">
        <v>29</v>
      </c>
      <c r="T201">
        <v>15</v>
      </c>
      <c r="U201" t="s">
        <v>72</v>
      </c>
      <c r="V201" t="s">
        <v>32</v>
      </c>
      <c r="W201" t="s">
        <v>282</v>
      </c>
    </row>
    <row r="202" spans="1:23" s="19" customFormat="1" x14ac:dyDescent="0.2">
      <c r="A202" s="17" t="s">
        <v>272</v>
      </c>
      <c r="B202" s="18" t="s">
        <v>27</v>
      </c>
      <c r="C202" s="18" t="s">
        <v>45</v>
      </c>
      <c r="D202" s="66" t="str">
        <f t="shared" si="11"/>
        <v>017_S_c</v>
      </c>
      <c r="E202" s="19">
        <v>107</v>
      </c>
      <c r="F202" s="19" t="s">
        <v>41</v>
      </c>
      <c r="G202" s="19" t="s">
        <v>283</v>
      </c>
      <c r="I202">
        <v>1.6110759260623</v>
      </c>
      <c r="J202" s="83">
        <v>54.4</v>
      </c>
      <c r="K202" s="82">
        <v>58.2</v>
      </c>
      <c r="L202" s="82">
        <v>45.4</v>
      </c>
      <c r="M202">
        <v>54.4</v>
      </c>
      <c r="N202" s="82">
        <v>55.1</v>
      </c>
      <c r="O202" s="54">
        <f t="shared" si="10"/>
        <v>0.55668549905838072</v>
      </c>
      <c r="P202">
        <f t="shared" si="12"/>
        <v>53.5</v>
      </c>
      <c r="Q202" s="111">
        <v>0.28899999999999998</v>
      </c>
      <c r="R202">
        <v>0.35099999999999998</v>
      </c>
      <c r="S202" s="66">
        <v>15</v>
      </c>
      <c r="T202" s="19">
        <v>28</v>
      </c>
      <c r="U202" s="19" t="s">
        <v>72</v>
      </c>
      <c r="V202" t="s">
        <v>32</v>
      </c>
    </row>
    <row r="203" spans="1:23" s="43" customFormat="1" ht="16" x14ac:dyDescent="0.2">
      <c r="A203" s="5" t="s">
        <v>272</v>
      </c>
      <c r="B203" s="6" t="s">
        <v>36</v>
      </c>
      <c r="C203" s="6" t="s">
        <v>52</v>
      </c>
      <c r="D203" s="65" t="str">
        <f t="shared" si="11"/>
        <v>017_O_d</v>
      </c>
      <c r="E203">
        <v>124</v>
      </c>
      <c r="F203" t="s">
        <v>70</v>
      </c>
      <c r="G203" t="s">
        <v>284</v>
      </c>
      <c r="H203"/>
      <c r="I203">
        <v>1.82520736498806</v>
      </c>
      <c r="J203" s="82">
        <v>10.4</v>
      </c>
      <c r="K203" s="82">
        <v>24.6</v>
      </c>
      <c r="L203" s="84">
        <v>41.3</v>
      </c>
      <c r="M203">
        <v>41.9</v>
      </c>
      <c r="N203" s="82">
        <v>40.4</v>
      </c>
      <c r="O203" s="44">
        <f t="shared" si="10"/>
        <v>7.6910321489001738</v>
      </c>
      <c r="P203">
        <f t="shared" si="12"/>
        <v>31.72</v>
      </c>
      <c r="Q203" s="111">
        <v>0.17499999999999999</v>
      </c>
      <c r="R203">
        <v>0.26</v>
      </c>
      <c r="S203" s="65">
        <v>11</v>
      </c>
      <c r="T203">
        <v>11</v>
      </c>
      <c r="U203" t="s">
        <v>51</v>
      </c>
      <c r="V203" t="s">
        <v>32</v>
      </c>
      <c r="W203"/>
    </row>
    <row r="204" spans="1:23" ht="16" x14ac:dyDescent="0.2">
      <c r="A204" s="5" t="s">
        <v>272</v>
      </c>
      <c r="B204" s="6" t="s">
        <v>33</v>
      </c>
      <c r="C204" s="6" t="s">
        <v>52</v>
      </c>
      <c r="D204" s="65" t="str">
        <f t="shared" si="11"/>
        <v>017_V_d</v>
      </c>
      <c r="E204">
        <v>134</v>
      </c>
      <c r="F204" t="s">
        <v>29</v>
      </c>
      <c r="G204" t="s">
        <v>285</v>
      </c>
      <c r="I204">
        <v>2.9280742747769</v>
      </c>
      <c r="J204" s="82">
        <v>37.5</v>
      </c>
      <c r="K204" s="81">
        <v>8</v>
      </c>
      <c r="L204" s="84">
        <v>43.9</v>
      </c>
      <c r="M204" s="82">
        <v>36.700000000000003</v>
      </c>
      <c r="N204" s="82">
        <v>10.9</v>
      </c>
      <c r="O204" s="44">
        <f t="shared" si="10"/>
        <v>8.1316151202749101</v>
      </c>
      <c r="P204">
        <f t="shared" si="12"/>
        <v>27.4</v>
      </c>
      <c r="Q204" s="111">
        <v>0.23400000000000001</v>
      </c>
      <c r="R204">
        <v>0.318</v>
      </c>
      <c r="S204" s="65">
        <v>19</v>
      </c>
      <c r="T204">
        <v>21</v>
      </c>
      <c r="U204" t="s">
        <v>54</v>
      </c>
      <c r="V204" t="s">
        <v>32</v>
      </c>
    </row>
    <row r="205" spans="1:23" ht="16" x14ac:dyDescent="0.2">
      <c r="A205" s="5" t="s">
        <v>272</v>
      </c>
      <c r="B205" s="6" t="s">
        <v>27</v>
      </c>
      <c r="C205" s="6" t="s">
        <v>52</v>
      </c>
      <c r="D205" s="65" t="str">
        <f t="shared" si="11"/>
        <v>017_S_d</v>
      </c>
      <c r="E205">
        <v>134</v>
      </c>
      <c r="F205" t="s">
        <v>39</v>
      </c>
      <c r="G205" t="s">
        <v>286</v>
      </c>
      <c r="H205" t="s">
        <v>56</v>
      </c>
      <c r="I205">
        <v>0</v>
      </c>
      <c r="J205" s="82">
        <v>1.1000000000000001</v>
      </c>
      <c r="K205" s="82">
        <v>1</v>
      </c>
      <c r="L205" s="84">
        <v>1</v>
      </c>
      <c r="M205" s="82">
        <v>1</v>
      </c>
      <c r="N205" s="82">
        <v>1</v>
      </c>
      <c r="O205" s="44">
        <f t="shared" si="10"/>
        <v>2.4390243902439068E-3</v>
      </c>
      <c r="P205">
        <f t="shared" si="12"/>
        <v>1.02</v>
      </c>
      <c r="Q205" s="111" t="s">
        <v>57</v>
      </c>
      <c r="R205" t="s">
        <v>57</v>
      </c>
      <c r="S205" s="65" t="s">
        <v>57</v>
      </c>
      <c r="T205" t="s">
        <v>57</v>
      </c>
      <c r="V205" t="s">
        <v>32</v>
      </c>
      <c r="W205" t="s">
        <v>67</v>
      </c>
    </row>
    <row r="206" spans="1:23" ht="16" x14ac:dyDescent="0.2">
      <c r="A206" s="2" t="s">
        <v>287</v>
      </c>
      <c r="B206" t="s">
        <v>33</v>
      </c>
      <c r="C206" t="s">
        <v>28</v>
      </c>
      <c r="D206" s="65" t="str">
        <f t="shared" si="11"/>
        <v>018_V_a</v>
      </c>
      <c r="E206">
        <v>2</v>
      </c>
      <c r="F206" t="s">
        <v>41</v>
      </c>
      <c r="G206" t="s">
        <v>288</v>
      </c>
      <c r="I206">
        <v>0.76485740330772201</v>
      </c>
      <c r="J206" s="84">
        <v>2.8</v>
      </c>
      <c r="K206" s="82">
        <v>23.1</v>
      </c>
      <c r="L206" s="82">
        <v>24.3</v>
      </c>
      <c r="M206" s="82">
        <v>29.8</v>
      </c>
      <c r="N206" s="82">
        <v>22.1</v>
      </c>
      <c r="O206" s="44">
        <f t="shared" si="10"/>
        <v>6.9996666666666671</v>
      </c>
      <c r="P206">
        <f t="shared" si="12"/>
        <v>20.419999999999998</v>
      </c>
      <c r="Q206" s="111">
        <v>7.9000000000000001E-2</v>
      </c>
      <c r="R206">
        <v>0.36</v>
      </c>
      <c r="S206" s="65">
        <v>2</v>
      </c>
      <c r="T206">
        <v>16</v>
      </c>
      <c r="U206" t="s">
        <v>54</v>
      </c>
      <c r="V206" t="s">
        <v>32</v>
      </c>
    </row>
    <row r="207" spans="1:23" x14ac:dyDescent="0.2">
      <c r="A207" s="5" t="s">
        <v>287</v>
      </c>
      <c r="B207" s="6" t="s">
        <v>27</v>
      </c>
      <c r="C207" s="6" t="s">
        <v>28</v>
      </c>
      <c r="D207" s="65" t="str">
        <f t="shared" si="11"/>
        <v>018_S_a</v>
      </c>
      <c r="E207">
        <v>23</v>
      </c>
      <c r="F207" t="s">
        <v>43</v>
      </c>
      <c r="G207" t="s">
        <v>289</v>
      </c>
      <c r="I207">
        <v>7.4575918323825796</v>
      </c>
      <c r="J207" s="82">
        <v>9.3000000000000007</v>
      </c>
      <c r="K207" s="82">
        <v>9</v>
      </c>
      <c r="L207" s="82">
        <v>29.5</v>
      </c>
      <c r="M207" s="82">
        <v>33.299999999999997</v>
      </c>
      <c r="N207" s="82">
        <v>22.6</v>
      </c>
      <c r="O207" s="44">
        <f t="shared" si="10"/>
        <v>8.2585696670776887</v>
      </c>
      <c r="P207">
        <f t="shared" si="12"/>
        <v>20.74</v>
      </c>
      <c r="R207">
        <v>0.66500000000000004</v>
      </c>
      <c r="S207" s="65">
        <v>29</v>
      </c>
      <c r="T207">
        <v>27</v>
      </c>
      <c r="U207" t="s">
        <v>31</v>
      </c>
      <c r="V207" t="s">
        <v>32</v>
      </c>
    </row>
    <row r="208" spans="1:23" x14ac:dyDescent="0.2">
      <c r="A208" s="5" t="s">
        <v>287</v>
      </c>
      <c r="B208" s="6" t="s">
        <v>36</v>
      </c>
      <c r="C208" s="6" t="s">
        <v>28</v>
      </c>
      <c r="D208" s="65" t="str">
        <f t="shared" si="11"/>
        <v>018_O_a</v>
      </c>
      <c r="E208">
        <v>27</v>
      </c>
      <c r="F208" t="s">
        <v>68</v>
      </c>
      <c r="G208" t="s">
        <v>290</v>
      </c>
      <c r="I208">
        <v>3.2280022431703501</v>
      </c>
      <c r="J208" s="82">
        <v>2.1</v>
      </c>
      <c r="K208" t="s">
        <v>57</v>
      </c>
      <c r="L208" s="82">
        <v>34.5</v>
      </c>
      <c r="M208" s="82">
        <v>37.799999999999997</v>
      </c>
      <c r="N208" s="82">
        <v>45.9</v>
      </c>
      <c r="O208" s="44">
        <f t="shared" si="10"/>
        <v>15.693145161290319</v>
      </c>
      <c r="P208">
        <f t="shared" si="12"/>
        <v>30.075000000000003</v>
      </c>
      <c r="Q208" s="111">
        <v>0.191</v>
      </c>
      <c r="R208">
        <v>0.30299999999999999</v>
      </c>
      <c r="S208" s="65">
        <v>8</v>
      </c>
      <c r="T208">
        <v>123</v>
      </c>
      <c r="U208" t="s">
        <v>72</v>
      </c>
      <c r="V208" t="s">
        <v>32</v>
      </c>
    </row>
    <row r="209" spans="1:23" s="43" customFormat="1" x14ac:dyDescent="0.2">
      <c r="A209" s="2" t="s">
        <v>287</v>
      </c>
      <c r="B209" t="s">
        <v>33</v>
      </c>
      <c r="C209" t="s">
        <v>38</v>
      </c>
      <c r="D209" s="65" t="str">
        <f t="shared" si="11"/>
        <v>018_V_b</v>
      </c>
      <c r="E209">
        <v>58</v>
      </c>
      <c r="F209" t="s">
        <v>41</v>
      </c>
      <c r="G209" t="s">
        <v>291</v>
      </c>
      <c r="H209"/>
      <c r="I209">
        <v>1.8872220156191899</v>
      </c>
      <c r="J209" s="82">
        <v>31.2</v>
      </c>
      <c r="K209" s="82">
        <v>31.8</v>
      </c>
      <c r="L209" s="82">
        <v>13.4</v>
      </c>
      <c r="M209" s="82">
        <v>30.3</v>
      </c>
      <c r="N209" s="82">
        <v>43.6</v>
      </c>
      <c r="O209" s="44">
        <f t="shared" si="10"/>
        <v>2.9504217432052435</v>
      </c>
      <c r="P209">
        <f t="shared" si="12"/>
        <v>30.060000000000002</v>
      </c>
      <c r="Q209" s="111">
        <v>0.182</v>
      </c>
      <c r="R209">
        <v>0.34799999999999998</v>
      </c>
      <c r="S209" s="65">
        <v>10</v>
      </c>
      <c r="T209">
        <v>28</v>
      </c>
      <c r="U209" t="s">
        <v>31</v>
      </c>
      <c r="V209" t="s">
        <v>32</v>
      </c>
      <c r="W209"/>
    </row>
    <row r="210" spans="1:23" x14ac:dyDescent="0.2">
      <c r="A210" s="5" t="s">
        <v>287</v>
      </c>
      <c r="B210" s="6" t="s">
        <v>27</v>
      </c>
      <c r="C210" s="6" t="s">
        <v>38</v>
      </c>
      <c r="D210" s="65" t="str">
        <f t="shared" si="11"/>
        <v>018_S_b</v>
      </c>
      <c r="E210">
        <v>69</v>
      </c>
      <c r="F210" t="s">
        <v>49</v>
      </c>
      <c r="G210" t="s">
        <v>292</v>
      </c>
      <c r="I210">
        <v>2.7644511815920398</v>
      </c>
      <c r="J210" s="82">
        <v>43.5</v>
      </c>
      <c r="K210" s="82">
        <v>3.9</v>
      </c>
      <c r="L210" s="82">
        <v>32.700000000000003</v>
      </c>
      <c r="M210" s="82">
        <v>31.3</v>
      </c>
      <c r="N210" s="82">
        <v>41.7</v>
      </c>
      <c r="O210" s="44">
        <f t="shared" si="10"/>
        <v>10.220825852782776</v>
      </c>
      <c r="P210">
        <f t="shared" si="12"/>
        <v>30.619999999999997</v>
      </c>
      <c r="Q210" s="111">
        <v>0.28000000000000003</v>
      </c>
      <c r="R210">
        <v>0.59199999999999997</v>
      </c>
      <c r="S210" s="65">
        <v>14</v>
      </c>
      <c r="T210">
        <v>30</v>
      </c>
      <c r="U210" t="s">
        <v>31</v>
      </c>
      <c r="V210" t="s">
        <v>32</v>
      </c>
    </row>
    <row r="211" spans="1:23" s="43" customFormat="1" x14ac:dyDescent="0.2">
      <c r="A211" s="5" t="s">
        <v>287</v>
      </c>
      <c r="B211" s="6" t="s">
        <v>36</v>
      </c>
      <c r="C211" s="6" t="s">
        <v>38</v>
      </c>
      <c r="D211" s="65" t="str">
        <f t="shared" si="11"/>
        <v>018_O_b</v>
      </c>
      <c r="E211">
        <v>70</v>
      </c>
      <c r="F211" t="s">
        <v>68</v>
      </c>
      <c r="G211" t="s">
        <v>293</v>
      </c>
      <c r="H211"/>
      <c r="I211">
        <v>1.9073245268138801</v>
      </c>
      <c r="J211" s="82">
        <v>4.7</v>
      </c>
      <c r="K211" s="82">
        <v>15.5</v>
      </c>
      <c r="L211" s="82">
        <v>45.9</v>
      </c>
      <c r="M211" s="82">
        <v>67.2</v>
      </c>
      <c r="N211" s="82">
        <v>24.9</v>
      </c>
      <c r="O211" s="44">
        <f t="shared" si="10"/>
        <v>24.433783445861454</v>
      </c>
      <c r="P211">
        <f t="shared" si="12"/>
        <v>31.640000000000004</v>
      </c>
      <c r="Q211" s="111">
        <v>0.20200000000000001</v>
      </c>
      <c r="R211">
        <v>0.45900000000000002</v>
      </c>
      <c r="S211" s="65">
        <v>10</v>
      </c>
      <c r="T211">
        <v>11</v>
      </c>
      <c r="U211" t="s">
        <v>31</v>
      </c>
      <c r="V211" t="s">
        <v>32</v>
      </c>
      <c r="W211"/>
    </row>
    <row r="212" spans="1:23" s="19" customFormat="1" x14ac:dyDescent="0.2">
      <c r="A212" s="17" t="s">
        <v>287</v>
      </c>
      <c r="B212" s="18" t="s">
        <v>33</v>
      </c>
      <c r="C212" s="18" t="s">
        <v>45</v>
      </c>
      <c r="D212" s="66" t="str">
        <f t="shared" si="11"/>
        <v>018_V_c</v>
      </c>
      <c r="E212" s="19">
        <v>77</v>
      </c>
      <c r="F212" s="19" t="s">
        <v>49</v>
      </c>
      <c r="G212" s="19" t="s">
        <v>294</v>
      </c>
      <c r="I212">
        <v>3.7239002582002501</v>
      </c>
      <c r="J212" s="83">
        <v>43.6</v>
      </c>
      <c r="K212" s="83">
        <v>39.200000000000003</v>
      </c>
      <c r="L212" s="82">
        <v>16.5</v>
      </c>
      <c r="M212" s="82">
        <v>11.2</v>
      </c>
      <c r="N212" s="82">
        <v>31.8</v>
      </c>
      <c r="O212" s="54">
        <f t="shared" si="10"/>
        <v>9.4446757164404165</v>
      </c>
      <c r="P212">
        <f t="shared" si="12"/>
        <v>28.46</v>
      </c>
      <c r="Q212" s="112">
        <v>0.35</v>
      </c>
      <c r="R212" s="19">
        <v>0.38700000000000001</v>
      </c>
      <c r="S212" s="66">
        <v>20</v>
      </c>
      <c r="T212" s="19">
        <v>24</v>
      </c>
      <c r="U212" s="19" t="s">
        <v>51</v>
      </c>
      <c r="V212" t="s">
        <v>32</v>
      </c>
    </row>
    <row r="213" spans="1:23" x14ac:dyDescent="0.2">
      <c r="A213" s="5" t="s">
        <v>287</v>
      </c>
      <c r="B213" s="6" t="s">
        <v>36</v>
      </c>
      <c r="C213" s="6" t="s">
        <v>45</v>
      </c>
      <c r="D213" s="65" t="str">
        <f t="shared" si="11"/>
        <v>018_O_c</v>
      </c>
      <c r="E213">
        <v>79</v>
      </c>
      <c r="F213" t="s">
        <v>70</v>
      </c>
      <c r="G213" t="s">
        <v>295</v>
      </c>
      <c r="I213">
        <v>4.35521311938927</v>
      </c>
      <c r="J213" s="82">
        <v>20</v>
      </c>
      <c r="K213" s="82">
        <v>38.9</v>
      </c>
      <c r="L213" s="82">
        <v>39.5</v>
      </c>
      <c r="M213" s="70" t="s">
        <v>57</v>
      </c>
      <c r="N213" s="82">
        <v>35.5</v>
      </c>
      <c r="O213" s="44">
        <f t="shared" si="10"/>
        <v>3.7490853658536518</v>
      </c>
      <c r="P213">
        <f t="shared" si="12"/>
        <v>33.475000000000001</v>
      </c>
      <c r="Q213" s="111">
        <v>0.39600000000000002</v>
      </c>
      <c r="R213">
        <v>0.58899999999999997</v>
      </c>
      <c r="S213" s="65">
        <v>20</v>
      </c>
      <c r="T213">
        <v>32</v>
      </c>
      <c r="U213" t="s">
        <v>51</v>
      </c>
      <c r="V213" t="s">
        <v>32</v>
      </c>
    </row>
    <row r="214" spans="1:23" x14ac:dyDescent="0.2">
      <c r="A214" s="5" t="s">
        <v>287</v>
      </c>
      <c r="B214" s="6" t="s">
        <v>27</v>
      </c>
      <c r="C214" s="6" t="s">
        <v>45</v>
      </c>
      <c r="D214" s="65" t="str">
        <f t="shared" si="11"/>
        <v>018_S_c</v>
      </c>
      <c r="E214">
        <v>90</v>
      </c>
      <c r="F214" t="s">
        <v>68</v>
      </c>
      <c r="G214" t="s">
        <v>296</v>
      </c>
      <c r="I214">
        <v>2.6456732158335701</v>
      </c>
      <c r="J214" s="82">
        <v>11.4</v>
      </c>
      <c r="K214" s="82">
        <v>4.3</v>
      </c>
      <c r="L214" s="82">
        <v>21.7</v>
      </c>
      <c r="M214" s="82">
        <v>33.5</v>
      </c>
      <c r="N214" s="82">
        <v>35.1</v>
      </c>
      <c r="O214" s="44">
        <f t="shared" si="10"/>
        <v>9.118711800658204</v>
      </c>
      <c r="P214">
        <f t="shared" si="12"/>
        <v>21.2</v>
      </c>
      <c r="Q214" s="111">
        <v>0.16200000000000001</v>
      </c>
      <c r="R214">
        <v>0.35399999999999998</v>
      </c>
      <c r="S214" s="65">
        <v>25</v>
      </c>
      <c r="T214">
        <v>65</v>
      </c>
      <c r="U214" t="s">
        <v>51</v>
      </c>
      <c r="V214" t="s">
        <v>32</v>
      </c>
    </row>
    <row r="215" spans="1:23" x14ac:dyDescent="0.2">
      <c r="A215" s="5" t="s">
        <v>287</v>
      </c>
      <c r="B215" s="6" t="s">
        <v>27</v>
      </c>
      <c r="C215" s="6" t="s">
        <v>52</v>
      </c>
      <c r="D215" s="65" t="str">
        <f t="shared" si="11"/>
        <v>018_S_d</v>
      </c>
      <c r="E215">
        <v>112</v>
      </c>
      <c r="F215" t="s">
        <v>34</v>
      </c>
      <c r="G215" t="s">
        <v>297</v>
      </c>
      <c r="H215" t="s">
        <v>56</v>
      </c>
      <c r="I215">
        <v>0</v>
      </c>
      <c r="J215" s="82">
        <v>1.1000000000000001</v>
      </c>
      <c r="K215" s="82">
        <v>1</v>
      </c>
      <c r="L215" s="82">
        <v>1</v>
      </c>
      <c r="M215">
        <v>1</v>
      </c>
      <c r="N215" s="82">
        <v>1</v>
      </c>
      <c r="O215" s="44">
        <f t="shared" si="10"/>
        <v>2.4390243902439068E-3</v>
      </c>
      <c r="P215">
        <f t="shared" si="12"/>
        <v>1.02</v>
      </c>
      <c r="R215" t="s">
        <v>57</v>
      </c>
      <c r="S215" s="65" t="s">
        <v>57</v>
      </c>
      <c r="T215" t="s">
        <v>57</v>
      </c>
      <c r="U215" t="s">
        <v>57</v>
      </c>
      <c r="V215" t="s">
        <v>32</v>
      </c>
      <c r="W215" t="s">
        <v>67</v>
      </c>
    </row>
    <row r="216" spans="1:23" x14ac:dyDescent="0.2">
      <c r="A216" s="5" t="s">
        <v>287</v>
      </c>
      <c r="B216" s="6" t="s">
        <v>33</v>
      </c>
      <c r="C216" s="6" t="s">
        <v>52</v>
      </c>
      <c r="D216" s="65" t="str">
        <f t="shared" si="11"/>
        <v>018_V_d</v>
      </c>
      <c r="E216">
        <v>116</v>
      </c>
      <c r="F216" t="s">
        <v>82</v>
      </c>
      <c r="G216" t="s">
        <v>298</v>
      </c>
      <c r="I216">
        <v>2.1407012417823199</v>
      </c>
      <c r="J216" s="82">
        <v>18.3</v>
      </c>
      <c r="K216" s="82">
        <v>5.5</v>
      </c>
      <c r="L216" s="82">
        <v>41.6</v>
      </c>
      <c r="M216">
        <v>43.3</v>
      </c>
      <c r="N216" s="82">
        <v>32.4</v>
      </c>
      <c r="O216" s="44">
        <f t="shared" si="10"/>
        <v>12.470622508432996</v>
      </c>
      <c r="P216">
        <f t="shared" si="12"/>
        <v>28.22</v>
      </c>
      <c r="Q216" s="111">
        <v>0.252</v>
      </c>
      <c r="R216">
        <v>0.505</v>
      </c>
      <c r="S216" s="65">
        <v>14</v>
      </c>
      <c r="T216">
        <v>21</v>
      </c>
      <c r="U216" t="s">
        <v>31</v>
      </c>
      <c r="V216" t="s">
        <v>32</v>
      </c>
    </row>
    <row r="217" spans="1:23" ht="16" x14ac:dyDescent="0.2">
      <c r="A217" s="5" t="s">
        <v>287</v>
      </c>
      <c r="B217" s="6" t="s">
        <v>36</v>
      </c>
      <c r="C217" s="6" t="s">
        <v>52</v>
      </c>
      <c r="D217" s="65" t="str">
        <f t="shared" si="11"/>
        <v>018_O_d</v>
      </c>
      <c r="E217">
        <v>124</v>
      </c>
      <c r="F217" t="s">
        <v>43</v>
      </c>
      <c r="G217" t="s">
        <v>299</v>
      </c>
      <c r="I217">
        <v>2.82263937751984</v>
      </c>
      <c r="J217" s="82">
        <v>20.399999999999999</v>
      </c>
      <c r="K217" s="82">
        <v>28.4</v>
      </c>
      <c r="L217" s="84">
        <v>40.9</v>
      </c>
      <c r="M217">
        <v>41.8</v>
      </c>
      <c r="N217" s="82">
        <v>44.6</v>
      </c>
      <c r="O217" s="44">
        <f t="shared" si="10"/>
        <v>3.2416476552598175</v>
      </c>
      <c r="P217">
        <f t="shared" si="12"/>
        <v>35.22</v>
      </c>
      <c r="Q217" s="111">
        <v>0.251</v>
      </c>
      <c r="R217">
        <v>0.32800000000000001</v>
      </c>
      <c r="S217" s="65">
        <v>7</v>
      </c>
      <c r="T217">
        <v>38</v>
      </c>
      <c r="U217" t="s">
        <v>51</v>
      </c>
      <c r="V217" t="s">
        <v>32</v>
      </c>
    </row>
    <row r="218" spans="1:23" ht="16" x14ac:dyDescent="0.2">
      <c r="A218" s="5" t="s">
        <v>300</v>
      </c>
      <c r="B218" s="6" t="s">
        <v>36</v>
      </c>
      <c r="C218" s="6" t="s">
        <v>28</v>
      </c>
      <c r="D218" s="65" t="str">
        <f t="shared" si="11"/>
        <v>019_O_a</v>
      </c>
      <c r="E218">
        <v>3</v>
      </c>
      <c r="F218" t="s">
        <v>43</v>
      </c>
      <c r="G218" t="s">
        <v>301</v>
      </c>
      <c r="I218">
        <v>4.06818392223422</v>
      </c>
      <c r="J218" s="84">
        <v>22.8</v>
      </c>
      <c r="K218" s="82">
        <v>17.899999999999999</v>
      </c>
      <c r="L218" s="82">
        <v>19.399999999999999</v>
      </c>
      <c r="M218" s="82">
        <v>25.6</v>
      </c>
      <c r="N218" s="82">
        <v>26.9</v>
      </c>
      <c r="O218" s="44">
        <f t="shared" si="10"/>
        <v>0.55772073123298105</v>
      </c>
      <c r="P218">
        <f t="shared" si="12"/>
        <v>22.52</v>
      </c>
      <c r="Q218" s="111">
        <v>0.375</v>
      </c>
      <c r="R218">
        <v>0.45200000000000001</v>
      </c>
      <c r="S218" s="65">
        <v>17</v>
      </c>
      <c r="T218">
        <v>64</v>
      </c>
      <c r="U218" t="s">
        <v>260</v>
      </c>
      <c r="V218" t="s">
        <v>32</v>
      </c>
    </row>
    <row r="219" spans="1:23" x14ac:dyDescent="0.2">
      <c r="A219" s="2" t="s">
        <v>300</v>
      </c>
      <c r="B219" t="s">
        <v>33</v>
      </c>
      <c r="C219" t="s">
        <v>28</v>
      </c>
      <c r="D219" s="65" t="str">
        <f t="shared" si="11"/>
        <v>019_V_a</v>
      </c>
      <c r="E219">
        <v>26</v>
      </c>
      <c r="F219" t="s">
        <v>82</v>
      </c>
      <c r="G219" t="s">
        <v>302</v>
      </c>
      <c r="I219">
        <v>0.33541072603641098</v>
      </c>
      <c r="J219" s="82">
        <v>2</v>
      </c>
      <c r="K219" t="s">
        <v>57</v>
      </c>
      <c r="L219" s="82">
        <v>23.8</v>
      </c>
      <c r="M219" s="82">
        <v>27.3</v>
      </c>
      <c r="N219" s="82">
        <v>14.8</v>
      </c>
      <c r="O219" s="44">
        <f t="shared" si="10"/>
        <v>10.617514124293786</v>
      </c>
      <c r="P219">
        <f t="shared" si="12"/>
        <v>16.975000000000001</v>
      </c>
      <c r="Q219" s="111">
        <v>4.8000000000000001E-2</v>
      </c>
      <c r="R219">
        <v>0.113</v>
      </c>
      <c r="S219" s="65">
        <v>3</v>
      </c>
      <c r="T219">
        <v>10</v>
      </c>
      <c r="U219" t="s">
        <v>31</v>
      </c>
      <c r="V219" t="s">
        <v>32</v>
      </c>
    </row>
    <row r="220" spans="1:23" x14ac:dyDescent="0.2">
      <c r="A220" s="5" t="s">
        <v>300</v>
      </c>
      <c r="B220" s="6" t="s">
        <v>27</v>
      </c>
      <c r="C220" s="6" t="s">
        <v>28</v>
      </c>
      <c r="D220" s="65" t="str">
        <f t="shared" si="11"/>
        <v>019_S_a</v>
      </c>
      <c r="E220">
        <v>30</v>
      </c>
      <c r="F220" t="s">
        <v>63</v>
      </c>
      <c r="G220" t="s">
        <v>303</v>
      </c>
      <c r="I220">
        <v>5.1333845809806</v>
      </c>
      <c r="J220" s="82">
        <v>9.8000000000000007</v>
      </c>
      <c r="K220" s="82">
        <v>31</v>
      </c>
      <c r="L220" s="82">
        <v>48.4</v>
      </c>
      <c r="M220" s="82">
        <v>11.1</v>
      </c>
      <c r="N220" s="82">
        <v>39</v>
      </c>
      <c r="O220" s="44">
        <f t="shared" si="10"/>
        <v>13.396975739448335</v>
      </c>
      <c r="P220">
        <f t="shared" si="12"/>
        <v>27.859999999999996</v>
      </c>
      <c r="Q220" s="111">
        <v>0.32200000000000001</v>
      </c>
      <c r="R220">
        <v>0.35099999999999998</v>
      </c>
      <c r="S220" s="65">
        <v>15</v>
      </c>
      <c r="T220">
        <v>58</v>
      </c>
      <c r="U220" t="s">
        <v>72</v>
      </c>
      <c r="V220" t="s">
        <v>32</v>
      </c>
    </row>
    <row r="221" spans="1:23" x14ac:dyDescent="0.2">
      <c r="A221" s="2" t="s">
        <v>300</v>
      </c>
      <c r="B221" t="s">
        <v>33</v>
      </c>
      <c r="C221" t="s">
        <v>38</v>
      </c>
      <c r="D221" s="65" t="str">
        <f t="shared" si="11"/>
        <v>019_V_b</v>
      </c>
      <c r="E221">
        <v>38</v>
      </c>
      <c r="F221" t="s">
        <v>29</v>
      </c>
      <c r="G221" t="s">
        <v>304</v>
      </c>
      <c r="I221">
        <v>3.5001339200306099</v>
      </c>
      <c r="J221" s="82">
        <v>2.8</v>
      </c>
      <c r="K221" s="82">
        <v>18.8</v>
      </c>
      <c r="L221" s="82">
        <v>36</v>
      </c>
      <c r="M221" s="82">
        <v>25.7</v>
      </c>
      <c r="N221" s="82">
        <v>26.2</v>
      </c>
      <c r="O221" s="44">
        <f t="shared" si="10"/>
        <v>9.3324929971988819</v>
      </c>
      <c r="P221">
        <f t="shared" si="12"/>
        <v>21.9</v>
      </c>
      <c r="Q221" s="111">
        <v>0.14499999999999999</v>
      </c>
      <c r="R221">
        <v>0.26500000000000001</v>
      </c>
      <c r="S221" s="65">
        <v>10</v>
      </c>
      <c r="T221">
        <v>32</v>
      </c>
      <c r="U221" s="76" t="s">
        <v>31</v>
      </c>
      <c r="V221" t="s">
        <v>32</v>
      </c>
    </row>
    <row r="222" spans="1:23" s="19" customFormat="1" x14ac:dyDescent="0.2">
      <c r="A222" s="17" t="s">
        <v>300</v>
      </c>
      <c r="B222" s="18" t="s">
        <v>27</v>
      </c>
      <c r="C222" s="18" t="s">
        <v>38</v>
      </c>
      <c r="D222" s="66" t="str">
        <f t="shared" si="11"/>
        <v>019_S_b</v>
      </c>
      <c r="E222" s="19">
        <v>68</v>
      </c>
      <c r="F222" s="19" t="s">
        <v>43</v>
      </c>
      <c r="G222" s="19" t="s">
        <v>305</v>
      </c>
      <c r="I222">
        <v>1.0717278384867901</v>
      </c>
      <c r="J222" s="83">
        <v>17.399999999999999</v>
      </c>
      <c r="K222" s="82">
        <v>9.8000000000000007</v>
      </c>
      <c r="L222" s="82">
        <v>22.9</v>
      </c>
      <c r="M222" s="82">
        <v>10.6</v>
      </c>
      <c r="N222" s="82">
        <v>4.5</v>
      </c>
      <c r="O222" s="54">
        <f t="shared" si="10"/>
        <v>2.5139483800109854</v>
      </c>
      <c r="P222">
        <f t="shared" si="12"/>
        <v>13.039999999999997</v>
      </c>
      <c r="Q222" s="112">
        <v>0.14699999999999999</v>
      </c>
      <c r="R222" s="19">
        <v>0.33900000000000002</v>
      </c>
      <c r="S222" s="66">
        <v>7</v>
      </c>
      <c r="T222" s="19">
        <v>43</v>
      </c>
      <c r="U222" t="s">
        <v>31</v>
      </c>
      <c r="V222" t="s">
        <v>32</v>
      </c>
    </row>
    <row r="223" spans="1:23" x14ac:dyDescent="0.2">
      <c r="A223" s="5" t="s">
        <v>300</v>
      </c>
      <c r="B223" s="6" t="s">
        <v>36</v>
      </c>
      <c r="C223" s="6" t="s">
        <v>38</v>
      </c>
      <c r="D223" s="65" t="str">
        <f t="shared" si="11"/>
        <v>019_O_b</v>
      </c>
      <c r="E223">
        <v>69</v>
      </c>
      <c r="F223" t="s">
        <v>29</v>
      </c>
      <c r="G223" t="s">
        <v>306</v>
      </c>
      <c r="I223">
        <v>2.7080146144278601</v>
      </c>
      <c r="J223" s="82">
        <v>13</v>
      </c>
      <c r="K223" s="82">
        <v>13.7</v>
      </c>
      <c r="L223" s="82">
        <v>17.2</v>
      </c>
      <c r="M223" s="82">
        <v>19</v>
      </c>
      <c r="N223" s="82">
        <v>31.4</v>
      </c>
      <c r="O223" s="44">
        <f t="shared" si="10"/>
        <v>0.51780604133545338</v>
      </c>
      <c r="P223">
        <f t="shared" si="12"/>
        <v>18.86</v>
      </c>
      <c r="Q223" s="111">
        <v>6.9000000000000006E-2</v>
      </c>
      <c r="R223">
        <v>0.129</v>
      </c>
      <c r="S223" s="65">
        <v>3</v>
      </c>
      <c r="T223">
        <v>26</v>
      </c>
      <c r="U223" t="s">
        <v>31</v>
      </c>
      <c r="V223" t="s">
        <v>32</v>
      </c>
    </row>
    <row r="224" spans="1:23" x14ac:dyDescent="0.2">
      <c r="A224" s="5" t="s">
        <v>300</v>
      </c>
      <c r="B224" s="6" t="s">
        <v>33</v>
      </c>
      <c r="C224" s="6" t="s">
        <v>45</v>
      </c>
      <c r="D224" s="65" t="str">
        <f t="shared" si="11"/>
        <v>019_V_c</v>
      </c>
      <c r="E224">
        <v>76</v>
      </c>
      <c r="F224" t="s">
        <v>29</v>
      </c>
      <c r="G224" t="s">
        <v>307</v>
      </c>
      <c r="I224">
        <v>2.0699872668713999</v>
      </c>
      <c r="J224" s="82">
        <v>19.2</v>
      </c>
      <c r="K224" s="82">
        <v>5.0999999999999996</v>
      </c>
      <c r="L224" s="82">
        <v>30.1</v>
      </c>
      <c r="M224" s="82">
        <v>6.5</v>
      </c>
      <c r="N224" s="82">
        <v>5.7</v>
      </c>
      <c r="O224" s="44">
        <f t="shared" si="10"/>
        <v>9.1014230979748234</v>
      </c>
      <c r="P224">
        <f t="shared" si="12"/>
        <v>13.319999999999999</v>
      </c>
      <c r="Q224" s="111">
        <v>0.11</v>
      </c>
      <c r="R224">
        <v>0.20799999999999999</v>
      </c>
      <c r="S224" s="65">
        <v>8</v>
      </c>
      <c r="T224">
        <v>42</v>
      </c>
      <c r="U224" t="s">
        <v>31</v>
      </c>
      <c r="V224" t="s">
        <v>32</v>
      </c>
    </row>
    <row r="225" spans="1:23" x14ac:dyDescent="0.2">
      <c r="A225" s="5" t="s">
        <v>300</v>
      </c>
      <c r="B225" s="6" t="s">
        <v>27</v>
      </c>
      <c r="C225" s="6" t="s">
        <v>45</v>
      </c>
      <c r="D225" s="65" t="str">
        <f t="shared" si="11"/>
        <v>019_S_c</v>
      </c>
      <c r="E225">
        <v>94</v>
      </c>
      <c r="F225" t="s">
        <v>41</v>
      </c>
      <c r="G225" t="s">
        <v>308</v>
      </c>
      <c r="I225">
        <v>1.3561110528523499</v>
      </c>
      <c r="J225" s="82">
        <v>10.5</v>
      </c>
      <c r="K225" s="82">
        <v>4.3</v>
      </c>
      <c r="L225" s="82">
        <v>20.3</v>
      </c>
      <c r="M225">
        <v>4.3</v>
      </c>
      <c r="N225" s="82">
        <v>39</v>
      </c>
      <c r="O225" s="44">
        <f t="shared" si="10"/>
        <v>5.7945854483925574</v>
      </c>
      <c r="P225">
        <f t="shared" si="12"/>
        <v>15.680000000000001</v>
      </c>
      <c r="Q225" s="111">
        <v>3.9E-2</v>
      </c>
      <c r="R225">
        <v>0.123</v>
      </c>
      <c r="S225" s="65">
        <v>7</v>
      </c>
      <c r="T225">
        <v>21</v>
      </c>
      <c r="U225" t="s">
        <v>51</v>
      </c>
      <c r="V225" t="s">
        <v>32</v>
      </c>
    </row>
    <row r="226" spans="1:23" x14ac:dyDescent="0.2">
      <c r="A226" s="5" t="s">
        <v>300</v>
      </c>
      <c r="B226" s="6" t="s">
        <v>36</v>
      </c>
      <c r="C226" s="6" t="s">
        <v>45</v>
      </c>
      <c r="D226" s="65" t="str">
        <f t="shared" si="11"/>
        <v>019_O_c</v>
      </c>
      <c r="E226">
        <v>104</v>
      </c>
      <c r="F226" t="s">
        <v>39</v>
      </c>
      <c r="G226" t="s">
        <v>309</v>
      </c>
      <c r="I226">
        <v>1.15833290718486</v>
      </c>
      <c r="J226" s="82">
        <v>9.3000000000000007</v>
      </c>
      <c r="L226" s="82">
        <v>9.9</v>
      </c>
      <c r="M226">
        <v>14.4</v>
      </c>
      <c r="N226" s="82">
        <v>16.7</v>
      </c>
      <c r="O226" s="44">
        <f t="shared" si="10"/>
        <v>0.69375000000000087</v>
      </c>
      <c r="P226">
        <f t="shared" si="12"/>
        <v>12.574999999999999</v>
      </c>
      <c r="Q226" s="111">
        <v>5.7000000000000002E-2</v>
      </c>
      <c r="R226">
        <v>0.105</v>
      </c>
      <c r="S226" s="65">
        <v>4</v>
      </c>
      <c r="T226">
        <v>52</v>
      </c>
      <c r="U226" t="s">
        <v>72</v>
      </c>
      <c r="V226" t="s">
        <v>32</v>
      </c>
    </row>
    <row r="227" spans="1:23" s="43" customFormat="1" x14ac:dyDescent="0.2">
      <c r="A227" s="5" t="s">
        <v>300</v>
      </c>
      <c r="B227" s="6" t="s">
        <v>27</v>
      </c>
      <c r="C227" s="6" t="s">
        <v>52</v>
      </c>
      <c r="D227" s="65" t="str">
        <f t="shared" si="11"/>
        <v>019_S_d</v>
      </c>
      <c r="E227">
        <v>109</v>
      </c>
      <c r="F227" t="s">
        <v>39</v>
      </c>
      <c r="G227" t="s">
        <v>310</v>
      </c>
      <c r="H227"/>
      <c r="I227">
        <v>5.9753119528358303</v>
      </c>
      <c r="J227" s="82">
        <v>12.4</v>
      </c>
      <c r="K227" s="82">
        <v>3.7</v>
      </c>
      <c r="L227" s="82">
        <v>24.8</v>
      </c>
      <c r="M227">
        <v>29.2</v>
      </c>
      <c r="N227" s="82">
        <v>34</v>
      </c>
      <c r="O227" s="44">
        <f t="shared" ref="O227:O290" si="13">VAR(J227:M227)/AVERAGE(J227:M227)</f>
        <v>7.7342368045649028</v>
      </c>
      <c r="P227">
        <f t="shared" si="12"/>
        <v>20.82</v>
      </c>
      <c r="Q227" s="111">
        <v>0.56699999999999995</v>
      </c>
      <c r="R227">
        <v>0.63500000000000001</v>
      </c>
      <c r="S227" s="65">
        <v>9</v>
      </c>
      <c r="T227">
        <v>52</v>
      </c>
      <c r="U227" t="s">
        <v>54</v>
      </c>
      <c r="V227" t="s">
        <v>32</v>
      </c>
      <c r="W227"/>
    </row>
    <row r="228" spans="1:23" s="43" customFormat="1" ht="16" x14ac:dyDescent="0.2">
      <c r="A228" s="5" t="s">
        <v>300</v>
      </c>
      <c r="B228" s="6" t="s">
        <v>36</v>
      </c>
      <c r="C228" s="6" t="s">
        <v>52</v>
      </c>
      <c r="D228" s="65" t="str">
        <f t="shared" si="11"/>
        <v>019_O_d</v>
      </c>
      <c r="E228">
        <v>120</v>
      </c>
      <c r="F228" t="s">
        <v>82</v>
      </c>
      <c r="G228" t="s">
        <v>311</v>
      </c>
      <c r="H228"/>
      <c r="I228">
        <v>2.5026840003052899</v>
      </c>
      <c r="J228" s="82">
        <v>16.3</v>
      </c>
      <c r="K228" s="82">
        <v>20.7</v>
      </c>
      <c r="L228" s="84">
        <v>19</v>
      </c>
      <c r="M228">
        <v>22</v>
      </c>
      <c r="N228" s="82">
        <v>22.4</v>
      </c>
      <c r="O228" s="44">
        <f t="shared" si="13"/>
        <v>0.31076923076922797</v>
      </c>
      <c r="P228">
        <f t="shared" si="12"/>
        <v>20.080000000000002</v>
      </c>
      <c r="Q228" s="111">
        <v>0.13700000000000001</v>
      </c>
      <c r="R228">
        <v>0.34499999999999997</v>
      </c>
      <c r="S228" s="65">
        <v>0</v>
      </c>
      <c r="T228">
        <v>56</v>
      </c>
      <c r="U228" t="s">
        <v>31</v>
      </c>
      <c r="V228" t="s">
        <v>32</v>
      </c>
      <c r="W228"/>
    </row>
    <row r="229" spans="1:23" ht="16" x14ac:dyDescent="0.2">
      <c r="A229" s="5" t="s">
        <v>300</v>
      </c>
      <c r="B229" s="6" t="s">
        <v>33</v>
      </c>
      <c r="C229" s="6" t="s">
        <v>52</v>
      </c>
      <c r="D229" s="65" t="str">
        <f t="shared" si="11"/>
        <v>019_V_d</v>
      </c>
      <c r="E229">
        <v>139</v>
      </c>
      <c r="F229" t="s">
        <v>39</v>
      </c>
      <c r="G229" t="s">
        <v>312</v>
      </c>
      <c r="I229">
        <v>2.2601352405721702</v>
      </c>
      <c r="J229" s="82">
        <v>6.1</v>
      </c>
      <c r="K229" s="82">
        <v>5.8</v>
      </c>
      <c r="L229" s="84">
        <v>20.6</v>
      </c>
      <c r="M229" s="82">
        <v>5</v>
      </c>
      <c r="N229" s="82">
        <v>30.9</v>
      </c>
      <c r="O229" s="44">
        <f t="shared" si="13"/>
        <v>5.9963555555555565</v>
      </c>
      <c r="P229">
        <f t="shared" si="12"/>
        <v>13.680000000000001</v>
      </c>
      <c r="Q229" s="111">
        <v>0.11</v>
      </c>
      <c r="R229">
        <v>0.26400000000000001</v>
      </c>
      <c r="S229" s="65">
        <v>12</v>
      </c>
      <c r="T229">
        <v>72</v>
      </c>
      <c r="U229" t="s">
        <v>72</v>
      </c>
      <c r="V229" t="s">
        <v>32</v>
      </c>
    </row>
    <row r="230" spans="1:23" ht="16" x14ac:dyDescent="0.2">
      <c r="A230" s="5" t="s">
        <v>313</v>
      </c>
      <c r="B230" s="6" t="s">
        <v>36</v>
      </c>
      <c r="C230" s="6" t="s">
        <v>28</v>
      </c>
      <c r="D230" s="65" t="str">
        <f t="shared" si="11"/>
        <v>020_O_a</v>
      </c>
      <c r="E230">
        <v>13</v>
      </c>
      <c r="F230" t="s">
        <v>39</v>
      </c>
      <c r="G230" t="s">
        <v>314</v>
      </c>
      <c r="I230">
        <v>1.23273871983211</v>
      </c>
      <c r="J230" s="84">
        <v>45.1</v>
      </c>
      <c r="K230" s="82">
        <v>30.8</v>
      </c>
      <c r="L230" s="82">
        <v>30.2</v>
      </c>
      <c r="M230" s="82">
        <v>31.1</v>
      </c>
      <c r="N230" s="82">
        <v>32.299999999999997</v>
      </c>
      <c r="O230" s="44">
        <f t="shared" si="13"/>
        <v>1.5154518950437277</v>
      </c>
      <c r="P230">
        <f t="shared" si="12"/>
        <v>33.9</v>
      </c>
      <c r="Q230" s="111">
        <v>0.104</v>
      </c>
      <c r="R230">
        <v>0.14799999999999999</v>
      </c>
      <c r="S230" s="65">
        <v>13</v>
      </c>
      <c r="T230" s="47">
        <v>16</v>
      </c>
      <c r="U230" s="47" t="s">
        <v>51</v>
      </c>
      <c r="V230" t="s">
        <v>32</v>
      </c>
    </row>
    <row r="231" spans="1:23" ht="16" x14ac:dyDescent="0.2">
      <c r="A231" s="5" t="s">
        <v>313</v>
      </c>
      <c r="B231" s="6" t="s">
        <v>27</v>
      </c>
      <c r="C231" s="6" t="s">
        <v>28</v>
      </c>
      <c r="D231" s="65" t="str">
        <f t="shared" si="11"/>
        <v>020_S_a</v>
      </c>
      <c r="E231">
        <v>16</v>
      </c>
      <c r="F231" t="s">
        <v>49</v>
      </c>
      <c r="G231" t="s">
        <v>315</v>
      </c>
      <c r="I231">
        <v>2.8451496210256901</v>
      </c>
      <c r="J231" s="84">
        <v>1</v>
      </c>
      <c r="K231" s="82">
        <v>35.6</v>
      </c>
      <c r="L231" s="82">
        <v>26.9</v>
      </c>
      <c r="M231" s="82">
        <v>23</v>
      </c>
      <c r="N231" s="82">
        <v>31.4</v>
      </c>
      <c r="O231" s="44">
        <f t="shared" si="13"/>
        <v>10.025549132947981</v>
      </c>
      <c r="P231">
        <f t="shared" si="12"/>
        <v>23.580000000000002</v>
      </c>
      <c r="Q231" s="111">
        <v>0.374</v>
      </c>
      <c r="R231">
        <v>0.53200000000000003</v>
      </c>
      <c r="S231" s="65">
        <v>16</v>
      </c>
      <c r="T231">
        <v>13</v>
      </c>
      <c r="U231" s="47" t="s">
        <v>31</v>
      </c>
      <c r="V231" t="s">
        <v>32</v>
      </c>
    </row>
    <row r="232" spans="1:23" s="19" customFormat="1" x14ac:dyDescent="0.2">
      <c r="A232" s="121" t="s">
        <v>313</v>
      </c>
      <c r="B232" s="106" t="s">
        <v>33</v>
      </c>
      <c r="C232" s="106" t="s">
        <v>28</v>
      </c>
      <c r="D232" s="118" t="str">
        <f t="shared" si="11"/>
        <v>020_V_a</v>
      </c>
      <c r="E232" s="106">
        <v>21</v>
      </c>
      <c r="F232" s="106" t="s">
        <v>39</v>
      </c>
      <c r="G232" s="106" t="s">
        <v>316</v>
      </c>
      <c r="H232" s="106"/>
      <c r="I232">
        <v>1.6457112369695499</v>
      </c>
      <c r="J232" s="83">
        <v>1.4</v>
      </c>
      <c r="K232" s="82">
        <v>23.5</v>
      </c>
      <c r="L232" s="82">
        <v>4.8</v>
      </c>
      <c r="M232" s="82">
        <v>3.2</v>
      </c>
      <c r="N232" s="82">
        <v>11.8</v>
      </c>
      <c r="O232" s="119">
        <f t="shared" si="13"/>
        <v>12.84245187436677</v>
      </c>
      <c r="P232" s="43">
        <f t="shared" si="12"/>
        <v>8.9400000000000013</v>
      </c>
      <c r="Q232" s="120">
        <v>0.106</v>
      </c>
      <c r="R232" s="106">
        <v>0.218</v>
      </c>
      <c r="S232" s="118">
        <v>6</v>
      </c>
      <c r="T232" s="106">
        <v>20</v>
      </c>
      <c r="U232" s="19" t="s">
        <v>72</v>
      </c>
      <c r="V232" t="s">
        <v>32</v>
      </c>
      <c r="W232" s="106"/>
    </row>
    <row r="233" spans="1:23" x14ac:dyDescent="0.2">
      <c r="A233" s="5" t="s">
        <v>313</v>
      </c>
      <c r="B233" s="6" t="s">
        <v>27</v>
      </c>
      <c r="C233" s="6" t="s">
        <v>38</v>
      </c>
      <c r="D233" s="65" t="str">
        <f t="shared" si="11"/>
        <v>020_S_b</v>
      </c>
      <c r="E233">
        <v>43</v>
      </c>
      <c r="F233" t="s">
        <v>34</v>
      </c>
      <c r="G233" t="s">
        <v>317</v>
      </c>
      <c r="I233">
        <v>3.6770044052863402</v>
      </c>
      <c r="J233" s="82">
        <v>4.2</v>
      </c>
      <c r="K233" s="82">
        <v>37.299999999999997</v>
      </c>
      <c r="L233" s="81">
        <v>1.9</v>
      </c>
      <c r="M233" s="82">
        <v>12.6</v>
      </c>
      <c r="N233" s="82">
        <v>20.100000000000001</v>
      </c>
      <c r="O233" s="44">
        <f t="shared" si="13"/>
        <v>18.745238095238086</v>
      </c>
      <c r="P233">
        <f t="shared" si="12"/>
        <v>15.219999999999999</v>
      </c>
      <c r="Q233" s="111">
        <v>0.27400000000000002</v>
      </c>
      <c r="R233">
        <v>0.46600000000000003</v>
      </c>
      <c r="S233" s="65">
        <v>14</v>
      </c>
      <c r="T233">
        <v>28</v>
      </c>
      <c r="U233" t="s">
        <v>54</v>
      </c>
      <c r="V233" t="s">
        <v>32</v>
      </c>
    </row>
    <row r="234" spans="1:23" x14ac:dyDescent="0.2">
      <c r="A234" s="5" t="s">
        <v>313</v>
      </c>
      <c r="B234" s="6" t="s">
        <v>36</v>
      </c>
      <c r="C234" s="6" t="s">
        <v>38</v>
      </c>
      <c r="D234" s="65" t="str">
        <f t="shared" si="11"/>
        <v>020_O_b</v>
      </c>
      <c r="E234">
        <v>48</v>
      </c>
      <c r="F234" t="s">
        <v>68</v>
      </c>
      <c r="G234" t="s">
        <v>318</v>
      </c>
      <c r="I234">
        <v>2.34594359865127</v>
      </c>
      <c r="J234" s="82">
        <v>7.7</v>
      </c>
      <c r="K234" s="82">
        <v>24.5</v>
      </c>
      <c r="L234" s="82">
        <v>31.2</v>
      </c>
      <c r="M234" s="82">
        <v>27.6</v>
      </c>
      <c r="N234" s="82">
        <v>33.299999999999997</v>
      </c>
      <c r="O234" s="44">
        <f t="shared" si="13"/>
        <v>4.7544322344322376</v>
      </c>
      <c r="P234">
        <f t="shared" si="12"/>
        <v>24.86</v>
      </c>
      <c r="Q234" s="111">
        <v>0.12</v>
      </c>
      <c r="R234">
        <v>0.29599999999999999</v>
      </c>
      <c r="S234" s="65">
        <v>7</v>
      </c>
      <c r="T234" s="43">
        <v>9</v>
      </c>
      <c r="U234" t="s">
        <v>31</v>
      </c>
      <c r="V234" t="s">
        <v>32</v>
      </c>
    </row>
    <row r="235" spans="1:23" x14ac:dyDescent="0.2">
      <c r="A235" s="2" t="s">
        <v>313</v>
      </c>
      <c r="B235" t="s">
        <v>33</v>
      </c>
      <c r="C235" t="s">
        <v>38</v>
      </c>
      <c r="D235" s="65" t="str">
        <f t="shared" si="11"/>
        <v>020_V_b</v>
      </c>
      <c r="E235">
        <v>66</v>
      </c>
      <c r="F235" t="s">
        <v>39</v>
      </c>
      <c r="G235" t="s">
        <v>319</v>
      </c>
      <c r="I235">
        <v>0.41411858741461999</v>
      </c>
      <c r="J235" s="82">
        <v>1.6</v>
      </c>
      <c r="K235" s="82">
        <v>2.8</v>
      </c>
      <c r="L235" t="s">
        <v>57</v>
      </c>
      <c r="M235" s="82">
        <v>3</v>
      </c>
      <c r="N235" s="82">
        <v>32.5</v>
      </c>
      <c r="O235" s="44">
        <f t="shared" si="13"/>
        <v>0.23243243243243203</v>
      </c>
      <c r="P235">
        <f t="shared" si="12"/>
        <v>9.9749999999999996</v>
      </c>
      <c r="Q235" s="111">
        <v>4.4999999999999998E-2</v>
      </c>
      <c r="R235">
        <v>0.159</v>
      </c>
      <c r="S235" s="65">
        <v>6</v>
      </c>
      <c r="T235">
        <v>11</v>
      </c>
      <c r="U235" t="s">
        <v>31</v>
      </c>
      <c r="V235" t="s">
        <v>32</v>
      </c>
    </row>
    <row r="236" spans="1:23" x14ac:dyDescent="0.2">
      <c r="A236" s="5" t="s">
        <v>313</v>
      </c>
      <c r="B236" s="6" t="s">
        <v>33</v>
      </c>
      <c r="C236" s="6" t="s">
        <v>45</v>
      </c>
      <c r="D236" s="65" t="str">
        <f t="shared" si="11"/>
        <v>020_V_c</v>
      </c>
      <c r="E236">
        <v>75</v>
      </c>
      <c r="F236" t="s">
        <v>68</v>
      </c>
      <c r="G236" t="s">
        <v>320</v>
      </c>
      <c r="I236">
        <v>2.18689024390244</v>
      </c>
      <c r="J236" s="82">
        <v>33.1</v>
      </c>
      <c r="K236" s="82">
        <v>36.299999999999997</v>
      </c>
      <c r="L236" s="82">
        <v>25.7</v>
      </c>
      <c r="M236" s="82">
        <v>31.5</v>
      </c>
      <c r="N236" s="82">
        <v>34.700000000000003</v>
      </c>
      <c r="O236" s="44">
        <f t="shared" si="13"/>
        <v>0.62295945234333472</v>
      </c>
      <c r="P236">
        <f t="shared" si="12"/>
        <v>32.260000000000005</v>
      </c>
      <c r="Q236" s="111">
        <v>0.29299999999999998</v>
      </c>
      <c r="R236">
        <v>0.38300000000000001</v>
      </c>
      <c r="S236" s="65">
        <v>13</v>
      </c>
      <c r="T236">
        <v>21</v>
      </c>
      <c r="U236" t="s">
        <v>128</v>
      </c>
      <c r="V236" t="s">
        <v>32</v>
      </c>
    </row>
    <row r="237" spans="1:23" x14ac:dyDescent="0.2">
      <c r="A237" s="5" t="s">
        <v>313</v>
      </c>
      <c r="B237" s="6" t="s">
        <v>27</v>
      </c>
      <c r="C237" s="6" t="s">
        <v>45</v>
      </c>
      <c r="D237" s="65" t="str">
        <f t="shared" si="11"/>
        <v>020_S_c</v>
      </c>
      <c r="E237">
        <v>84</v>
      </c>
      <c r="F237" t="s">
        <v>49</v>
      </c>
      <c r="G237" t="s">
        <v>321</v>
      </c>
      <c r="I237">
        <v>6.83996537296205</v>
      </c>
      <c r="J237" s="82">
        <v>13.9</v>
      </c>
      <c r="K237" t="s">
        <v>57</v>
      </c>
      <c r="L237" s="82">
        <v>40.9</v>
      </c>
      <c r="M237" s="82">
        <v>31.2</v>
      </c>
      <c r="N237" s="82">
        <v>41.2</v>
      </c>
      <c r="O237" s="44">
        <f t="shared" si="13"/>
        <v>6.5254651162790678</v>
      </c>
      <c r="P237">
        <f t="shared" si="12"/>
        <v>31.8</v>
      </c>
      <c r="Q237" s="111">
        <v>0.71</v>
      </c>
      <c r="R237">
        <v>0.751</v>
      </c>
      <c r="S237" s="65">
        <v>23</v>
      </c>
      <c r="T237">
        <v>29</v>
      </c>
      <c r="U237" t="s">
        <v>72</v>
      </c>
      <c r="V237" t="s">
        <v>32</v>
      </c>
    </row>
    <row r="238" spans="1:23" x14ac:dyDescent="0.2">
      <c r="A238" s="5" t="s">
        <v>313</v>
      </c>
      <c r="B238" s="6" t="s">
        <v>36</v>
      </c>
      <c r="C238" s="6" t="s">
        <v>45</v>
      </c>
      <c r="D238" s="65" t="str">
        <f t="shared" si="11"/>
        <v>020_O_c</v>
      </c>
      <c r="E238">
        <v>94</v>
      </c>
      <c r="F238" t="s">
        <v>70</v>
      </c>
      <c r="G238" t="s">
        <v>322</v>
      </c>
      <c r="I238">
        <v>2.5723285444630899</v>
      </c>
      <c r="J238" s="82">
        <v>8.3000000000000007</v>
      </c>
      <c r="K238" s="82">
        <v>13.8</v>
      </c>
      <c r="L238" s="82">
        <v>36.6</v>
      </c>
      <c r="M238">
        <v>21.6</v>
      </c>
      <c r="N238" s="82">
        <v>33.700000000000003</v>
      </c>
      <c r="O238" s="44">
        <f t="shared" si="13"/>
        <v>7.5288916562889119</v>
      </c>
      <c r="P238">
        <f t="shared" si="12"/>
        <v>22.800000000000004</v>
      </c>
      <c r="Q238" s="111">
        <v>0.214</v>
      </c>
      <c r="R238">
        <v>0.38700000000000001</v>
      </c>
      <c r="S238" s="65">
        <v>11</v>
      </c>
      <c r="T238">
        <v>44</v>
      </c>
      <c r="U238" t="s">
        <v>51</v>
      </c>
      <c r="V238" t="s">
        <v>32</v>
      </c>
    </row>
    <row r="239" spans="1:23" x14ac:dyDescent="0.2">
      <c r="A239" s="5" t="s">
        <v>313</v>
      </c>
      <c r="B239" s="6" t="s">
        <v>36</v>
      </c>
      <c r="C239" s="6" t="s">
        <v>52</v>
      </c>
      <c r="D239" s="65" t="str">
        <f t="shared" si="11"/>
        <v>020_O_d</v>
      </c>
      <c r="E239">
        <v>115</v>
      </c>
      <c r="F239" t="s">
        <v>49</v>
      </c>
      <c r="G239" t="s">
        <v>323</v>
      </c>
      <c r="I239">
        <v>4.4981288407097999</v>
      </c>
      <c r="J239" s="82">
        <v>20.3</v>
      </c>
      <c r="K239" s="82">
        <v>51.6</v>
      </c>
      <c r="L239" s="82">
        <v>47.1</v>
      </c>
      <c r="M239">
        <v>44</v>
      </c>
      <c r="N239" s="82">
        <v>50.2</v>
      </c>
      <c r="O239" s="44">
        <f t="shared" si="13"/>
        <v>4.8000817995910054</v>
      </c>
      <c r="P239">
        <f t="shared" si="12"/>
        <v>42.64</v>
      </c>
      <c r="Q239" s="111">
        <v>0.26200000000000001</v>
      </c>
      <c r="R239">
        <v>0.45200000000000001</v>
      </c>
      <c r="S239" s="65">
        <v>15</v>
      </c>
      <c r="T239">
        <v>46</v>
      </c>
      <c r="U239" t="s">
        <v>31</v>
      </c>
      <c r="V239" t="s">
        <v>32</v>
      </c>
    </row>
    <row r="240" spans="1:23" ht="16" x14ac:dyDescent="0.2">
      <c r="A240" s="5" t="s">
        <v>313</v>
      </c>
      <c r="B240" s="6" t="s">
        <v>33</v>
      </c>
      <c r="C240" s="6" t="s">
        <v>52</v>
      </c>
      <c r="D240" s="65" t="str">
        <f t="shared" si="11"/>
        <v>020_V_d</v>
      </c>
      <c r="E240">
        <v>127</v>
      </c>
      <c r="F240" t="s">
        <v>34</v>
      </c>
      <c r="G240" t="s">
        <v>324</v>
      </c>
      <c r="I240">
        <v>4.4139113971980297</v>
      </c>
      <c r="J240" s="82">
        <v>9.6</v>
      </c>
      <c r="K240" s="82">
        <v>18.899999999999999</v>
      </c>
      <c r="L240" s="84">
        <v>52.4</v>
      </c>
      <c r="M240">
        <v>20.100000000000001</v>
      </c>
      <c r="N240" s="82">
        <v>59.5</v>
      </c>
      <c r="O240" s="44">
        <f t="shared" si="13"/>
        <v>13.846732673267324</v>
      </c>
      <c r="P240">
        <f t="shared" si="12"/>
        <v>32.1</v>
      </c>
      <c r="Q240" s="111">
        <v>0.34599999999999997</v>
      </c>
      <c r="R240">
        <v>0.32400000000000001</v>
      </c>
      <c r="S240" s="65">
        <v>12</v>
      </c>
      <c r="T240">
        <v>9</v>
      </c>
      <c r="U240" t="s">
        <v>54</v>
      </c>
      <c r="V240" t="s">
        <v>32</v>
      </c>
    </row>
    <row r="241" spans="1:23" ht="16" x14ac:dyDescent="0.2">
      <c r="A241" s="5" t="s">
        <v>313</v>
      </c>
      <c r="B241" s="6" t="s">
        <v>27</v>
      </c>
      <c r="C241" s="6" t="s">
        <v>52</v>
      </c>
      <c r="D241" s="65" t="str">
        <f t="shared" si="11"/>
        <v>020_S_d</v>
      </c>
      <c r="E241">
        <v>129</v>
      </c>
      <c r="F241" t="s">
        <v>41</v>
      </c>
      <c r="G241" t="s">
        <v>325</v>
      </c>
      <c r="H241" t="s">
        <v>56</v>
      </c>
      <c r="I241">
        <v>0</v>
      </c>
      <c r="J241" s="82">
        <v>1.1000000000000001</v>
      </c>
      <c r="K241" s="82">
        <v>0.9</v>
      </c>
      <c r="L241" s="84">
        <v>1</v>
      </c>
      <c r="M241">
        <v>1</v>
      </c>
      <c r="N241" s="82">
        <v>0.9</v>
      </c>
      <c r="O241" s="44">
        <f t="shared" si="13"/>
        <v>6.6666666666666706E-3</v>
      </c>
      <c r="P241">
        <f t="shared" si="12"/>
        <v>0.98000000000000009</v>
      </c>
      <c r="Q241" s="111" t="s">
        <v>57</v>
      </c>
      <c r="R241" t="s">
        <v>57</v>
      </c>
      <c r="S241" s="65" t="s">
        <v>57</v>
      </c>
      <c r="T241" t="s">
        <v>57</v>
      </c>
      <c r="V241" t="s">
        <v>32</v>
      </c>
      <c r="W241" t="s">
        <v>67</v>
      </c>
    </row>
    <row r="242" spans="1:23" s="19" customFormat="1" ht="16" x14ac:dyDescent="0.2">
      <c r="A242" s="17" t="s">
        <v>326</v>
      </c>
      <c r="B242" s="18" t="s">
        <v>36</v>
      </c>
      <c r="C242" s="18" t="s">
        <v>28</v>
      </c>
      <c r="D242" s="66" t="str">
        <f t="shared" si="11"/>
        <v>021_O_a</v>
      </c>
      <c r="E242" s="19">
        <v>5</v>
      </c>
      <c r="F242" s="19" t="s">
        <v>43</v>
      </c>
      <c r="G242" s="19" t="s">
        <v>327</v>
      </c>
      <c r="I242">
        <v>2.66566070758845</v>
      </c>
      <c r="J242" s="85">
        <v>27.1</v>
      </c>
      <c r="K242" s="83">
        <v>28.6</v>
      </c>
      <c r="L242" s="82">
        <v>23.8</v>
      </c>
      <c r="M242" s="82">
        <v>13</v>
      </c>
      <c r="N242" s="82">
        <v>33.5</v>
      </c>
      <c r="O242" s="54">
        <f t="shared" si="13"/>
        <v>2.1441081081081137</v>
      </c>
      <c r="P242">
        <f t="shared" si="12"/>
        <v>25.2</v>
      </c>
      <c r="Q242" s="112">
        <v>0.20599999999999999</v>
      </c>
      <c r="R242" s="19">
        <v>0.27200000000000002</v>
      </c>
      <c r="S242" s="66">
        <v>10</v>
      </c>
      <c r="T242" s="19">
        <v>11</v>
      </c>
      <c r="U242" s="19" t="s">
        <v>31</v>
      </c>
      <c r="V242" t="s">
        <v>32</v>
      </c>
    </row>
    <row r="243" spans="1:23" x14ac:dyDescent="0.2">
      <c r="A243" s="5" t="s">
        <v>326</v>
      </c>
      <c r="B243" s="6" t="s">
        <v>27</v>
      </c>
      <c r="C243" s="6" t="s">
        <v>28</v>
      </c>
      <c r="D243" s="65" t="str">
        <f t="shared" si="11"/>
        <v>021_S_a</v>
      </c>
      <c r="E243">
        <v>21</v>
      </c>
      <c r="F243" t="s">
        <v>43</v>
      </c>
      <c r="G243" t="s">
        <v>328</v>
      </c>
      <c r="I243">
        <v>5.23806944102438</v>
      </c>
      <c r="J243" s="43">
        <v>3.2</v>
      </c>
      <c r="K243" s="82">
        <v>39.799999999999997</v>
      </c>
      <c r="L243" s="82">
        <v>14.5</v>
      </c>
      <c r="M243" s="43">
        <v>2.5</v>
      </c>
      <c r="N243" s="82">
        <v>37.700000000000003</v>
      </c>
      <c r="O243" s="44">
        <f t="shared" si="13"/>
        <v>20.239555555555551</v>
      </c>
      <c r="P243">
        <f t="shared" si="12"/>
        <v>19.54</v>
      </c>
      <c r="Q243" s="111">
        <v>0.32900000000000001</v>
      </c>
      <c r="R243">
        <v>0.53600000000000003</v>
      </c>
      <c r="S243" s="65">
        <v>16</v>
      </c>
      <c r="T243">
        <v>26</v>
      </c>
      <c r="U243" t="s">
        <v>72</v>
      </c>
      <c r="V243" t="s">
        <v>32</v>
      </c>
    </row>
    <row r="244" spans="1:23" x14ac:dyDescent="0.2">
      <c r="A244" s="2" t="s">
        <v>326</v>
      </c>
      <c r="B244" t="s">
        <v>33</v>
      </c>
      <c r="C244" t="s">
        <v>28</v>
      </c>
      <c r="D244" s="65" t="str">
        <f t="shared" si="11"/>
        <v>021_V_a</v>
      </c>
      <c r="E244">
        <v>29</v>
      </c>
      <c r="F244" t="s">
        <v>70</v>
      </c>
      <c r="G244" t="s">
        <v>329</v>
      </c>
      <c r="I244">
        <v>2.2928086070215201</v>
      </c>
      <c r="J244" s="82">
        <v>21.9</v>
      </c>
      <c r="K244" s="82">
        <v>24.7</v>
      </c>
      <c r="L244" s="82">
        <v>0.7</v>
      </c>
      <c r="M244" s="82">
        <v>30.8</v>
      </c>
      <c r="N244" s="82">
        <v>41</v>
      </c>
      <c r="O244" s="44">
        <f t="shared" si="13"/>
        <v>8.7738369611609102</v>
      </c>
      <c r="P244">
        <f t="shared" si="12"/>
        <v>23.82</v>
      </c>
      <c r="Q244" s="111">
        <v>0.191</v>
      </c>
      <c r="R244">
        <v>0.32500000000000001</v>
      </c>
      <c r="S244" s="65">
        <v>19</v>
      </c>
      <c r="T244">
        <v>32</v>
      </c>
      <c r="U244" t="s">
        <v>51</v>
      </c>
      <c r="V244" t="s">
        <v>32</v>
      </c>
    </row>
    <row r="245" spans="1:23" x14ac:dyDescent="0.2">
      <c r="A245" s="2" t="s">
        <v>326</v>
      </c>
      <c r="B245" t="s">
        <v>33</v>
      </c>
      <c r="C245" t="s">
        <v>38</v>
      </c>
      <c r="D245" s="65" t="str">
        <f t="shared" si="11"/>
        <v>021_V_b</v>
      </c>
      <c r="E245">
        <v>39</v>
      </c>
      <c r="F245" t="s">
        <v>39</v>
      </c>
      <c r="G245" t="s">
        <v>330</v>
      </c>
      <c r="I245">
        <v>1.82798879873627</v>
      </c>
      <c r="J245" s="82">
        <v>34.200000000000003</v>
      </c>
      <c r="K245" s="82">
        <v>14.2</v>
      </c>
      <c r="L245" s="82">
        <v>33.700000000000003</v>
      </c>
      <c r="M245" s="82">
        <v>31.7</v>
      </c>
      <c r="N245" s="82">
        <v>37.4</v>
      </c>
      <c r="O245" s="44">
        <f t="shared" si="13"/>
        <v>3.2132396016402991</v>
      </c>
      <c r="P245">
        <f t="shared" si="12"/>
        <v>30.240000000000002</v>
      </c>
      <c r="Q245" s="111">
        <v>0.14499999999999999</v>
      </c>
      <c r="R245">
        <v>0.28000000000000003</v>
      </c>
      <c r="S245" s="65">
        <v>9</v>
      </c>
      <c r="T245">
        <v>17</v>
      </c>
      <c r="U245" t="s">
        <v>31</v>
      </c>
      <c r="V245" t="s">
        <v>32</v>
      </c>
    </row>
    <row r="246" spans="1:23" x14ac:dyDescent="0.2">
      <c r="A246" s="5" t="s">
        <v>326</v>
      </c>
      <c r="B246" s="6" t="s">
        <v>27</v>
      </c>
      <c r="C246" s="6" t="s">
        <v>38</v>
      </c>
      <c r="D246" s="65" t="str">
        <f t="shared" si="11"/>
        <v>021_S_b</v>
      </c>
      <c r="E246">
        <v>56</v>
      </c>
      <c r="F246" t="s">
        <v>63</v>
      </c>
      <c r="G246" t="s">
        <v>331</v>
      </c>
      <c r="I246">
        <v>4.5739801488833702</v>
      </c>
      <c r="J246" s="82">
        <v>17.7</v>
      </c>
      <c r="K246" s="82">
        <v>53.1</v>
      </c>
      <c r="L246" s="82">
        <v>39.200000000000003</v>
      </c>
      <c r="M246" s="82">
        <v>43.5</v>
      </c>
      <c r="N246" s="82">
        <v>52.8</v>
      </c>
      <c r="O246" s="44">
        <f t="shared" si="13"/>
        <v>5.8304234527687369</v>
      </c>
      <c r="P246">
        <f t="shared" si="12"/>
        <v>41.260000000000005</v>
      </c>
      <c r="Q246" s="111">
        <v>0.307</v>
      </c>
      <c r="R246">
        <v>0.45500000000000002</v>
      </c>
      <c r="S246" s="65">
        <v>14</v>
      </c>
      <c r="T246">
        <v>21</v>
      </c>
      <c r="U246" t="s">
        <v>31</v>
      </c>
      <c r="V246" t="s">
        <v>32</v>
      </c>
    </row>
    <row r="247" spans="1:23" x14ac:dyDescent="0.2">
      <c r="A247" s="5" t="s">
        <v>326</v>
      </c>
      <c r="B247" s="6" t="s">
        <v>36</v>
      </c>
      <c r="C247" s="6" t="s">
        <v>38</v>
      </c>
      <c r="D247" s="65" t="str">
        <f t="shared" si="11"/>
        <v>021_O_b</v>
      </c>
      <c r="E247">
        <v>62</v>
      </c>
      <c r="F247" t="s">
        <v>70</v>
      </c>
      <c r="G247" t="s">
        <v>332</v>
      </c>
      <c r="I247">
        <v>2.333641815355</v>
      </c>
      <c r="J247" s="82">
        <v>29.1</v>
      </c>
      <c r="K247" s="82">
        <v>5.4</v>
      </c>
      <c r="L247" s="82">
        <v>31.3</v>
      </c>
      <c r="M247" s="82">
        <v>38.1</v>
      </c>
      <c r="N247" s="82">
        <v>37.799999999999997</v>
      </c>
      <c r="O247" s="44">
        <f t="shared" si="13"/>
        <v>7.8083734359961525</v>
      </c>
      <c r="P247">
        <f t="shared" si="12"/>
        <v>28.339999999999996</v>
      </c>
      <c r="Q247" s="111">
        <v>9.2999999999999999E-2</v>
      </c>
      <c r="R247">
        <v>0.25900000000000001</v>
      </c>
      <c r="S247" s="65">
        <v>12</v>
      </c>
      <c r="T247">
        <v>16</v>
      </c>
      <c r="U247" t="s">
        <v>31</v>
      </c>
      <c r="V247" t="s">
        <v>32</v>
      </c>
    </row>
    <row r="248" spans="1:23" x14ac:dyDescent="0.2">
      <c r="A248" s="5" t="s">
        <v>326</v>
      </c>
      <c r="B248" s="6" t="s">
        <v>27</v>
      </c>
      <c r="C248" s="6" t="s">
        <v>45</v>
      </c>
      <c r="D248" s="65" t="str">
        <f t="shared" si="11"/>
        <v>021_S_c</v>
      </c>
      <c r="E248">
        <v>73</v>
      </c>
      <c r="F248" t="s">
        <v>41</v>
      </c>
      <c r="G248" t="s">
        <v>333</v>
      </c>
      <c r="I248">
        <v>3.5475490322747398</v>
      </c>
      <c r="J248" s="82">
        <v>36.1</v>
      </c>
      <c r="K248" s="82" t="s">
        <v>57</v>
      </c>
      <c r="L248" s="82">
        <v>33</v>
      </c>
      <c r="M248" s="82">
        <v>40</v>
      </c>
      <c r="N248" s="82">
        <v>42.6</v>
      </c>
      <c r="O248" s="44">
        <f t="shared" si="13"/>
        <v>0.33831347387717681</v>
      </c>
      <c r="P248">
        <f t="shared" si="12"/>
        <v>37.924999999999997</v>
      </c>
      <c r="Q248" s="111">
        <v>0.26200000000000001</v>
      </c>
      <c r="R248">
        <v>0.48</v>
      </c>
      <c r="S248" s="65">
        <v>16</v>
      </c>
      <c r="T248">
        <v>1</v>
      </c>
      <c r="U248" t="s">
        <v>51</v>
      </c>
      <c r="V248" t="s">
        <v>32</v>
      </c>
    </row>
    <row r="249" spans="1:23" x14ac:dyDescent="0.2">
      <c r="A249" s="5" t="s">
        <v>326</v>
      </c>
      <c r="B249" s="6" t="s">
        <v>33</v>
      </c>
      <c r="C249" s="6" t="s">
        <v>45</v>
      </c>
      <c r="D249" s="65" t="str">
        <f t="shared" si="11"/>
        <v>021_V_c</v>
      </c>
      <c r="E249">
        <v>90</v>
      </c>
      <c r="F249" t="s">
        <v>63</v>
      </c>
      <c r="G249" t="s">
        <v>334</v>
      </c>
      <c r="I249">
        <v>1.69298613117596</v>
      </c>
      <c r="J249" s="82">
        <v>16.8</v>
      </c>
      <c r="K249" s="82">
        <v>19.399999999999999</v>
      </c>
      <c r="L249" s="82">
        <v>18.100000000000001</v>
      </c>
      <c r="M249" s="82">
        <v>32.299999999999997</v>
      </c>
      <c r="N249" s="82">
        <v>23.4</v>
      </c>
      <c r="O249" s="44">
        <f t="shared" si="13"/>
        <v>2.3804464973056221</v>
      </c>
      <c r="P249">
        <f t="shared" si="12"/>
        <v>22</v>
      </c>
      <c r="Q249" s="111">
        <v>0.16</v>
      </c>
      <c r="R249">
        <v>0.33</v>
      </c>
      <c r="S249" s="65">
        <v>17</v>
      </c>
      <c r="T249">
        <v>10</v>
      </c>
      <c r="U249" t="s">
        <v>51</v>
      </c>
      <c r="V249" t="s">
        <v>32</v>
      </c>
    </row>
    <row r="250" spans="1:23" x14ac:dyDescent="0.2">
      <c r="A250" s="5" t="s">
        <v>326</v>
      </c>
      <c r="B250" s="6" t="s">
        <v>36</v>
      </c>
      <c r="C250" s="6" t="s">
        <v>45</v>
      </c>
      <c r="D250" s="65" t="str">
        <f t="shared" si="11"/>
        <v>021_O_c</v>
      </c>
      <c r="E250">
        <v>99</v>
      </c>
      <c r="F250" t="s">
        <v>41</v>
      </c>
      <c r="G250" t="s">
        <v>335</v>
      </c>
      <c r="I250">
        <v>1.5655062553423</v>
      </c>
      <c r="J250" s="82">
        <v>13.9</v>
      </c>
      <c r="K250" s="82">
        <v>7.4</v>
      </c>
      <c r="L250" s="82">
        <v>4.5</v>
      </c>
      <c r="M250">
        <v>16.3</v>
      </c>
      <c r="N250" s="82">
        <v>15.9</v>
      </c>
      <c r="O250" s="44">
        <f t="shared" si="13"/>
        <v>2.8759303246239134</v>
      </c>
      <c r="P250">
        <f t="shared" si="12"/>
        <v>11.6</v>
      </c>
      <c r="Q250" s="111">
        <v>4.4999999999999998E-2</v>
      </c>
      <c r="R250">
        <v>0.14799999999999999</v>
      </c>
      <c r="S250" s="65">
        <v>7</v>
      </c>
      <c r="T250">
        <v>17</v>
      </c>
      <c r="U250" t="s">
        <v>31</v>
      </c>
      <c r="V250" t="s">
        <v>32</v>
      </c>
    </row>
    <row r="251" spans="1:23" ht="16" x14ac:dyDescent="0.2">
      <c r="A251" s="5" t="s">
        <v>326</v>
      </c>
      <c r="B251" s="6" t="s">
        <v>33</v>
      </c>
      <c r="C251" s="6" t="s">
        <v>52</v>
      </c>
      <c r="D251" s="65" t="str">
        <f t="shared" si="11"/>
        <v>021_V_d</v>
      </c>
      <c r="E251">
        <v>128</v>
      </c>
      <c r="F251" t="s">
        <v>68</v>
      </c>
      <c r="G251" t="s">
        <v>336</v>
      </c>
      <c r="I251">
        <v>3.3326083546818599</v>
      </c>
      <c r="J251" s="82">
        <v>20.100000000000001</v>
      </c>
      <c r="K251" s="82">
        <v>19.899999999999999</v>
      </c>
      <c r="L251" s="84">
        <v>34.5</v>
      </c>
      <c r="M251">
        <v>15.4</v>
      </c>
      <c r="N251" s="82">
        <v>29.2</v>
      </c>
      <c r="O251" s="44">
        <f t="shared" si="13"/>
        <v>3.0690025954764484</v>
      </c>
      <c r="P251">
        <f t="shared" si="12"/>
        <v>23.82</v>
      </c>
      <c r="Q251" s="111">
        <v>0.245</v>
      </c>
      <c r="R251">
        <v>0.39600000000000002</v>
      </c>
      <c r="S251" s="65">
        <v>9</v>
      </c>
      <c r="T251">
        <v>3</v>
      </c>
      <c r="U251" t="s">
        <v>54</v>
      </c>
      <c r="V251" t="s">
        <v>32</v>
      </c>
    </row>
    <row r="252" spans="1:23" s="19" customFormat="1" ht="16" x14ac:dyDescent="0.2">
      <c r="A252" s="17" t="s">
        <v>326</v>
      </c>
      <c r="B252" s="18" t="s">
        <v>27</v>
      </c>
      <c r="C252" s="18" t="s">
        <v>52</v>
      </c>
      <c r="D252" s="66" t="str">
        <f t="shared" si="11"/>
        <v>021_S_d</v>
      </c>
      <c r="E252" s="19">
        <v>131</v>
      </c>
      <c r="F252" s="19" t="s">
        <v>39</v>
      </c>
      <c r="G252" s="19" t="s">
        <v>337</v>
      </c>
      <c r="I252">
        <v>2.6949024213498598</v>
      </c>
      <c r="J252" s="83">
        <v>30.6</v>
      </c>
      <c r="K252" s="82">
        <v>26.5</v>
      </c>
      <c r="L252" s="84">
        <v>26.3</v>
      </c>
      <c r="M252">
        <v>26.3</v>
      </c>
      <c r="N252" s="82">
        <v>43.1</v>
      </c>
      <c r="O252" s="54">
        <f t="shared" si="13"/>
        <v>0.16368884837435435</v>
      </c>
      <c r="P252">
        <f t="shared" si="12"/>
        <v>30.560000000000002</v>
      </c>
      <c r="Q252" s="112">
        <v>0.34399999999999997</v>
      </c>
      <c r="R252" s="19">
        <v>0.52</v>
      </c>
      <c r="S252" s="66">
        <v>14</v>
      </c>
      <c r="T252" s="19">
        <v>21</v>
      </c>
      <c r="U252" s="19" t="s">
        <v>54</v>
      </c>
      <c r="V252" t="s">
        <v>32</v>
      </c>
    </row>
    <row r="253" spans="1:23" ht="16" x14ac:dyDescent="0.2">
      <c r="A253" s="5" t="s">
        <v>326</v>
      </c>
      <c r="B253" s="6" t="s">
        <v>36</v>
      </c>
      <c r="C253" s="6" t="s">
        <v>52</v>
      </c>
      <c r="D253" s="65" t="str">
        <f t="shared" si="11"/>
        <v>021_O_d</v>
      </c>
      <c r="E253">
        <v>137</v>
      </c>
      <c r="F253" t="s">
        <v>70</v>
      </c>
      <c r="G253" t="s">
        <v>338</v>
      </c>
      <c r="I253">
        <v>2.7967690395881402</v>
      </c>
      <c r="J253" s="81"/>
      <c r="K253" s="82">
        <v>29.8</v>
      </c>
      <c r="L253" s="84">
        <v>42.2</v>
      </c>
      <c r="M253" s="82">
        <v>37.6</v>
      </c>
      <c r="N253" s="82">
        <v>41.8</v>
      </c>
      <c r="O253" s="44">
        <f t="shared" si="13"/>
        <v>1.0755474452554858</v>
      </c>
      <c r="P253">
        <f t="shared" si="12"/>
        <v>37.849999999999994</v>
      </c>
      <c r="Q253" s="111">
        <v>0.11600000000000001</v>
      </c>
      <c r="R253">
        <v>0.21299999999999999</v>
      </c>
      <c r="S253" s="65">
        <v>10</v>
      </c>
      <c r="T253">
        <v>42</v>
      </c>
      <c r="U253" t="s">
        <v>51</v>
      </c>
      <c r="V253" t="s">
        <v>32</v>
      </c>
    </row>
    <row r="254" spans="1:23" ht="16" x14ac:dyDescent="0.2">
      <c r="A254" s="5" t="s">
        <v>339</v>
      </c>
      <c r="B254" s="6" t="s">
        <v>36</v>
      </c>
      <c r="C254" s="6" t="s">
        <v>28</v>
      </c>
      <c r="D254" s="65" t="str">
        <f t="shared" si="11"/>
        <v>022_O_a</v>
      </c>
      <c r="E254">
        <v>4</v>
      </c>
      <c r="F254" t="s">
        <v>41</v>
      </c>
      <c r="G254" t="s">
        <v>340</v>
      </c>
      <c r="I254">
        <v>2.4620112605567699</v>
      </c>
      <c r="J254" s="84">
        <v>24.3</v>
      </c>
      <c r="K254" s="82">
        <v>26.1</v>
      </c>
      <c r="L254" s="82">
        <v>24.6</v>
      </c>
      <c r="M254" s="82">
        <v>11.4</v>
      </c>
      <c r="N254" s="82">
        <v>42.8</v>
      </c>
      <c r="O254" s="44">
        <f t="shared" si="13"/>
        <v>2.1694444444444434</v>
      </c>
      <c r="P254">
        <f t="shared" si="12"/>
        <v>25.839999999999996</v>
      </c>
      <c r="Q254" s="111">
        <v>0.14799999999999999</v>
      </c>
      <c r="R254">
        <v>0.32600000000000001</v>
      </c>
      <c r="S254" s="65">
        <v>22</v>
      </c>
      <c r="T254">
        <v>12</v>
      </c>
      <c r="U254" t="s">
        <v>61</v>
      </c>
      <c r="V254" t="s">
        <v>32</v>
      </c>
    </row>
    <row r="255" spans="1:23" ht="16" x14ac:dyDescent="0.2">
      <c r="A255" s="2" t="s">
        <v>339</v>
      </c>
      <c r="B255" t="s">
        <v>33</v>
      </c>
      <c r="C255" t="s">
        <v>28</v>
      </c>
      <c r="D255" s="65" t="str">
        <f t="shared" si="11"/>
        <v>022_V_a</v>
      </c>
      <c r="E255">
        <v>15</v>
      </c>
      <c r="F255" t="s">
        <v>39</v>
      </c>
      <c r="G255" t="s">
        <v>341</v>
      </c>
      <c r="I255">
        <v>3.4206107610276302</v>
      </c>
      <c r="J255" s="84">
        <v>13.5</v>
      </c>
      <c r="K255" s="82">
        <v>39.1</v>
      </c>
      <c r="L255" s="82">
        <v>42.8</v>
      </c>
      <c r="M255" s="82">
        <v>39.200000000000003</v>
      </c>
      <c r="N255" s="82">
        <v>37.799999999999997</v>
      </c>
      <c r="O255" s="44">
        <f t="shared" si="13"/>
        <v>5.4507181773154834</v>
      </c>
      <c r="P255">
        <f t="shared" si="12"/>
        <v>34.480000000000004</v>
      </c>
      <c r="Q255" s="111">
        <v>0.251</v>
      </c>
      <c r="R255">
        <v>0.28799999999999998</v>
      </c>
      <c r="S255" s="65">
        <v>8</v>
      </c>
      <c r="T255">
        <v>18</v>
      </c>
      <c r="U255" t="s">
        <v>51</v>
      </c>
      <c r="V255" t="s">
        <v>32</v>
      </c>
    </row>
    <row r="256" spans="1:23" x14ac:dyDescent="0.2">
      <c r="A256" s="5" t="s">
        <v>339</v>
      </c>
      <c r="B256" s="6" t="s">
        <v>27</v>
      </c>
      <c r="C256" s="6" t="s">
        <v>28</v>
      </c>
      <c r="D256" s="65" t="str">
        <f t="shared" si="11"/>
        <v>022_S_a</v>
      </c>
      <c r="E256">
        <v>35</v>
      </c>
      <c r="F256" t="s">
        <v>82</v>
      </c>
      <c r="G256" t="s">
        <v>342</v>
      </c>
      <c r="I256">
        <v>5.0243917703199603</v>
      </c>
      <c r="J256" s="82">
        <v>27.3</v>
      </c>
      <c r="K256" t="s">
        <v>57</v>
      </c>
      <c r="L256" s="82">
        <v>36.799999999999997</v>
      </c>
      <c r="M256" s="82">
        <v>40.6</v>
      </c>
      <c r="N256" s="82">
        <v>44.7</v>
      </c>
      <c r="O256" s="44">
        <f t="shared" si="13"/>
        <v>1.3446991404011546</v>
      </c>
      <c r="P256">
        <f t="shared" si="12"/>
        <v>37.349999999999994</v>
      </c>
      <c r="Q256" s="111">
        <v>0.221</v>
      </c>
      <c r="R256">
        <v>0.35199999999999998</v>
      </c>
      <c r="S256" s="65">
        <v>23</v>
      </c>
      <c r="T256">
        <v>21</v>
      </c>
      <c r="U256" t="s">
        <v>31</v>
      </c>
      <c r="V256" t="s">
        <v>32</v>
      </c>
    </row>
    <row r="257" spans="1:23" x14ac:dyDescent="0.2">
      <c r="A257" s="2" t="s">
        <v>339</v>
      </c>
      <c r="B257" t="s">
        <v>33</v>
      </c>
      <c r="C257" t="s">
        <v>38</v>
      </c>
      <c r="D257" s="65" t="str">
        <f t="shared" si="11"/>
        <v>022_V_b</v>
      </c>
      <c r="E257">
        <v>42</v>
      </c>
      <c r="F257" t="s">
        <v>39</v>
      </c>
      <c r="G257" t="s">
        <v>343</v>
      </c>
      <c r="I257">
        <v>3.8326345036625402</v>
      </c>
      <c r="J257" s="82">
        <v>11.6</v>
      </c>
      <c r="K257" s="82">
        <v>37.1</v>
      </c>
      <c r="L257" s="82">
        <v>32.299999999999997</v>
      </c>
      <c r="M257" s="82">
        <v>33.1</v>
      </c>
      <c r="N257" s="82">
        <v>38</v>
      </c>
      <c r="O257" s="44">
        <f t="shared" si="13"/>
        <v>4.617791411042945</v>
      </c>
      <c r="P257">
        <f t="shared" si="12"/>
        <v>30.419999999999998</v>
      </c>
      <c r="Q257" s="111">
        <v>0.28000000000000003</v>
      </c>
      <c r="R257">
        <v>0.43</v>
      </c>
      <c r="S257" s="65">
        <v>16</v>
      </c>
      <c r="T257">
        <v>37</v>
      </c>
      <c r="U257" t="s">
        <v>31</v>
      </c>
      <c r="V257" t="s">
        <v>32</v>
      </c>
    </row>
    <row r="258" spans="1:23" x14ac:dyDescent="0.2">
      <c r="A258" s="5" t="s">
        <v>339</v>
      </c>
      <c r="B258" s="6" t="s">
        <v>27</v>
      </c>
      <c r="C258" s="6" t="s">
        <v>38</v>
      </c>
      <c r="D258" s="65" t="str">
        <f t="shared" ref="D258:D321" si="14">A258&amp;"_"&amp;B258&amp;"_"&amp;C258</f>
        <v>022_S_b</v>
      </c>
      <c r="E258">
        <v>45</v>
      </c>
      <c r="F258" t="s">
        <v>29</v>
      </c>
      <c r="G258" t="s">
        <v>344</v>
      </c>
      <c r="I258">
        <v>4.95676153587066</v>
      </c>
      <c r="J258" s="82">
        <v>12.9</v>
      </c>
      <c r="K258" s="82">
        <v>39.5</v>
      </c>
      <c r="L258" s="82">
        <v>56.1</v>
      </c>
      <c r="M258" s="82">
        <v>36.9</v>
      </c>
      <c r="N258" s="82">
        <v>32</v>
      </c>
      <c r="O258" s="44">
        <f t="shared" si="13"/>
        <v>8.7133425034387848</v>
      </c>
      <c r="P258">
        <f t="shared" ref="P258:P321" si="15">AVERAGE(J258:N258)</f>
        <v>35.480000000000004</v>
      </c>
      <c r="Q258" s="111">
        <v>0.46</v>
      </c>
      <c r="R258">
        <v>0.44800000000000001</v>
      </c>
      <c r="S258" s="65">
        <v>28</v>
      </c>
      <c r="T258" s="43">
        <v>16</v>
      </c>
      <c r="U258" t="s">
        <v>85</v>
      </c>
      <c r="V258" t="s">
        <v>32</v>
      </c>
    </row>
    <row r="259" spans="1:23" x14ac:dyDescent="0.2">
      <c r="A259" s="5" t="s">
        <v>339</v>
      </c>
      <c r="B259" s="6" t="s">
        <v>36</v>
      </c>
      <c r="C259" s="6" t="s">
        <v>38</v>
      </c>
      <c r="D259" s="65" t="str">
        <f t="shared" si="14"/>
        <v>022_O_b</v>
      </c>
      <c r="E259">
        <v>54</v>
      </c>
      <c r="F259" t="s">
        <v>39</v>
      </c>
      <c r="G259" t="s">
        <v>345</v>
      </c>
      <c r="I259">
        <v>2.56338644768327</v>
      </c>
      <c r="J259" s="82">
        <v>25.8</v>
      </c>
      <c r="K259" s="82">
        <v>23.5</v>
      </c>
      <c r="L259" s="82">
        <v>30.6</v>
      </c>
      <c r="M259" s="82">
        <v>5.2</v>
      </c>
      <c r="N259" s="82">
        <v>8.3000000000000007</v>
      </c>
      <c r="O259" s="44">
        <f t="shared" si="13"/>
        <v>5.8094398746572606</v>
      </c>
      <c r="P259">
        <f t="shared" si="15"/>
        <v>18.68</v>
      </c>
      <c r="Q259" s="111">
        <v>0.109</v>
      </c>
      <c r="R259">
        <v>0.20499999999999999</v>
      </c>
      <c r="S259" s="65">
        <v>8</v>
      </c>
      <c r="T259" s="43">
        <v>17</v>
      </c>
      <c r="U259" t="s">
        <v>31</v>
      </c>
      <c r="V259" t="s">
        <v>32</v>
      </c>
    </row>
    <row r="260" spans="1:23" x14ac:dyDescent="0.2">
      <c r="A260" s="5" t="s">
        <v>339</v>
      </c>
      <c r="B260" s="6" t="s">
        <v>36</v>
      </c>
      <c r="C260" s="6" t="s">
        <v>45</v>
      </c>
      <c r="D260" s="65" t="str">
        <f t="shared" si="14"/>
        <v>022_O_c</v>
      </c>
      <c r="E260">
        <v>76</v>
      </c>
      <c r="F260" t="s">
        <v>41</v>
      </c>
      <c r="G260" t="s">
        <v>346</v>
      </c>
      <c r="I260">
        <v>1.3621676278930399</v>
      </c>
      <c r="J260" s="82">
        <v>4.5</v>
      </c>
      <c r="K260" s="82">
        <v>17.3</v>
      </c>
      <c r="L260" s="82">
        <v>28.2</v>
      </c>
      <c r="M260" s="82">
        <v>3.8</v>
      </c>
      <c r="N260" s="82">
        <v>35.9</v>
      </c>
      <c r="O260" s="44">
        <f t="shared" si="13"/>
        <v>10.052292441140029</v>
      </c>
      <c r="P260">
        <f t="shared" si="15"/>
        <v>17.939999999999998</v>
      </c>
      <c r="Q260" s="111">
        <v>7.4999999999999997E-2</v>
      </c>
      <c r="R260">
        <v>0.183</v>
      </c>
      <c r="S260" s="65">
        <v>8</v>
      </c>
      <c r="T260">
        <v>19</v>
      </c>
      <c r="U260" t="s">
        <v>31</v>
      </c>
      <c r="V260" t="s">
        <v>32</v>
      </c>
    </row>
    <row r="261" spans="1:23" x14ac:dyDescent="0.2">
      <c r="A261" s="5" t="s">
        <v>339</v>
      </c>
      <c r="B261" s="6" t="s">
        <v>33</v>
      </c>
      <c r="C261" s="6" t="s">
        <v>45</v>
      </c>
      <c r="D261" s="65" t="str">
        <f t="shared" si="14"/>
        <v>022_V_c</v>
      </c>
      <c r="E261">
        <v>81</v>
      </c>
      <c r="F261" t="s">
        <v>68</v>
      </c>
      <c r="G261" t="s">
        <v>347</v>
      </c>
      <c r="I261">
        <v>2.3195129566031798</v>
      </c>
      <c r="J261" s="82">
        <v>8</v>
      </c>
      <c r="K261" s="82">
        <v>6.8</v>
      </c>
      <c r="L261" s="82">
        <v>8.9</v>
      </c>
      <c r="M261" s="82">
        <v>23.1</v>
      </c>
      <c r="N261" s="82">
        <v>7.7</v>
      </c>
      <c r="O261" s="44">
        <f t="shared" si="13"/>
        <v>4.9999999999999964</v>
      </c>
      <c r="P261">
        <f t="shared" si="15"/>
        <v>10.900000000000002</v>
      </c>
      <c r="Q261" s="111">
        <v>5.3999999999999999E-2</v>
      </c>
      <c r="R261">
        <v>0.19</v>
      </c>
      <c r="S261" s="65">
        <v>16</v>
      </c>
      <c r="T261">
        <v>40</v>
      </c>
      <c r="U261" t="s">
        <v>72</v>
      </c>
      <c r="V261" t="s">
        <v>32</v>
      </c>
    </row>
    <row r="262" spans="1:23" s="19" customFormat="1" x14ac:dyDescent="0.2">
      <c r="A262" s="17" t="s">
        <v>339</v>
      </c>
      <c r="B262" s="18" t="s">
        <v>27</v>
      </c>
      <c r="C262" s="18" t="s">
        <v>45</v>
      </c>
      <c r="D262" s="66" t="str">
        <f t="shared" si="14"/>
        <v>022_S_c</v>
      </c>
      <c r="E262" s="19">
        <v>92</v>
      </c>
      <c r="F262" s="19" t="s">
        <v>63</v>
      </c>
      <c r="G262" s="19" t="s">
        <v>348</v>
      </c>
      <c r="I262">
        <v>7.5122668846125302</v>
      </c>
      <c r="J262" s="83">
        <v>23.3</v>
      </c>
      <c r="K262" s="82">
        <v>18.600000000000001</v>
      </c>
      <c r="L262" s="82">
        <v>35.4</v>
      </c>
      <c r="M262">
        <v>24</v>
      </c>
      <c r="N262" s="82">
        <v>30.6</v>
      </c>
      <c r="O262" s="54">
        <f t="shared" si="13"/>
        <v>2.008390918065142</v>
      </c>
      <c r="P262">
        <f t="shared" si="15"/>
        <v>26.380000000000003</v>
      </c>
      <c r="Q262" s="112">
        <v>0.52800000000000002</v>
      </c>
      <c r="R262" s="19">
        <v>0.70299999999999996</v>
      </c>
      <c r="S262" s="66">
        <v>17</v>
      </c>
      <c r="T262" s="19">
        <v>10</v>
      </c>
      <c r="U262" s="19" t="s">
        <v>54</v>
      </c>
      <c r="V262" t="s">
        <v>32</v>
      </c>
    </row>
    <row r="263" spans="1:23" x14ac:dyDescent="0.2">
      <c r="A263" s="5" t="s">
        <v>339</v>
      </c>
      <c r="B263" s="6" t="s">
        <v>33</v>
      </c>
      <c r="C263" s="6" t="s">
        <v>52</v>
      </c>
      <c r="D263" s="65" t="str">
        <f t="shared" si="14"/>
        <v>022_V_d</v>
      </c>
      <c r="E263">
        <v>110</v>
      </c>
      <c r="F263" t="s">
        <v>34</v>
      </c>
      <c r="G263" t="s">
        <v>349</v>
      </c>
      <c r="I263">
        <v>4.1222415934275896</v>
      </c>
      <c r="J263" s="82">
        <v>4.5</v>
      </c>
      <c r="K263" s="82">
        <v>8.6</v>
      </c>
      <c r="L263" s="82">
        <v>11.1</v>
      </c>
      <c r="M263">
        <v>14.4</v>
      </c>
      <c r="N263" s="82">
        <v>28.6</v>
      </c>
      <c r="O263" s="44">
        <f t="shared" si="13"/>
        <v>1.8062176165803097</v>
      </c>
      <c r="P263">
        <f t="shared" si="15"/>
        <v>13.440000000000001</v>
      </c>
      <c r="Q263" s="111">
        <v>0.30199999999999999</v>
      </c>
      <c r="R263">
        <v>0.52</v>
      </c>
      <c r="S263" s="65">
        <v>20</v>
      </c>
      <c r="T263">
        <v>54</v>
      </c>
      <c r="U263" t="s">
        <v>54</v>
      </c>
      <c r="V263" t="s">
        <v>32</v>
      </c>
    </row>
    <row r="264" spans="1:23" x14ac:dyDescent="0.2">
      <c r="A264" s="5" t="s">
        <v>339</v>
      </c>
      <c r="B264" s="6" t="s">
        <v>27</v>
      </c>
      <c r="C264" s="6" t="s">
        <v>52</v>
      </c>
      <c r="D264" s="65" t="str">
        <f t="shared" si="14"/>
        <v>022_S_d</v>
      </c>
      <c r="E264">
        <v>114</v>
      </c>
      <c r="F264" t="s">
        <v>70</v>
      </c>
      <c r="G264" t="s">
        <v>350</v>
      </c>
      <c r="H264" t="s">
        <v>56</v>
      </c>
      <c r="I264">
        <v>0</v>
      </c>
      <c r="J264" s="82">
        <v>1.1000000000000001</v>
      </c>
      <c r="K264" s="82">
        <v>1</v>
      </c>
      <c r="L264" s="82">
        <v>1</v>
      </c>
      <c r="M264">
        <v>1</v>
      </c>
      <c r="N264" s="82">
        <v>1.7</v>
      </c>
      <c r="O264" s="44">
        <f t="shared" si="13"/>
        <v>2.4390243902439068E-3</v>
      </c>
      <c r="P264">
        <f t="shared" si="15"/>
        <v>1.1599999999999999</v>
      </c>
      <c r="Q264" s="111" t="s">
        <v>57</v>
      </c>
      <c r="R264" t="s">
        <v>57</v>
      </c>
      <c r="S264" s="65" t="s">
        <v>57</v>
      </c>
      <c r="T264" t="s">
        <v>57</v>
      </c>
      <c r="V264" t="s">
        <v>32</v>
      </c>
      <c r="W264" t="s">
        <v>67</v>
      </c>
    </row>
    <row r="265" spans="1:23" ht="16" x14ac:dyDescent="0.2">
      <c r="A265" s="5" t="s">
        <v>339</v>
      </c>
      <c r="B265" s="6" t="s">
        <v>36</v>
      </c>
      <c r="C265" s="6" t="s">
        <v>52</v>
      </c>
      <c r="D265" s="65" t="str">
        <f t="shared" si="14"/>
        <v>022_O_d</v>
      </c>
      <c r="E265">
        <v>122</v>
      </c>
      <c r="F265" t="s">
        <v>39</v>
      </c>
      <c r="G265" t="s">
        <v>351</v>
      </c>
      <c r="I265">
        <v>2.2582564475118101</v>
      </c>
      <c r="J265" s="82">
        <v>43.9</v>
      </c>
      <c r="K265" s="82">
        <v>28.2</v>
      </c>
      <c r="L265" s="84">
        <v>33.5</v>
      </c>
      <c r="M265">
        <v>21.4</v>
      </c>
      <c r="N265" s="82">
        <v>22.7</v>
      </c>
      <c r="O265" s="44">
        <f t="shared" si="13"/>
        <v>2.8389501312335943</v>
      </c>
      <c r="P265">
        <f t="shared" si="15"/>
        <v>29.939999999999998</v>
      </c>
      <c r="Q265" s="111">
        <v>0.20499999999999999</v>
      </c>
      <c r="R265">
        <v>0.35799999999999998</v>
      </c>
      <c r="S265" s="65">
        <v>9</v>
      </c>
      <c r="T265">
        <v>12</v>
      </c>
      <c r="U265" t="s">
        <v>54</v>
      </c>
      <c r="V265" t="s">
        <v>32</v>
      </c>
    </row>
    <row r="266" spans="1:23" ht="16" x14ac:dyDescent="0.2">
      <c r="A266" s="5" t="s">
        <v>352</v>
      </c>
      <c r="B266" s="6" t="s">
        <v>36</v>
      </c>
      <c r="C266" s="6" t="s">
        <v>28</v>
      </c>
      <c r="D266" s="65" t="str">
        <f t="shared" si="14"/>
        <v>023_O_a</v>
      </c>
      <c r="E266">
        <v>7</v>
      </c>
      <c r="F266" t="s">
        <v>34</v>
      </c>
      <c r="G266" t="s">
        <v>353</v>
      </c>
      <c r="I266">
        <v>2.3513736668796401</v>
      </c>
      <c r="J266" s="84" t="s">
        <v>57</v>
      </c>
      <c r="K266" s="82">
        <v>26.2</v>
      </c>
      <c r="L266" s="82">
        <v>30.2</v>
      </c>
      <c r="M266" s="82">
        <v>29.3</v>
      </c>
      <c r="N266" s="82">
        <v>43.3</v>
      </c>
      <c r="O266" s="44">
        <f t="shared" si="13"/>
        <v>0.15414235705950996</v>
      </c>
      <c r="P266">
        <f t="shared" si="15"/>
        <v>32.25</v>
      </c>
      <c r="Q266" s="111">
        <v>0.20799999999999999</v>
      </c>
      <c r="R266">
        <v>0.373</v>
      </c>
      <c r="S266" s="65">
        <v>12</v>
      </c>
      <c r="T266">
        <v>21</v>
      </c>
      <c r="U266" t="s">
        <v>31</v>
      </c>
      <c r="V266" t="s">
        <v>32</v>
      </c>
    </row>
    <row r="267" spans="1:23" x14ac:dyDescent="0.2">
      <c r="A267" s="5" t="s">
        <v>352</v>
      </c>
      <c r="B267" s="6" t="s">
        <v>27</v>
      </c>
      <c r="C267" s="6" t="s">
        <v>28</v>
      </c>
      <c r="D267" s="65" t="str">
        <f t="shared" si="14"/>
        <v>023_S_a</v>
      </c>
      <c r="E267">
        <v>26</v>
      </c>
      <c r="F267" t="s">
        <v>70</v>
      </c>
      <c r="G267" t="s">
        <v>354</v>
      </c>
      <c r="H267" t="s">
        <v>56</v>
      </c>
      <c r="I267">
        <v>0</v>
      </c>
      <c r="J267" s="82">
        <v>1</v>
      </c>
      <c r="K267" t="s">
        <v>57</v>
      </c>
      <c r="L267" s="82">
        <v>1</v>
      </c>
      <c r="M267" s="82">
        <v>1</v>
      </c>
      <c r="N267" s="82">
        <v>0.9</v>
      </c>
      <c r="O267" s="44">
        <f t="shared" si="13"/>
        <v>0</v>
      </c>
      <c r="P267">
        <f t="shared" si="15"/>
        <v>0.97499999999999998</v>
      </c>
      <c r="Q267" s="111" t="s">
        <v>57</v>
      </c>
      <c r="R267" t="s">
        <v>57</v>
      </c>
      <c r="S267" s="65" t="s">
        <v>57</v>
      </c>
      <c r="T267" t="s">
        <v>57</v>
      </c>
      <c r="U267" t="s">
        <v>57</v>
      </c>
      <c r="V267" t="s">
        <v>32</v>
      </c>
      <c r="W267" t="s">
        <v>67</v>
      </c>
    </row>
    <row r="268" spans="1:23" x14ac:dyDescent="0.2">
      <c r="A268" s="2" t="s">
        <v>352</v>
      </c>
      <c r="B268" t="s">
        <v>33</v>
      </c>
      <c r="C268" t="s">
        <v>28</v>
      </c>
      <c r="D268" s="65" t="str">
        <f t="shared" si="14"/>
        <v>023_V_a</v>
      </c>
      <c r="E268">
        <v>32</v>
      </c>
      <c r="F268" t="s">
        <v>29</v>
      </c>
      <c r="G268" t="s">
        <v>355</v>
      </c>
      <c r="I268">
        <v>1.3111531771206399</v>
      </c>
      <c r="J268" s="82">
        <v>2.7</v>
      </c>
      <c r="K268" s="82">
        <v>9</v>
      </c>
      <c r="L268" s="82">
        <v>17.100000000000001</v>
      </c>
      <c r="M268" s="82">
        <v>4.5</v>
      </c>
      <c r="N268" s="82">
        <v>26.5</v>
      </c>
      <c r="O268" s="44">
        <f t="shared" si="13"/>
        <v>4.9540540540540583</v>
      </c>
      <c r="P268">
        <f t="shared" si="15"/>
        <v>11.959999999999999</v>
      </c>
      <c r="Q268" s="111">
        <v>0.11</v>
      </c>
      <c r="R268">
        <v>0.20399999999999999</v>
      </c>
      <c r="S268" s="65">
        <v>6</v>
      </c>
      <c r="T268">
        <v>15</v>
      </c>
      <c r="U268" t="s">
        <v>31</v>
      </c>
      <c r="V268" t="s">
        <v>32</v>
      </c>
    </row>
    <row r="269" spans="1:23" x14ac:dyDescent="0.2">
      <c r="A269" s="5" t="s">
        <v>352</v>
      </c>
      <c r="B269" s="6" t="s">
        <v>27</v>
      </c>
      <c r="C269" s="6" t="s">
        <v>38</v>
      </c>
      <c r="D269" s="65" t="str">
        <f t="shared" si="14"/>
        <v>023_S_b</v>
      </c>
      <c r="E269">
        <v>42</v>
      </c>
      <c r="F269" t="s">
        <v>29</v>
      </c>
      <c r="G269" t="s">
        <v>356</v>
      </c>
      <c r="I269">
        <v>3.4264485981308401</v>
      </c>
      <c r="J269" s="82">
        <v>33.5</v>
      </c>
      <c r="K269" s="82">
        <v>32.5</v>
      </c>
      <c r="L269" s="82">
        <v>31.7</v>
      </c>
      <c r="M269" s="82">
        <v>28.8</v>
      </c>
      <c r="N269" s="82">
        <v>29.5</v>
      </c>
      <c r="O269" s="44">
        <f t="shared" si="13"/>
        <v>0.12930171277997363</v>
      </c>
      <c r="P269">
        <f t="shared" si="15"/>
        <v>31.2</v>
      </c>
      <c r="Q269" s="111">
        <v>0.4</v>
      </c>
      <c r="R269">
        <v>0.55300000000000005</v>
      </c>
      <c r="S269" s="65">
        <v>16</v>
      </c>
      <c r="T269">
        <v>54</v>
      </c>
      <c r="U269" t="s">
        <v>31</v>
      </c>
      <c r="V269" t="s">
        <v>32</v>
      </c>
    </row>
    <row r="270" spans="1:23" x14ac:dyDescent="0.2">
      <c r="A270" s="2" t="s">
        <v>352</v>
      </c>
      <c r="B270" t="s">
        <v>33</v>
      </c>
      <c r="C270" t="s">
        <v>38</v>
      </c>
      <c r="D270" s="65" t="str">
        <f t="shared" si="14"/>
        <v>023_V_b</v>
      </c>
      <c r="E270">
        <v>45</v>
      </c>
      <c r="F270" t="s">
        <v>39</v>
      </c>
      <c r="G270" t="s">
        <v>357</v>
      </c>
      <c r="I270">
        <v>4.60831087908387</v>
      </c>
      <c r="J270" s="82">
        <v>7</v>
      </c>
      <c r="K270" s="82">
        <v>34.4</v>
      </c>
      <c r="L270" s="82">
        <v>19.2</v>
      </c>
      <c r="M270" s="82">
        <v>18.899999999999999</v>
      </c>
      <c r="N270" s="82">
        <v>33.799999999999997</v>
      </c>
      <c r="O270" s="44">
        <f t="shared" si="13"/>
        <v>6.3420964360587009</v>
      </c>
      <c r="P270">
        <f t="shared" si="15"/>
        <v>22.66</v>
      </c>
      <c r="Q270" s="111">
        <v>0.26800000000000002</v>
      </c>
      <c r="R270">
        <v>0.36499999999999999</v>
      </c>
      <c r="S270" s="65">
        <v>23</v>
      </c>
      <c r="T270" s="43">
        <v>22</v>
      </c>
      <c r="U270" t="s">
        <v>85</v>
      </c>
      <c r="V270" t="s">
        <v>32</v>
      </c>
    </row>
    <row r="271" spans="1:23" x14ac:dyDescent="0.2">
      <c r="A271" s="5" t="s">
        <v>352</v>
      </c>
      <c r="B271" s="6" t="s">
        <v>36</v>
      </c>
      <c r="C271" s="6" t="s">
        <v>38</v>
      </c>
      <c r="D271" s="65" t="str">
        <f t="shared" si="14"/>
        <v>023_O_b</v>
      </c>
      <c r="E271">
        <v>46</v>
      </c>
      <c r="F271" t="s">
        <v>70</v>
      </c>
      <c r="G271" t="s">
        <v>358</v>
      </c>
      <c r="I271">
        <v>4.1835956064846602</v>
      </c>
      <c r="J271" s="82">
        <v>32.200000000000003</v>
      </c>
      <c r="K271" s="82">
        <v>17.2</v>
      </c>
      <c r="L271" s="82">
        <v>34.1</v>
      </c>
      <c r="M271" s="82">
        <v>40.200000000000003</v>
      </c>
      <c r="N271" s="82">
        <v>50.5</v>
      </c>
      <c r="O271" s="44">
        <f t="shared" si="13"/>
        <v>3.0838857450821937</v>
      </c>
      <c r="P271">
        <f t="shared" si="15"/>
        <v>34.839999999999996</v>
      </c>
      <c r="Q271" s="111">
        <v>0.34899999999999998</v>
      </c>
      <c r="R271">
        <v>0.45800000000000002</v>
      </c>
      <c r="S271" s="65">
        <v>14</v>
      </c>
      <c r="T271" s="43">
        <v>27</v>
      </c>
      <c r="U271" t="s">
        <v>31</v>
      </c>
      <c r="V271" t="s">
        <v>32</v>
      </c>
    </row>
    <row r="272" spans="1:23" s="19" customFormat="1" x14ac:dyDescent="0.2">
      <c r="A272" s="17" t="s">
        <v>352</v>
      </c>
      <c r="B272" s="18" t="s">
        <v>33</v>
      </c>
      <c r="C272" s="18" t="s">
        <v>45</v>
      </c>
      <c r="D272" s="66" t="str">
        <f t="shared" si="14"/>
        <v>023_V_c</v>
      </c>
      <c r="E272" s="19">
        <v>75</v>
      </c>
      <c r="F272" s="19" t="s">
        <v>63</v>
      </c>
      <c r="G272" s="19" t="s">
        <v>359</v>
      </c>
      <c r="I272">
        <v>3.34573170731707</v>
      </c>
      <c r="J272" s="83">
        <v>2.1</v>
      </c>
      <c r="K272" s="82">
        <v>7.3</v>
      </c>
      <c r="L272" s="82">
        <v>4.5</v>
      </c>
      <c r="M272" s="82">
        <v>7.2</v>
      </c>
      <c r="N272" s="82">
        <v>37.4</v>
      </c>
      <c r="O272" s="54">
        <f t="shared" si="13"/>
        <v>1.1682464454976311</v>
      </c>
      <c r="P272">
        <f t="shared" si="15"/>
        <v>11.7</v>
      </c>
      <c r="Q272" s="112">
        <v>0.28899999999999998</v>
      </c>
      <c r="R272" s="19">
        <v>0.49299999999999999</v>
      </c>
      <c r="S272" s="66">
        <v>16</v>
      </c>
      <c r="T272" s="19">
        <v>15</v>
      </c>
      <c r="U272" s="19" t="s">
        <v>128</v>
      </c>
      <c r="V272" t="s">
        <v>32</v>
      </c>
    </row>
    <row r="273" spans="1:23" x14ac:dyDescent="0.2">
      <c r="A273" s="5" t="s">
        <v>352</v>
      </c>
      <c r="B273" s="6" t="s">
        <v>27</v>
      </c>
      <c r="C273" s="6" t="s">
        <v>45</v>
      </c>
      <c r="D273" s="65" t="str">
        <f t="shared" si="14"/>
        <v>023_S_c</v>
      </c>
      <c r="E273">
        <v>77</v>
      </c>
      <c r="F273" t="s">
        <v>41</v>
      </c>
      <c r="G273" t="s">
        <v>360</v>
      </c>
      <c r="I273">
        <v>1.3312661375155399</v>
      </c>
      <c r="J273" s="82">
        <v>1.9</v>
      </c>
      <c r="K273" s="82">
        <v>27.8</v>
      </c>
      <c r="L273" s="82">
        <v>20.3</v>
      </c>
      <c r="M273" s="82">
        <v>20.7</v>
      </c>
      <c r="N273" s="82">
        <v>27.1</v>
      </c>
      <c r="O273" s="44">
        <f t="shared" si="13"/>
        <v>6.9289486091466248</v>
      </c>
      <c r="P273">
        <f t="shared" si="15"/>
        <v>19.560000000000002</v>
      </c>
      <c r="Q273" s="111">
        <v>0.13300000000000001</v>
      </c>
      <c r="R273">
        <v>0.252</v>
      </c>
      <c r="S273" s="65">
        <v>6</v>
      </c>
      <c r="T273">
        <v>20</v>
      </c>
      <c r="U273" t="s">
        <v>51</v>
      </c>
      <c r="V273" t="s">
        <v>32</v>
      </c>
    </row>
    <row r="274" spans="1:23" x14ac:dyDescent="0.2">
      <c r="A274" s="5" t="s">
        <v>352</v>
      </c>
      <c r="B274" s="6" t="s">
        <v>36</v>
      </c>
      <c r="C274" s="6" t="s">
        <v>45</v>
      </c>
      <c r="D274" s="65" t="str">
        <f t="shared" si="14"/>
        <v>023_O_c</v>
      </c>
      <c r="E274">
        <v>78</v>
      </c>
      <c r="F274" t="s">
        <v>82</v>
      </c>
      <c r="G274" t="s">
        <v>361</v>
      </c>
      <c r="I274">
        <v>3.3978468331592402</v>
      </c>
      <c r="J274" s="82">
        <v>16.600000000000001</v>
      </c>
      <c r="K274" s="82">
        <v>8.1999999999999993</v>
      </c>
      <c r="L274" s="82">
        <v>80.099999999999994</v>
      </c>
      <c r="M274" s="82">
        <v>34.700000000000003</v>
      </c>
      <c r="N274" s="82">
        <v>39.5</v>
      </c>
      <c r="O274" s="44">
        <f t="shared" si="13"/>
        <v>29.521107927411652</v>
      </c>
      <c r="P274">
        <f t="shared" si="15"/>
        <v>35.82</v>
      </c>
      <c r="Q274" s="111">
        <v>0.27100000000000002</v>
      </c>
      <c r="R274">
        <v>0.33200000000000002</v>
      </c>
      <c r="S274" s="65">
        <v>15</v>
      </c>
      <c r="T274">
        <v>27</v>
      </c>
      <c r="U274" t="s">
        <v>31</v>
      </c>
      <c r="V274" t="s">
        <v>32</v>
      </c>
    </row>
    <row r="275" spans="1:23" x14ac:dyDescent="0.2">
      <c r="A275" s="5" t="s">
        <v>352</v>
      </c>
      <c r="B275" s="6" t="s">
        <v>27</v>
      </c>
      <c r="C275" s="6" t="s">
        <v>52</v>
      </c>
      <c r="D275" s="65" t="str">
        <f t="shared" si="14"/>
        <v>023_S_d</v>
      </c>
      <c r="E275">
        <v>119</v>
      </c>
      <c r="F275" t="s">
        <v>49</v>
      </c>
      <c r="G275" t="s">
        <v>362</v>
      </c>
      <c r="I275">
        <v>4.6872284589590301</v>
      </c>
      <c r="J275" s="82">
        <v>55.2</v>
      </c>
      <c r="K275" s="82">
        <v>23.6</v>
      </c>
      <c r="L275" s="82">
        <v>33.1</v>
      </c>
      <c r="M275">
        <v>11.6</v>
      </c>
      <c r="N275" s="82">
        <v>55.9</v>
      </c>
      <c r="O275" s="44">
        <f t="shared" si="13"/>
        <v>11.024102564102575</v>
      </c>
      <c r="P275">
        <f t="shared" si="15"/>
        <v>35.880000000000003</v>
      </c>
      <c r="Q275" s="111">
        <v>0.50700000000000001</v>
      </c>
      <c r="R275">
        <v>0.376</v>
      </c>
      <c r="S275" s="65">
        <v>11</v>
      </c>
      <c r="T275">
        <v>5</v>
      </c>
      <c r="U275" t="s">
        <v>54</v>
      </c>
      <c r="V275" t="s">
        <v>32</v>
      </c>
    </row>
    <row r="276" spans="1:23" ht="16" x14ac:dyDescent="0.2">
      <c r="A276" s="5" t="s">
        <v>352</v>
      </c>
      <c r="B276" s="6" t="s">
        <v>36</v>
      </c>
      <c r="C276" s="6" t="s">
        <v>52</v>
      </c>
      <c r="D276" s="65" t="str">
        <f t="shared" si="14"/>
        <v>023_O_d</v>
      </c>
      <c r="E276">
        <v>135</v>
      </c>
      <c r="F276" t="s">
        <v>34</v>
      </c>
      <c r="G276" t="s">
        <v>363</v>
      </c>
      <c r="I276">
        <v>5.3476290586311599</v>
      </c>
      <c r="J276" s="82">
        <v>35.799999999999997</v>
      </c>
      <c r="K276" s="82">
        <v>2.1</v>
      </c>
      <c r="L276" s="84">
        <v>39.700000000000003</v>
      </c>
      <c r="M276" s="82">
        <v>14.3</v>
      </c>
      <c r="N276" s="82">
        <v>48.5</v>
      </c>
      <c r="O276" s="44">
        <f t="shared" si="13"/>
        <v>13.858940877765695</v>
      </c>
      <c r="P276">
        <f t="shared" si="15"/>
        <v>28.079999999999995</v>
      </c>
      <c r="Q276" s="111">
        <v>0.49299999999999999</v>
      </c>
      <c r="R276">
        <v>0.59399999999999997</v>
      </c>
      <c r="S276" s="65">
        <v>16</v>
      </c>
      <c r="T276">
        <v>19</v>
      </c>
      <c r="U276" t="s">
        <v>47</v>
      </c>
      <c r="V276" t="s">
        <v>32</v>
      </c>
    </row>
    <row r="277" spans="1:23" ht="16" x14ac:dyDescent="0.2">
      <c r="A277" s="5" t="s">
        <v>352</v>
      </c>
      <c r="B277" s="6" t="s">
        <v>33</v>
      </c>
      <c r="C277" s="6" t="s">
        <v>52</v>
      </c>
      <c r="D277" s="65" t="str">
        <f t="shared" si="14"/>
        <v>023_V_d</v>
      </c>
      <c r="E277">
        <v>142</v>
      </c>
      <c r="F277" t="s">
        <v>34</v>
      </c>
      <c r="G277" t="s">
        <v>364</v>
      </c>
      <c r="I277">
        <v>3.1765592266336902</v>
      </c>
      <c r="J277" s="82">
        <v>33.799999999999997</v>
      </c>
      <c r="K277" s="82">
        <v>24.9</v>
      </c>
      <c r="L277" s="84">
        <v>38.700000000000003</v>
      </c>
      <c r="M277" s="82">
        <v>26.5</v>
      </c>
      <c r="N277" s="82">
        <v>10.1</v>
      </c>
      <c r="O277" s="44">
        <f t="shared" si="13"/>
        <v>1.3407317729351638</v>
      </c>
      <c r="P277">
        <f t="shared" si="15"/>
        <v>26.8</v>
      </c>
      <c r="Q277" s="111">
        <v>0.29399999999999998</v>
      </c>
      <c r="R277">
        <v>0.46100000000000002</v>
      </c>
      <c r="S277" s="65">
        <v>13</v>
      </c>
      <c r="T277">
        <v>12</v>
      </c>
      <c r="U277" t="s">
        <v>51</v>
      </c>
      <c r="V277" t="s">
        <v>32</v>
      </c>
    </row>
    <row r="278" spans="1:23" x14ac:dyDescent="0.2">
      <c r="A278" s="5" t="s">
        <v>365</v>
      </c>
      <c r="B278" s="6" t="s">
        <v>36</v>
      </c>
      <c r="C278" s="6" t="s">
        <v>28</v>
      </c>
      <c r="D278" s="65" t="str">
        <f t="shared" si="14"/>
        <v>024_O_a</v>
      </c>
      <c r="E278">
        <v>24</v>
      </c>
      <c r="F278" t="s">
        <v>34</v>
      </c>
      <c r="G278" t="s">
        <v>366</v>
      </c>
      <c r="I278">
        <v>3.1432933566904699</v>
      </c>
      <c r="J278" s="82">
        <v>23.8</v>
      </c>
      <c r="K278" s="82">
        <v>33.299999999999997</v>
      </c>
      <c r="L278" s="82">
        <v>38.6</v>
      </c>
      <c r="M278" s="82">
        <v>51.2</v>
      </c>
      <c r="N278" s="82">
        <v>37.6</v>
      </c>
      <c r="O278" s="44">
        <f t="shared" si="13"/>
        <v>3.5564102564102766</v>
      </c>
      <c r="P278">
        <f t="shared" si="15"/>
        <v>36.899999999999991</v>
      </c>
      <c r="Q278" s="111">
        <v>0.247</v>
      </c>
      <c r="R278">
        <v>0.39500000000000002</v>
      </c>
      <c r="S278" s="65">
        <v>24</v>
      </c>
      <c r="T278" s="43">
        <v>30</v>
      </c>
      <c r="U278" t="s">
        <v>51</v>
      </c>
      <c r="V278" t="s">
        <v>32</v>
      </c>
    </row>
    <row r="279" spans="1:23" x14ac:dyDescent="0.2">
      <c r="A279" s="2" t="s">
        <v>365</v>
      </c>
      <c r="B279" t="s">
        <v>33</v>
      </c>
      <c r="C279" t="s">
        <v>28</v>
      </c>
      <c r="D279" s="65" t="str">
        <f t="shared" si="14"/>
        <v>024_V_a</v>
      </c>
      <c r="E279">
        <v>27</v>
      </c>
      <c r="F279" t="s">
        <v>41</v>
      </c>
      <c r="G279" t="s">
        <v>367</v>
      </c>
      <c r="I279">
        <v>3.90559190322322</v>
      </c>
      <c r="J279" s="82">
        <v>26.4</v>
      </c>
      <c r="K279" t="s">
        <v>57</v>
      </c>
      <c r="L279" s="82">
        <v>3.9</v>
      </c>
      <c r="M279" s="82">
        <v>17.600000000000001</v>
      </c>
      <c r="N279" s="82">
        <v>6.2</v>
      </c>
      <c r="O279" s="44">
        <f t="shared" si="13"/>
        <v>8.0519832985386248</v>
      </c>
      <c r="P279">
        <f t="shared" si="15"/>
        <v>13.525</v>
      </c>
      <c r="Q279" s="111">
        <v>0.27800000000000002</v>
      </c>
      <c r="R279">
        <v>0.502</v>
      </c>
      <c r="S279" s="65">
        <v>21</v>
      </c>
      <c r="T279">
        <v>14</v>
      </c>
      <c r="U279" t="s">
        <v>72</v>
      </c>
      <c r="V279" t="s">
        <v>32</v>
      </c>
    </row>
    <row r="280" spans="1:23" x14ac:dyDescent="0.2">
      <c r="A280" s="5" t="s">
        <v>365</v>
      </c>
      <c r="B280" s="6" t="s">
        <v>27</v>
      </c>
      <c r="C280" s="6" t="s">
        <v>28</v>
      </c>
      <c r="D280" s="65" t="str">
        <f t="shared" si="14"/>
        <v>024_S_a</v>
      </c>
      <c r="E280">
        <v>32</v>
      </c>
      <c r="F280" t="s">
        <v>63</v>
      </c>
      <c r="G280" t="s">
        <v>368</v>
      </c>
      <c r="I280">
        <v>5.9986186432006496</v>
      </c>
      <c r="J280" s="82">
        <v>20.7</v>
      </c>
      <c r="K280" s="82">
        <v>39</v>
      </c>
      <c r="L280" s="82">
        <v>18.100000000000001</v>
      </c>
      <c r="M280" s="82">
        <v>52.1</v>
      </c>
      <c r="N280" s="82">
        <v>24.9</v>
      </c>
      <c r="O280" s="44">
        <f t="shared" si="13"/>
        <v>7.9343854246856527</v>
      </c>
      <c r="P280">
        <f t="shared" si="15"/>
        <v>30.96</v>
      </c>
      <c r="Q280" s="111">
        <v>0.59599999999999997</v>
      </c>
      <c r="R280">
        <v>0.68200000000000005</v>
      </c>
      <c r="S280" s="65">
        <v>13</v>
      </c>
      <c r="T280">
        <v>37</v>
      </c>
      <c r="U280" t="s">
        <v>31</v>
      </c>
      <c r="V280" t="s">
        <v>32</v>
      </c>
    </row>
    <row r="281" spans="1:23" x14ac:dyDescent="0.2">
      <c r="A281" s="5" t="s">
        <v>365</v>
      </c>
      <c r="B281" s="6" t="s">
        <v>27</v>
      </c>
      <c r="C281" s="6" t="s">
        <v>38</v>
      </c>
      <c r="D281" s="65" t="str">
        <f t="shared" si="14"/>
        <v>024_S_b</v>
      </c>
      <c r="E281">
        <v>49</v>
      </c>
      <c r="F281" t="s">
        <v>43</v>
      </c>
      <c r="G281" t="s">
        <v>369</v>
      </c>
      <c r="I281">
        <v>2.50796713556579</v>
      </c>
      <c r="J281" s="82">
        <v>1.2</v>
      </c>
      <c r="K281" s="82">
        <v>27.7</v>
      </c>
      <c r="L281" s="82">
        <v>18.399999999999999</v>
      </c>
      <c r="M281" s="82">
        <v>11.2</v>
      </c>
      <c r="N281" s="83">
        <v>13.3</v>
      </c>
      <c r="O281" s="44">
        <f t="shared" si="13"/>
        <v>8.5964102564102571</v>
      </c>
      <c r="P281">
        <f t="shared" si="15"/>
        <v>14.36</v>
      </c>
      <c r="Q281" s="111">
        <v>0.25700000000000001</v>
      </c>
      <c r="R281">
        <v>0.32</v>
      </c>
      <c r="S281" s="65">
        <v>2</v>
      </c>
      <c r="T281" s="43">
        <v>2</v>
      </c>
      <c r="U281" t="s">
        <v>54</v>
      </c>
      <c r="V281" t="s">
        <v>32</v>
      </c>
    </row>
    <row r="282" spans="1:23" s="19" customFormat="1" x14ac:dyDescent="0.2">
      <c r="A282" s="42" t="s">
        <v>365</v>
      </c>
      <c r="B282" s="19" t="s">
        <v>33</v>
      </c>
      <c r="C282" s="19" t="s">
        <v>38</v>
      </c>
      <c r="D282" s="66" t="str">
        <f t="shared" si="14"/>
        <v>024_V_b</v>
      </c>
      <c r="E282" s="19">
        <v>67</v>
      </c>
      <c r="F282" s="19" t="s">
        <v>63</v>
      </c>
      <c r="G282" s="19" t="s">
        <v>370</v>
      </c>
      <c r="I282">
        <v>3.4889551310298299</v>
      </c>
      <c r="J282" s="83">
        <v>7.2</v>
      </c>
      <c r="K282" s="82">
        <v>42</v>
      </c>
      <c r="L282" t="s">
        <v>57</v>
      </c>
      <c r="M282" s="82">
        <v>8.3000000000000007</v>
      </c>
      <c r="N282" s="82">
        <v>43.3</v>
      </c>
      <c r="O282" s="54">
        <f t="shared" si="13"/>
        <v>20.416869565217393</v>
      </c>
      <c r="P282">
        <f t="shared" si="15"/>
        <v>25.2</v>
      </c>
      <c r="Q282" s="112">
        <v>0.376</v>
      </c>
      <c r="R282" s="19">
        <v>0.52700000000000002</v>
      </c>
      <c r="S282" s="66">
        <v>12</v>
      </c>
      <c r="T282" s="19">
        <v>15</v>
      </c>
      <c r="U282" s="19" t="s">
        <v>31</v>
      </c>
      <c r="V282" t="s">
        <v>32</v>
      </c>
    </row>
    <row r="283" spans="1:23" x14ac:dyDescent="0.2">
      <c r="A283" s="5" t="s">
        <v>365</v>
      </c>
      <c r="B283" s="6" t="s">
        <v>36</v>
      </c>
      <c r="C283" s="6" t="s">
        <v>38</v>
      </c>
      <c r="D283" s="65" t="str">
        <f t="shared" si="14"/>
        <v>024_O_b</v>
      </c>
      <c r="E283">
        <v>71</v>
      </c>
      <c r="F283" t="s">
        <v>29</v>
      </c>
      <c r="G283" t="s">
        <v>371</v>
      </c>
      <c r="I283">
        <v>2.78927778338549</v>
      </c>
      <c r="J283" s="82">
        <v>4.9000000000000004</v>
      </c>
      <c r="K283" s="82">
        <v>19.100000000000001</v>
      </c>
      <c r="L283" s="82">
        <v>41.8</v>
      </c>
      <c r="M283" s="82">
        <v>26.7</v>
      </c>
      <c r="N283" s="82">
        <v>34.4</v>
      </c>
      <c r="O283" s="44">
        <f t="shared" si="13"/>
        <v>10.232612612612609</v>
      </c>
      <c r="P283">
        <f t="shared" si="15"/>
        <v>25.380000000000003</v>
      </c>
      <c r="Q283" s="111">
        <v>7.3999999999999996E-2</v>
      </c>
      <c r="R283">
        <v>0.255</v>
      </c>
      <c r="S283" s="65">
        <v>5</v>
      </c>
      <c r="T283">
        <v>12</v>
      </c>
      <c r="U283" t="s">
        <v>31</v>
      </c>
      <c r="V283" t="s">
        <v>32</v>
      </c>
    </row>
    <row r="284" spans="1:23" x14ac:dyDescent="0.2">
      <c r="A284" s="5" t="s">
        <v>365</v>
      </c>
      <c r="B284" s="6" t="s">
        <v>33</v>
      </c>
      <c r="C284" s="6" t="s">
        <v>45</v>
      </c>
      <c r="D284" s="65" t="str">
        <f t="shared" si="14"/>
        <v>024_V_c</v>
      </c>
      <c r="E284">
        <v>75</v>
      </c>
      <c r="F284" t="s">
        <v>34</v>
      </c>
      <c r="G284" t="s">
        <v>372</v>
      </c>
      <c r="I284">
        <v>4.2777439024390196</v>
      </c>
      <c r="J284" s="82">
        <v>5.3</v>
      </c>
      <c r="K284" s="82">
        <v>42.8</v>
      </c>
      <c r="L284" s="82">
        <v>2.2999999999999998</v>
      </c>
      <c r="M284" s="82">
        <v>40.799999999999997</v>
      </c>
      <c r="N284" s="82">
        <v>23</v>
      </c>
      <c r="O284" s="44">
        <f t="shared" si="13"/>
        <v>21.206140350877195</v>
      </c>
      <c r="P284">
        <f t="shared" si="15"/>
        <v>22.839999999999996</v>
      </c>
      <c r="Q284" s="111">
        <v>0.22500000000000001</v>
      </c>
      <c r="R284">
        <v>0.60699999999999998</v>
      </c>
      <c r="S284" s="65">
        <v>14</v>
      </c>
      <c r="T284">
        <v>15</v>
      </c>
      <c r="U284" t="s">
        <v>128</v>
      </c>
      <c r="V284" t="s">
        <v>32</v>
      </c>
    </row>
    <row r="285" spans="1:23" x14ac:dyDescent="0.2">
      <c r="A285" s="5" t="s">
        <v>365</v>
      </c>
      <c r="B285" s="6" t="s">
        <v>27</v>
      </c>
      <c r="C285" s="6" t="s">
        <v>45</v>
      </c>
      <c r="D285" s="65" t="str">
        <f t="shared" si="14"/>
        <v>024_S_c</v>
      </c>
      <c r="E285">
        <v>81</v>
      </c>
      <c r="F285" t="s">
        <v>34</v>
      </c>
      <c r="G285" t="s">
        <v>373</v>
      </c>
      <c r="I285">
        <v>4.6021932563221997</v>
      </c>
      <c r="J285" s="82">
        <v>35.299999999999997</v>
      </c>
      <c r="K285" s="82">
        <v>44.7</v>
      </c>
      <c r="L285" s="82">
        <v>46.4</v>
      </c>
      <c r="M285" s="82">
        <v>42.7</v>
      </c>
      <c r="N285" s="82">
        <v>48.6</v>
      </c>
      <c r="O285" s="44">
        <f t="shared" si="13"/>
        <v>0.56556278336290189</v>
      </c>
      <c r="P285">
        <f t="shared" si="15"/>
        <v>43.540000000000006</v>
      </c>
      <c r="Q285" s="111">
        <v>0.60599999999999998</v>
      </c>
      <c r="R285">
        <v>0.72499999999999998</v>
      </c>
      <c r="S285" s="65">
        <v>13</v>
      </c>
      <c r="T285">
        <v>65</v>
      </c>
      <c r="U285" t="s">
        <v>72</v>
      </c>
      <c r="V285" t="s">
        <v>32</v>
      </c>
    </row>
    <row r="286" spans="1:23" x14ac:dyDescent="0.2">
      <c r="A286" s="5" t="s">
        <v>365</v>
      </c>
      <c r="B286" s="6" t="s">
        <v>36</v>
      </c>
      <c r="C286" s="6" t="s">
        <v>45</v>
      </c>
      <c r="D286" s="65" t="str">
        <f t="shared" si="14"/>
        <v>024_O_c</v>
      </c>
      <c r="E286">
        <v>96</v>
      </c>
      <c r="F286" t="s">
        <v>70</v>
      </c>
      <c r="G286" t="s">
        <v>374</v>
      </c>
      <c r="I286">
        <v>3.4521484664394699</v>
      </c>
      <c r="J286" s="82">
        <v>24.5</v>
      </c>
      <c r="K286" s="82">
        <v>45.2</v>
      </c>
      <c r="L286" s="82">
        <v>60.5</v>
      </c>
      <c r="M286">
        <v>7.8</v>
      </c>
      <c r="N286" s="82">
        <v>23.8</v>
      </c>
      <c r="O286" s="44">
        <f t="shared" si="13"/>
        <v>15.491594202898552</v>
      </c>
      <c r="P286">
        <f t="shared" si="15"/>
        <v>32.36</v>
      </c>
      <c r="Q286" s="111">
        <v>0.22</v>
      </c>
      <c r="R286">
        <v>0.40699999999999997</v>
      </c>
      <c r="S286" s="65">
        <v>8</v>
      </c>
      <c r="T286">
        <v>19</v>
      </c>
      <c r="U286" t="s">
        <v>31</v>
      </c>
      <c r="V286" t="s">
        <v>32</v>
      </c>
    </row>
    <row r="287" spans="1:23" x14ac:dyDescent="0.2">
      <c r="A287" s="5" t="s">
        <v>365</v>
      </c>
      <c r="B287" s="6" t="s">
        <v>36</v>
      </c>
      <c r="C287" s="6" t="s">
        <v>52</v>
      </c>
      <c r="D287" s="65" t="str">
        <f t="shared" si="14"/>
        <v>024_O_d</v>
      </c>
      <c r="E287">
        <v>109</v>
      </c>
      <c r="F287" t="s">
        <v>68</v>
      </c>
      <c r="G287" t="s">
        <v>375</v>
      </c>
      <c r="I287">
        <v>1.67665950043219</v>
      </c>
      <c r="J287" s="82">
        <v>26.5</v>
      </c>
      <c r="L287" s="82">
        <v>30.8</v>
      </c>
      <c r="M287">
        <v>27.6</v>
      </c>
      <c r="N287" s="82">
        <v>37.9</v>
      </c>
      <c r="O287" s="44">
        <f t="shared" si="13"/>
        <v>0.17632508833922261</v>
      </c>
      <c r="P287">
        <f t="shared" si="15"/>
        <v>30.700000000000003</v>
      </c>
      <c r="Q287" s="111">
        <v>0.17899999999999999</v>
      </c>
      <c r="R287">
        <v>0.255</v>
      </c>
      <c r="S287" s="65">
        <v>11</v>
      </c>
      <c r="T287">
        <v>28</v>
      </c>
      <c r="U287" t="s">
        <v>54</v>
      </c>
      <c r="V287" t="s">
        <v>32</v>
      </c>
    </row>
    <row r="288" spans="1:23" ht="16" x14ac:dyDescent="0.2">
      <c r="A288" s="5" t="s">
        <v>365</v>
      </c>
      <c r="B288" s="6" t="s">
        <v>27</v>
      </c>
      <c r="C288" s="6" t="s">
        <v>52</v>
      </c>
      <c r="D288" s="65" t="str">
        <f t="shared" si="14"/>
        <v>024_S_d</v>
      </c>
      <c r="E288">
        <v>122</v>
      </c>
      <c r="F288" t="s">
        <v>70</v>
      </c>
      <c r="G288" t="s">
        <v>376</v>
      </c>
      <c r="H288" t="s">
        <v>56</v>
      </c>
      <c r="I288">
        <v>0</v>
      </c>
      <c r="J288" s="82">
        <v>1.1000000000000001</v>
      </c>
      <c r="K288" s="82">
        <v>1</v>
      </c>
      <c r="L288" s="84">
        <v>1</v>
      </c>
      <c r="M288">
        <v>0.9</v>
      </c>
      <c r="N288" s="82">
        <v>1</v>
      </c>
      <c r="O288" s="44">
        <f t="shared" si="13"/>
        <v>6.6666666666666706E-3</v>
      </c>
      <c r="P288">
        <f t="shared" si="15"/>
        <v>1</v>
      </c>
      <c r="Q288" s="111" t="s">
        <v>57</v>
      </c>
      <c r="R288" t="s">
        <v>57</v>
      </c>
      <c r="S288" s="65" t="s">
        <v>57</v>
      </c>
      <c r="T288" t="s">
        <v>57</v>
      </c>
      <c r="V288" t="s">
        <v>32</v>
      </c>
      <c r="W288" t="s">
        <v>67</v>
      </c>
    </row>
    <row r="289" spans="1:23" ht="16" x14ac:dyDescent="0.2">
      <c r="A289" s="5" t="s">
        <v>365</v>
      </c>
      <c r="B289" s="6" t="s">
        <v>33</v>
      </c>
      <c r="C289" s="6" t="s">
        <v>52</v>
      </c>
      <c r="D289" s="65" t="str">
        <f t="shared" si="14"/>
        <v>024_V_d</v>
      </c>
      <c r="E289">
        <v>132</v>
      </c>
      <c r="F289" t="s">
        <v>39</v>
      </c>
      <c r="G289" t="s">
        <v>377</v>
      </c>
      <c r="I289">
        <v>3.1583722123158799</v>
      </c>
      <c r="J289" s="82">
        <v>33.9</v>
      </c>
      <c r="K289" s="82">
        <v>23.7</v>
      </c>
      <c r="L289" s="84">
        <v>28.6</v>
      </c>
      <c r="M289">
        <v>30</v>
      </c>
      <c r="N289" s="82">
        <v>29.6</v>
      </c>
      <c r="O289" s="44">
        <f t="shared" si="13"/>
        <v>0.61101549053356818</v>
      </c>
      <c r="P289">
        <f t="shared" si="15"/>
        <v>29.159999999999997</v>
      </c>
      <c r="Q289" s="111">
        <v>0.28499999999999998</v>
      </c>
      <c r="R289">
        <v>0.438</v>
      </c>
      <c r="S289" s="65">
        <v>7</v>
      </c>
      <c r="T289">
        <v>11</v>
      </c>
      <c r="U289" t="s">
        <v>47</v>
      </c>
      <c r="V289" t="s">
        <v>32</v>
      </c>
    </row>
    <row r="290" spans="1:23" x14ac:dyDescent="0.2">
      <c r="A290" s="2" t="s">
        <v>378</v>
      </c>
      <c r="B290" t="s">
        <v>33</v>
      </c>
      <c r="C290" t="s">
        <v>28</v>
      </c>
      <c r="D290" s="65" t="str">
        <f t="shared" si="14"/>
        <v>025_V_a</v>
      </c>
      <c r="E290">
        <v>19</v>
      </c>
      <c r="F290" t="s">
        <v>68</v>
      </c>
      <c r="G290" t="s">
        <v>379</v>
      </c>
      <c r="I290">
        <v>3.8471102278605098</v>
      </c>
      <c r="J290" s="82">
        <v>25.9</v>
      </c>
      <c r="K290" s="82">
        <v>26.8</v>
      </c>
      <c r="L290" s="82">
        <v>18.899999999999999</v>
      </c>
      <c r="M290" s="82">
        <v>22.9</v>
      </c>
      <c r="N290" s="82">
        <v>19.5</v>
      </c>
      <c r="O290" s="44">
        <f t="shared" si="13"/>
        <v>0.53767195767195231</v>
      </c>
      <c r="P290">
        <f t="shared" si="15"/>
        <v>22.8</v>
      </c>
      <c r="Q290" s="111">
        <v>0.26700000000000002</v>
      </c>
      <c r="R290">
        <v>0.36599999999999999</v>
      </c>
      <c r="S290" s="65">
        <v>8</v>
      </c>
      <c r="T290">
        <v>25</v>
      </c>
      <c r="U290" t="s">
        <v>31</v>
      </c>
      <c r="V290" t="s">
        <v>32</v>
      </c>
    </row>
    <row r="291" spans="1:23" x14ac:dyDescent="0.2">
      <c r="A291" s="5" t="s">
        <v>378</v>
      </c>
      <c r="B291" s="6" t="s">
        <v>36</v>
      </c>
      <c r="C291" s="6" t="s">
        <v>28</v>
      </c>
      <c r="D291" s="65" t="str">
        <f t="shared" si="14"/>
        <v>025_O_a</v>
      </c>
      <c r="E291">
        <v>26</v>
      </c>
      <c r="F291" t="s">
        <v>68</v>
      </c>
      <c r="G291" t="s">
        <v>380</v>
      </c>
      <c r="I291">
        <v>2.5738045624040402</v>
      </c>
      <c r="J291" s="82">
        <v>12.6</v>
      </c>
      <c r="K291" t="s">
        <v>57</v>
      </c>
      <c r="L291" s="82">
        <v>34.9</v>
      </c>
      <c r="M291" s="82">
        <v>37.6</v>
      </c>
      <c r="N291" s="83">
        <v>41.7</v>
      </c>
      <c r="O291" s="44">
        <f t="shared" ref="O291:O354" si="16">VAR(J291:M291)/AVERAGE(J291:M291)</f>
        <v>6.6367802585193969</v>
      </c>
      <c r="P291">
        <f t="shared" si="15"/>
        <v>31.7</v>
      </c>
      <c r="Q291" s="111">
        <v>0.247</v>
      </c>
      <c r="R291">
        <v>0.31</v>
      </c>
      <c r="S291" s="65">
        <v>21</v>
      </c>
      <c r="T291">
        <v>30</v>
      </c>
      <c r="U291" t="s">
        <v>72</v>
      </c>
      <c r="V291" t="s">
        <v>32</v>
      </c>
    </row>
    <row r="292" spans="1:23" s="19" customFormat="1" x14ac:dyDescent="0.2">
      <c r="A292" s="17" t="s">
        <v>378</v>
      </c>
      <c r="B292" s="18" t="s">
        <v>27</v>
      </c>
      <c r="C292" s="18" t="s">
        <v>28</v>
      </c>
      <c r="D292" s="66" t="str">
        <f t="shared" si="14"/>
        <v>025_S_a</v>
      </c>
      <c r="E292" s="19">
        <v>33</v>
      </c>
      <c r="F292" s="19" t="s">
        <v>68</v>
      </c>
      <c r="G292" s="19" t="s">
        <v>381</v>
      </c>
      <c r="H292" s="19" t="s">
        <v>56</v>
      </c>
      <c r="I292">
        <v>0</v>
      </c>
      <c r="J292" s="83">
        <v>1</v>
      </c>
      <c r="K292" s="82">
        <v>1</v>
      </c>
      <c r="L292" s="82">
        <v>1</v>
      </c>
      <c r="M292" s="82">
        <v>0.9</v>
      </c>
      <c r="N292" s="82">
        <v>0.9</v>
      </c>
      <c r="O292" s="54">
        <f t="shared" si="16"/>
        <v>2.5641025641025632E-3</v>
      </c>
      <c r="P292">
        <f t="shared" si="15"/>
        <v>0.96</v>
      </c>
      <c r="Q292" s="112" t="s">
        <v>57</v>
      </c>
      <c r="R292" s="19" t="s">
        <v>57</v>
      </c>
      <c r="S292" s="66" t="s">
        <v>57</v>
      </c>
      <c r="T292" s="19" t="s">
        <v>57</v>
      </c>
      <c r="U292" s="19" t="s">
        <v>57</v>
      </c>
      <c r="V292" t="s">
        <v>32</v>
      </c>
      <c r="W292" s="19" t="s">
        <v>67</v>
      </c>
    </row>
    <row r="293" spans="1:23" x14ac:dyDescent="0.2">
      <c r="A293" s="5" t="s">
        <v>378</v>
      </c>
      <c r="B293" s="6" t="s">
        <v>27</v>
      </c>
      <c r="C293" s="6" t="s">
        <v>38</v>
      </c>
      <c r="D293" s="65" t="str">
        <f t="shared" si="14"/>
        <v>025_S_b</v>
      </c>
      <c r="E293">
        <v>52</v>
      </c>
      <c r="F293" t="s">
        <v>43</v>
      </c>
      <c r="G293" t="s">
        <v>382</v>
      </c>
      <c r="I293">
        <v>4.1163645856642104</v>
      </c>
      <c r="J293" s="82">
        <v>34.9</v>
      </c>
      <c r="K293" s="82">
        <v>37.799999999999997</v>
      </c>
      <c r="L293" s="82">
        <v>27.2</v>
      </c>
      <c r="M293" s="82">
        <v>44</v>
      </c>
      <c r="N293" s="82">
        <v>36.5</v>
      </c>
      <c r="O293" s="44">
        <f t="shared" si="16"/>
        <v>1.3517488996988802</v>
      </c>
      <c r="P293">
        <f t="shared" si="15"/>
        <v>36.08</v>
      </c>
      <c r="Q293" s="111">
        <v>0.26400000000000001</v>
      </c>
      <c r="R293">
        <v>0.64500000000000002</v>
      </c>
      <c r="S293" s="65">
        <v>14</v>
      </c>
      <c r="T293">
        <v>25</v>
      </c>
      <c r="U293" t="s">
        <v>31</v>
      </c>
      <c r="V293" t="s">
        <v>32</v>
      </c>
    </row>
    <row r="294" spans="1:23" x14ac:dyDescent="0.2">
      <c r="A294" s="5" t="s">
        <v>378</v>
      </c>
      <c r="B294" s="6" t="s">
        <v>36</v>
      </c>
      <c r="C294" s="6" t="s">
        <v>38</v>
      </c>
      <c r="D294" s="65" t="str">
        <f t="shared" si="14"/>
        <v>025_O_b</v>
      </c>
      <c r="E294">
        <v>53</v>
      </c>
      <c r="F294" t="s">
        <v>39</v>
      </c>
      <c r="G294" t="s">
        <v>383</v>
      </c>
      <c r="I294">
        <v>2.4055384615384598</v>
      </c>
      <c r="J294" s="82">
        <v>14.7</v>
      </c>
      <c r="K294" s="82">
        <v>8.6999999999999993</v>
      </c>
      <c r="L294" s="82">
        <v>42.4</v>
      </c>
      <c r="M294" s="82">
        <v>37.9</v>
      </c>
      <c r="N294" s="82">
        <v>47</v>
      </c>
      <c r="O294" s="44">
        <f t="shared" si="16"/>
        <v>10.768595306975257</v>
      </c>
      <c r="P294">
        <f t="shared" si="15"/>
        <v>30.139999999999997</v>
      </c>
      <c r="Q294" s="111">
        <v>0.14799999999999999</v>
      </c>
      <c r="R294">
        <v>0.24099999999999999</v>
      </c>
      <c r="S294" s="65">
        <v>15</v>
      </c>
      <c r="T294" s="43">
        <v>28</v>
      </c>
      <c r="U294" t="s">
        <v>31</v>
      </c>
      <c r="V294" t="s">
        <v>32</v>
      </c>
    </row>
    <row r="295" spans="1:23" x14ac:dyDescent="0.2">
      <c r="A295" s="2" t="s">
        <v>378</v>
      </c>
      <c r="B295" t="s">
        <v>33</v>
      </c>
      <c r="C295" t="s">
        <v>38</v>
      </c>
      <c r="D295" s="65" t="str">
        <f t="shared" si="14"/>
        <v>025_V_b</v>
      </c>
      <c r="E295">
        <v>65</v>
      </c>
      <c r="F295" t="s">
        <v>82</v>
      </c>
      <c r="G295" t="s">
        <v>384</v>
      </c>
      <c r="I295">
        <v>3.41773216179367</v>
      </c>
      <c r="J295" s="82">
        <v>34.700000000000003</v>
      </c>
      <c r="K295" s="82">
        <v>9.6999999999999993</v>
      </c>
      <c r="L295" t="s">
        <v>57</v>
      </c>
      <c r="M295" s="82">
        <v>34.5</v>
      </c>
      <c r="N295" s="82">
        <v>41.2</v>
      </c>
      <c r="O295" s="44">
        <f t="shared" si="16"/>
        <v>7.8585551330798502</v>
      </c>
      <c r="P295">
        <f t="shared" si="15"/>
        <v>30.025000000000002</v>
      </c>
      <c r="Q295" s="111">
        <v>0.23</v>
      </c>
      <c r="R295">
        <v>0.38500000000000001</v>
      </c>
      <c r="S295" s="65">
        <v>20</v>
      </c>
      <c r="T295">
        <v>12</v>
      </c>
      <c r="U295" t="s">
        <v>31</v>
      </c>
      <c r="V295" t="s">
        <v>32</v>
      </c>
    </row>
    <row r="296" spans="1:23" x14ac:dyDescent="0.2">
      <c r="A296" s="5" t="s">
        <v>378</v>
      </c>
      <c r="B296" s="6" t="s">
        <v>33</v>
      </c>
      <c r="C296" s="6" t="s">
        <v>45</v>
      </c>
      <c r="D296" s="65" t="str">
        <f t="shared" si="14"/>
        <v>025_V_c</v>
      </c>
      <c r="E296">
        <v>98</v>
      </c>
      <c r="F296" t="s">
        <v>39</v>
      </c>
      <c r="G296" t="s">
        <v>385</v>
      </c>
      <c r="I296">
        <v>1.6855974298776699</v>
      </c>
      <c r="J296" s="43">
        <v>1.9</v>
      </c>
      <c r="K296" s="82">
        <v>26.7</v>
      </c>
      <c r="L296" s="82">
        <v>9.8000000000000007</v>
      </c>
      <c r="M296">
        <v>17.7</v>
      </c>
      <c r="N296" s="82">
        <v>34.4</v>
      </c>
      <c r="O296" s="44">
        <f t="shared" si="16"/>
        <v>8.057694592988712</v>
      </c>
      <c r="P296">
        <f t="shared" si="15"/>
        <v>18.100000000000001</v>
      </c>
      <c r="Q296" s="111">
        <v>0.112</v>
      </c>
      <c r="R296">
        <v>0.245</v>
      </c>
      <c r="S296" s="65">
        <v>13</v>
      </c>
      <c r="T296">
        <v>28</v>
      </c>
      <c r="U296" t="s">
        <v>31</v>
      </c>
      <c r="V296" t="s">
        <v>32</v>
      </c>
    </row>
    <row r="297" spans="1:23" x14ac:dyDescent="0.2">
      <c r="A297" s="5" t="s">
        <v>378</v>
      </c>
      <c r="B297" s="6" t="s">
        <v>27</v>
      </c>
      <c r="C297" s="6" t="s">
        <v>45</v>
      </c>
      <c r="D297" s="65" t="str">
        <f t="shared" si="14"/>
        <v>025_S_c</v>
      </c>
      <c r="E297">
        <v>103</v>
      </c>
      <c r="F297" t="s">
        <v>49</v>
      </c>
      <c r="G297" t="s">
        <v>386</v>
      </c>
      <c r="I297">
        <v>1.87048931629426</v>
      </c>
      <c r="J297" s="82">
        <v>19.899999999999999</v>
      </c>
      <c r="K297" s="82">
        <v>16</v>
      </c>
      <c r="L297" s="82">
        <v>20.2</v>
      </c>
      <c r="M297">
        <v>14.5</v>
      </c>
      <c r="N297" s="82">
        <v>19.8</v>
      </c>
      <c r="O297" s="44">
        <f t="shared" si="16"/>
        <v>0.45722379603399932</v>
      </c>
      <c r="P297">
        <f t="shared" si="15"/>
        <v>18.079999999999998</v>
      </c>
      <c r="Q297" s="111">
        <v>0.11</v>
      </c>
      <c r="R297">
        <v>0.17799999999999999</v>
      </c>
      <c r="S297" s="65">
        <v>25</v>
      </c>
      <c r="T297">
        <v>33</v>
      </c>
      <c r="U297" t="s">
        <v>72</v>
      </c>
      <c r="V297" t="s">
        <v>32</v>
      </c>
    </row>
    <row r="298" spans="1:23" x14ac:dyDescent="0.2">
      <c r="A298" s="5" t="s">
        <v>378</v>
      </c>
      <c r="B298" s="6" t="s">
        <v>36</v>
      </c>
      <c r="C298" s="6" t="s">
        <v>45</v>
      </c>
      <c r="D298" s="65" t="str">
        <f t="shared" si="14"/>
        <v>025_O_c</v>
      </c>
      <c r="E298">
        <v>106</v>
      </c>
      <c r="F298" t="s">
        <v>49</v>
      </c>
      <c r="G298" t="s">
        <v>387</v>
      </c>
      <c r="I298">
        <v>3.6144879781702102</v>
      </c>
      <c r="J298" s="82">
        <v>9.1999999999999993</v>
      </c>
      <c r="K298" s="82">
        <v>30.8</v>
      </c>
      <c r="L298" s="82">
        <v>49.1</v>
      </c>
      <c r="M298">
        <v>17</v>
      </c>
      <c r="N298" s="82">
        <v>49</v>
      </c>
      <c r="O298" s="44">
        <f t="shared" si="16"/>
        <v>11.546182846371352</v>
      </c>
      <c r="P298">
        <f t="shared" si="15"/>
        <v>31.02</v>
      </c>
      <c r="Q298" s="111">
        <v>0.20399999999999999</v>
      </c>
      <c r="R298">
        <v>0.33400000000000002</v>
      </c>
      <c r="S298" s="65">
        <v>15</v>
      </c>
      <c r="T298">
        <v>70</v>
      </c>
      <c r="U298" t="s">
        <v>72</v>
      </c>
      <c r="V298" t="s">
        <v>32</v>
      </c>
    </row>
    <row r="299" spans="1:23" ht="16" x14ac:dyDescent="0.2">
      <c r="A299" s="5" t="s">
        <v>378</v>
      </c>
      <c r="B299" s="6" t="s">
        <v>27</v>
      </c>
      <c r="C299" s="6" t="s">
        <v>52</v>
      </c>
      <c r="D299" s="65" t="str">
        <f t="shared" si="14"/>
        <v>025_S_d</v>
      </c>
      <c r="E299">
        <v>121</v>
      </c>
      <c r="F299" t="s">
        <v>49</v>
      </c>
      <c r="G299" t="s">
        <v>388</v>
      </c>
      <c r="I299">
        <v>3.6213628670247999</v>
      </c>
      <c r="J299" s="82">
        <v>19.5</v>
      </c>
      <c r="K299" s="82">
        <v>15.9</v>
      </c>
      <c r="L299" s="84">
        <v>21.5</v>
      </c>
      <c r="M299">
        <v>18.8</v>
      </c>
      <c r="N299" s="82">
        <v>23</v>
      </c>
      <c r="O299" s="44">
        <f t="shared" si="16"/>
        <v>0.28405988551298683</v>
      </c>
      <c r="P299">
        <f t="shared" si="15"/>
        <v>19.740000000000002</v>
      </c>
      <c r="Q299" s="111">
        <v>0.245</v>
      </c>
      <c r="R299">
        <v>0.34100000000000003</v>
      </c>
      <c r="S299" s="65">
        <v>15</v>
      </c>
      <c r="T299">
        <v>46</v>
      </c>
      <c r="U299" t="s">
        <v>31</v>
      </c>
      <c r="V299" t="s">
        <v>32</v>
      </c>
    </row>
    <row r="300" spans="1:23" ht="16" x14ac:dyDescent="0.2">
      <c r="A300" s="5" t="s">
        <v>378</v>
      </c>
      <c r="B300" s="6" t="s">
        <v>36</v>
      </c>
      <c r="C300" s="6" t="s">
        <v>52</v>
      </c>
      <c r="D300" s="65" t="str">
        <f t="shared" si="14"/>
        <v>025_O_d</v>
      </c>
      <c r="E300">
        <v>133</v>
      </c>
      <c r="F300" t="s">
        <v>68</v>
      </c>
      <c r="G300" t="s">
        <v>389</v>
      </c>
      <c r="I300">
        <v>3.06196258862574</v>
      </c>
      <c r="J300" s="82">
        <v>24.3</v>
      </c>
      <c r="K300" s="82">
        <v>27.7</v>
      </c>
      <c r="L300" s="84">
        <v>26.9</v>
      </c>
      <c r="M300" s="82">
        <v>26.3</v>
      </c>
      <c r="N300" s="82">
        <v>33.9</v>
      </c>
      <c r="O300" s="44">
        <f t="shared" si="16"/>
        <v>8.0101394169835138E-2</v>
      </c>
      <c r="P300">
        <f t="shared" si="15"/>
        <v>27.82</v>
      </c>
      <c r="Q300" s="111">
        <v>0.21199999999999999</v>
      </c>
      <c r="R300">
        <v>0.36099999999999999</v>
      </c>
      <c r="S300" s="65">
        <v>16</v>
      </c>
      <c r="T300">
        <v>74</v>
      </c>
      <c r="U300" t="s">
        <v>51</v>
      </c>
      <c r="V300" t="s">
        <v>32</v>
      </c>
    </row>
    <row r="301" spans="1:23" x14ac:dyDescent="0.2">
      <c r="A301" s="5" t="s">
        <v>378</v>
      </c>
      <c r="B301" s="6" t="s">
        <v>33</v>
      </c>
      <c r="C301" s="6" t="s">
        <v>52</v>
      </c>
      <c r="D301" s="65" t="str">
        <f t="shared" si="14"/>
        <v>025_V_d</v>
      </c>
      <c r="E301">
        <v>138</v>
      </c>
      <c r="F301" t="s">
        <v>68</v>
      </c>
      <c r="G301" t="s">
        <v>390</v>
      </c>
      <c r="I301">
        <v>3.4704717266404601</v>
      </c>
      <c r="J301" s="81"/>
      <c r="K301" s="82">
        <v>11.2</v>
      </c>
      <c r="L301" s="82"/>
      <c r="M301" s="82">
        <v>15.4</v>
      </c>
      <c r="N301" s="83">
        <v>36.200000000000003</v>
      </c>
      <c r="O301" s="44">
        <f t="shared" si="16"/>
        <v>0.6631578947368415</v>
      </c>
      <c r="P301">
        <f t="shared" si="15"/>
        <v>20.933333333333334</v>
      </c>
      <c r="Q301" s="111">
        <v>0.436</v>
      </c>
      <c r="R301">
        <v>0.45900000000000002</v>
      </c>
      <c r="S301" s="65">
        <v>8</v>
      </c>
      <c r="T301">
        <v>49</v>
      </c>
      <c r="U301" t="s">
        <v>54</v>
      </c>
      <c r="V301" t="s">
        <v>32</v>
      </c>
    </row>
    <row r="302" spans="1:23" s="19" customFormat="1" ht="16" x14ac:dyDescent="0.2">
      <c r="A302" s="17" t="s">
        <v>391</v>
      </c>
      <c r="B302" s="18" t="s">
        <v>36</v>
      </c>
      <c r="C302" s="18" t="s">
        <v>28</v>
      </c>
      <c r="D302" s="66" t="str">
        <f t="shared" si="14"/>
        <v>026_O_a</v>
      </c>
      <c r="E302" s="19">
        <v>6</v>
      </c>
      <c r="F302" s="19" t="s">
        <v>49</v>
      </c>
      <c r="G302" s="19" t="s">
        <v>392</v>
      </c>
      <c r="I302">
        <v>3.81713433392374</v>
      </c>
      <c r="J302" s="85">
        <v>33.700000000000003</v>
      </c>
      <c r="K302" s="82">
        <v>43.4</v>
      </c>
      <c r="L302" s="82">
        <v>27.2</v>
      </c>
      <c r="M302" s="82">
        <v>39.9</v>
      </c>
      <c r="N302" s="83">
        <v>46.2</v>
      </c>
      <c r="O302" s="54">
        <f t="shared" si="16"/>
        <v>1.4118354137771745</v>
      </c>
      <c r="P302">
        <f t="shared" si="15"/>
        <v>38.08</v>
      </c>
      <c r="Q302" s="112">
        <v>0.375</v>
      </c>
      <c r="R302" s="19">
        <v>0.376</v>
      </c>
      <c r="S302" s="66">
        <v>13</v>
      </c>
      <c r="T302" s="19">
        <v>30</v>
      </c>
      <c r="U302" t="s">
        <v>54</v>
      </c>
      <c r="V302" t="s">
        <v>32</v>
      </c>
    </row>
    <row r="303" spans="1:23" x14ac:dyDescent="0.2">
      <c r="A303" s="2" t="s">
        <v>391</v>
      </c>
      <c r="B303" t="s">
        <v>33</v>
      </c>
      <c r="C303" t="s">
        <v>28</v>
      </c>
      <c r="D303" s="65" t="str">
        <f t="shared" si="14"/>
        <v>026_V_a</v>
      </c>
      <c r="E303">
        <v>25</v>
      </c>
      <c r="F303" t="s">
        <v>41</v>
      </c>
      <c r="G303" t="s">
        <v>393</v>
      </c>
      <c r="I303">
        <v>2.54377025036819</v>
      </c>
      <c r="J303" s="82">
        <v>21.8</v>
      </c>
      <c r="K303" t="s">
        <v>57</v>
      </c>
      <c r="L303" s="82">
        <v>22.4</v>
      </c>
      <c r="M303" s="82">
        <v>27.1</v>
      </c>
      <c r="N303" s="83">
        <v>29.8</v>
      </c>
      <c r="O303" s="44">
        <f t="shared" si="16"/>
        <v>0.35441795231416573</v>
      </c>
      <c r="P303">
        <f t="shared" si="15"/>
        <v>25.275000000000002</v>
      </c>
      <c r="Q303" s="111">
        <v>0.16400000000000001</v>
      </c>
      <c r="R303">
        <v>0.34100000000000003</v>
      </c>
      <c r="S303" s="65">
        <v>8</v>
      </c>
      <c r="T303" s="43">
        <v>15</v>
      </c>
      <c r="U303" t="s">
        <v>31</v>
      </c>
      <c r="V303" t="s">
        <v>32</v>
      </c>
    </row>
    <row r="304" spans="1:23" x14ac:dyDescent="0.2">
      <c r="A304" s="5" t="s">
        <v>391</v>
      </c>
      <c r="B304" s="6" t="s">
        <v>27</v>
      </c>
      <c r="C304" s="6" t="s">
        <v>28</v>
      </c>
      <c r="D304" s="65" t="str">
        <f t="shared" si="14"/>
        <v>026_S_a</v>
      </c>
      <c r="E304">
        <v>26</v>
      </c>
      <c r="F304" t="s">
        <v>29</v>
      </c>
      <c r="G304" t="s">
        <v>394</v>
      </c>
      <c r="I304">
        <v>0.85494900197411705</v>
      </c>
      <c r="J304" s="82">
        <v>21.4</v>
      </c>
      <c r="K304" t="s">
        <v>57</v>
      </c>
      <c r="L304" s="82">
        <v>38.9</v>
      </c>
      <c r="M304" s="82">
        <v>38.4</v>
      </c>
      <c r="N304" s="83">
        <v>40.799999999999997</v>
      </c>
      <c r="O304" s="44">
        <f t="shared" si="16"/>
        <v>3.0167173252279706</v>
      </c>
      <c r="P304">
        <f t="shared" si="15"/>
        <v>34.875</v>
      </c>
      <c r="Q304" s="111">
        <v>0.104</v>
      </c>
      <c r="R304">
        <v>0.217</v>
      </c>
      <c r="S304" s="65">
        <v>7</v>
      </c>
      <c r="T304">
        <v>7</v>
      </c>
      <c r="U304" t="s">
        <v>31</v>
      </c>
      <c r="V304" t="s">
        <v>32</v>
      </c>
    </row>
    <row r="305" spans="1:23" x14ac:dyDescent="0.2">
      <c r="A305" s="5" t="s">
        <v>391</v>
      </c>
      <c r="B305" s="6" t="s">
        <v>36</v>
      </c>
      <c r="C305" s="6" t="s">
        <v>38</v>
      </c>
      <c r="D305" s="65" t="str">
        <f t="shared" si="14"/>
        <v>026_O_b</v>
      </c>
      <c r="E305">
        <v>44</v>
      </c>
      <c r="F305" t="s">
        <v>34</v>
      </c>
      <c r="G305" t="s">
        <v>395</v>
      </c>
      <c r="I305">
        <v>3.1541879699248101</v>
      </c>
      <c r="J305" s="82">
        <v>36.1</v>
      </c>
      <c r="K305" s="82">
        <v>27.9</v>
      </c>
      <c r="L305" s="82">
        <v>35.1</v>
      </c>
      <c r="M305" s="82">
        <v>28.3</v>
      </c>
      <c r="N305" s="83">
        <v>44.5</v>
      </c>
      <c r="O305" s="44">
        <f t="shared" si="16"/>
        <v>0.59476713762428923</v>
      </c>
      <c r="P305">
        <f t="shared" si="15"/>
        <v>34.379999999999995</v>
      </c>
      <c r="Q305" s="111">
        <v>0.19600000000000001</v>
      </c>
      <c r="R305">
        <v>0.308</v>
      </c>
      <c r="S305" s="65">
        <v>7</v>
      </c>
      <c r="T305">
        <v>13</v>
      </c>
      <c r="U305" t="s">
        <v>31</v>
      </c>
      <c r="V305" t="s">
        <v>32</v>
      </c>
    </row>
    <row r="306" spans="1:23" x14ac:dyDescent="0.2">
      <c r="A306" s="5" t="s">
        <v>391</v>
      </c>
      <c r="B306" s="6" t="s">
        <v>27</v>
      </c>
      <c r="C306" s="6" t="s">
        <v>38</v>
      </c>
      <c r="D306" s="65" t="str">
        <f t="shared" si="14"/>
        <v>026_S_b</v>
      </c>
      <c r="E306">
        <v>59</v>
      </c>
      <c r="F306" t="s">
        <v>82</v>
      </c>
      <c r="G306" t="s">
        <v>396</v>
      </c>
      <c r="I306">
        <v>5.3561625723880804</v>
      </c>
      <c r="J306" s="82">
        <v>3.7</v>
      </c>
      <c r="K306" s="82">
        <v>6.5</v>
      </c>
      <c r="L306" s="82">
        <v>20</v>
      </c>
      <c r="M306" s="82">
        <v>12.8</v>
      </c>
      <c r="N306" s="83">
        <v>56.1</v>
      </c>
      <c r="O306" s="44">
        <f t="shared" si="16"/>
        <v>4.8846511627906972</v>
      </c>
      <c r="P306">
        <f t="shared" si="15"/>
        <v>19.82</v>
      </c>
      <c r="Q306" s="111">
        <v>0.34200000000000003</v>
      </c>
      <c r="R306">
        <v>0.52800000000000002</v>
      </c>
      <c r="S306" s="65">
        <v>11</v>
      </c>
      <c r="T306">
        <v>16</v>
      </c>
      <c r="U306" t="s">
        <v>31</v>
      </c>
      <c r="V306" t="s">
        <v>32</v>
      </c>
    </row>
    <row r="307" spans="1:23" x14ac:dyDescent="0.2">
      <c r="A307" s="2" t="s">
        <v>391</v>
      </c>
      <c r="B307" t="s">
        <v>33</v>
      </c>
      <c r="C307" t="s">
        <v>38</v>
      </c>
      <c r="D307" s="65" t="str">
        <f t="shared" si="14"/>
        <v>026_V_b</v>
      </c>
      <c r="E307">
        <v>67</v>
      </c>
      <c r="F307" t="s">
        <v>82</v>
      </c>
      <c r="G307" t="s">
        <v>397</v>
      </c>
      <c r="I307">
        <v>3.51059643847689</v>
      </c>
      <c r="J307" s="82">
        <v>44.1</v>
      </c>
      <c r="K307" s="82">
        <v>24.7</v>
      </c>
      <c r="L307" t="s">
        <v>57</v>
      </c>
      <c r="M307" s="82">
        <v>34.1</v>
      </c>
      <c r="N307" s="83">
        <v>40.5</v>
      </c>
      <c r="O307" s="44">
        <f t="shared" si="16"/>
        <v>2.7440233236151501</v>
      </c>
      <c r="P307">
        <f t="shared" si="15"/>
        <v>35.85</v>
      </c>
      <c r="Q307" s="111">
        <v>0.20399999999999999</v>
      </c>
      <c r="R307">
        <v>0.48</v>
      </c>
      <c r="S307" s="65">
        <v>13</v>
      </c>
      <c r="T307">
        <v>13</v>
      </c>
      <c r="U307" t="s">
        <v>31</v>
      </c>
      <c r="V307" t="s">
        <v>32</v>
      </c>
    </row>
    <row r="308" spans="1:23" x14ac:dyDescent="0.2">
      <c r="A308" s="5" t="s">
        <v>391</v>
      </c>
      <c r="B308" s="6" t="s">
        <v>27</v>
      </c>
      <c r="C308" s="6" t="s">
        <v>45</v>
      </c>
      <c r="D308" s="65" t="str">
        <f t="shared" si="14"/>
        <v>026_S_c</v>
      </c>
      <c r="E308">
        <v>77</v>
      </c>
      <c r="F308" t="s">
        <v>43</v>
      </c>
      <c r="G308" t="s">
        <v>398</v>
      </c>
      <c r="H308" t="s">
        <v>56</v>
      </c>
      <c r="I308">
        <v>0</v>
      </c>
      <c r="J308" s="82">
        <v>1</v>
      </c>
      <c r="K308" s="82">
        <v>1</v>
      </c>
      <c r="L308" s="82">
        <v>1</v>
      </c>
      <c r="M308" s="82">
        <v>1</v>
      </c>
      <c r="N308" s="83">
        <v>0.9</v>
      </c>
      <c r="O308" s="44">
        <f t="shared" si="16"/>
        <v>0</v>
      </c>
      <c r="P308">
        <f t="shared" si="15"/>
        <v>0.98000000000000009</v>
      </c>
      <c r="Q308" s="111" t="s">
        <v>57</v>
      </c>
      <c r="R308" t="s">
        <v>57</v>
      </c>
      <c r="S308" s="65" t="s">
        <v>57</v>
      </c>
      <c r="T308" t="s">
        <v>57</v>
      </c>
      <c r="U308" t="s">
        <v>57</v>
      </c>
      <c r="V308" t="s">
        <v>32</v>
      </c>
      <c r="W308" t="s">
        <v>67</v>
      </c>
    </row>
    <row r="309" spans="1:23" x14ac:dyDescent="0.2">
      <c r="A309" s="5" t="s">
        <v>391</v>
      </c>
      <c r="B309" s="6" t="s">
        <v>36</v>
      </c>
      <c r="C309" s="6" t="s">
        <v>45</v>
      </c>
      <c r="D309" s="65" t="str">
        <f t="shared" si="14"/>
        <v>026_O_c</v>
      </c>
      <c r="E309">
        <v>102</v>
      </c>
      <c r="F309" t="s">
        <v>39</v>
      </c>
      <c r="G309" t="s">
        <v>399</v>
      </c>
      <c r="I309">
        <v>4.6057984717998499</v>
      </c>
      <c r="J309" s="82">
        <v>51.4</v>
      </c>
      <c r="K309" s="82">
        <v>45.5</v>
      </c>
      <c r="L309" s="82">
        <v>37.1</v>
      </c>
      <c r="M309">
        <v>33</v>
      </c>
      <c r="N309" s="83">
        <v>40.5</v>
      </c>
      <c r="O309" s="44">
        <f t="shared" si="16"/>
        <v>1.6396806387225542</v>
      </c>
      <c r="P309">
        <f t="shared" si="15"/>
        <v>41.5</v>
      </c>
      <c r="Q309" s="111">
        <v>0.498</v>
      </c>
      <c r="R309">
        <v>0.621</v>
      </c>
      <c r="S309" s="65">
        <v>7</v>
      </c>
      <c r="T309">
        <v>2</v>
      </c>
      <c r="U309" t="s">
        <v>72</v>
      </c>
      <c r="V309" t="s">
        <v>32</v>
      </c>
    </row>
    <row r="310" spans="1:23" x14ac:dyDescent="0.2">
      <c r="A310" s="5" t="s">
        <v>391</v>
      </c>
      <c r="B310" s="6" t="s">
        <v>33</v>
      </c>
      <c r="C310" s="6" t="s">
        <v>45</v>
      </c>
      <c r="D310" s="65" t="str">
        <f t="shared" si="14"/>
        <v>026_V_c</v>
      </c>
      <c r="E310">
        <v>108</v>
      </c>
      <c r="F310" t="s">
        <v>43</v>
      </c>
      <c r="G310" t="s">
        <v>400</v>
      </c>
      <c r="I310">
        <v>3.2513143113907002</v>
      </c>
      <c r="J310" s="82">
        <v>39.700000000000003</v>
      </c>
      <c r="K310" s="82">
        <v>46.5</v>
      </c>
      <c r="L310" s="82">
        <v>9</v>
      </c>
      <c r="M310">
        <v>15.4</v>
      </c>
      <c r="N310" s="83">
        <v>39.9</v>
      </c>
      <c r="O310" s="44">
        <f t="shared" si="16"/>
        <v>12.036286919831214</v>
      </c>
      <c r="P310">
        <f t="shared" si="15"/>
        <v>30.1</v>
      </c>
      <c r="Q310" s="111">
        <v>0.38100000000000001</v>
      </c>
      <c r="R310">
        <v>0.57099999999999995</v>
      </c>
      <c r="S310" s="65">
        <v>19</v>
      </c>
      <c r="T310">
        <v>6</v>
      </c>
      <c r="U310" t="s">
        <v>47</v>
      </c>
      <c r="V310" t="s">
        <v>32</v>
      </c>
    </row>
    <row r="311" spans="1:23" x14ac:dyDescent="0.2">
      <c r="A311" s="5" t="s">
        <v>391</v>
      </c>
      <c r="B311" s="6" t="s">
        <v>36</v>
      </c>
      <c r="C311" s="6" t="s">
        <v>52</v>
      </c>
      <c r="D311" s="65" t="str">
        <f t="shared" si="14"/>
        <v>026_O_d</v>
      </c>
      <c r="E311">
        <v>116</v>
      </c>
      <c r="F311" t="s">
        <v>49</v>
      </c>
      <c r="G311" t="s">
        <v>401</v>
      </c>
      <c r="I311">
        <v>4.1691526661796896</v>
      </c>
      <c r="J311" s="82">
        <v>14.3</v>
      </c>
      <c r="K311" s="82">
        <v>30.1</v>
      </c>
      <c r="L311" s="82">
        <v>22.2</v>
      </c>
      <c r="M311">
        <v>29.2</v>
      </c>
      <c r="N311" s="83">
        <v>35.200000000000003</v>
      </c>
      <c r="O311" s="44">
        <f t="shared" si="16"/>
        <v>2.2487125956854452</v>
      </c>
      <c r="P311">
        <f t="shared" si="15"/>
        <v>26.2</v>
      </c>
      <c r="Q311" s="111">
        <v>0.17499999999999999</v>
      </c>
      <c r="R311">
        <v>0.29899999999999999</v>
      </c>
      <c r="S311" s="65">
        <v>15</v>
      </c>
      <c r="T311">
        <v>4</v>
      </c>
      <c r="U311" s="76" t="s">
        <v>31</v>
      </c>
      <c r="V311" t="s">
        <v>32</v>
      </c>
    </row>
    <row r="312" spans="1:23" s="19" customFormat="1" ht="16" x14ac:dyDescent="0.2">
      <c r="A312" s="17" t="s">
        <v>391</v>
      </c>
      <c r="B312" s="18" t="s">
        <v>33</v>
      </c>
      <c r="C312" s="18" t="s">
        <v>52</v>
      </c>
      <c r="D312" s="66" t="str">
        <f t="shared" si="14"/>
        <v>026_V_d</v>
      </c>
      <c r="E312" s="19">
        <v>127</v>
      </c>
      <c r="F312" s="19" t="s">
        <v>68</v>
      </c>
      <c r="G312" s="19" t="s">
        <v>402</v>
      </c>
      <c r="I312">
        <v>3.7908140855736501</v>
      </c>
      <c r="J312" s="83">
        <v>43.3</v>
      </c>
      <c r="K312" s="82">
        <v>62.1</v>
      </c>
      <c r="L312" s="84">
        <v>54</v>
      </c>
      <c r="M312">
        <v>50.9</v>
      </c>
      <c r="N312" s="83">
        <v>51</v>
      </c>
      <c r="O312" s="54">
        <f t="shared" si="16"/>
        <v>1.1512918053574119</v>
      </c>
      <c r="P312">
        <f t="shared" si="15"/>
        <v>52.260000000000005</v>
      </c>
      <c r="Q312" s="112">
        <v>0.41499999999999998</v>
      </c>
      <c r="R312" s="19">
        <v>0.46100000000000002</v>
      </c>
      <c r="S312" s="66">
        <v>20</v>
      </c>
      <c r="T312" s="19">
        <v>11</v>
      </c>
      <c r="U312" t="s">
        <v>54</v>
      </c>
      <c r="V312" t="s">
        <v>32</v>
      </c>
    </row>
    <row r="313" spans="1:23" ht="16" x14ac:dyDescent="0.2">
      <c r="A313" s="5" t="s">
        <v>391</v>
      </c>
      <c r="B313" s="6" t="s">
        <v>27</v>
      </c>
      <c r="C313" s="6" t="s">
        <v>52</v>
      </c>
      <c r="D313" s="65" t="str">
        <f t="shared" si="14"/>
        <v>026_S_d</v>
      </c>
      <c r="E313">
        <v>137</v>
      </c>
      <c r="F313" t="s">
        <v>63</v>
      </c>
      <c r="G313" t="s">
        <v>403</v>
      </c>
      <c r="I313">
        <v>5.4812254317668803</v>
      </c>
      <c r="J313" s="81"/>
      <c r="K313" s="82">
        <v>21.4</v>
      </c>
      <c r="L313" s="84">
        <v>56.9</v>
      </c>
      <c r="M313" s="82">
        <v>27.6</v>
      </c>
      <c r="N313" s="83">
        <v>56.5</v>
      </c>
      <c r="O313" s="44">
        <f t="shared" si="16"/>
        <v>10.184985835694043</v>
      </c>
      <c r="P313">
        <f t="shared" si="15"/>
        <v>40.6</v>
      </c>
      <c r="Q313" s="111">
        <v>0.45500000000000002</v>
      </c>
      <c r="R313">
        <v>0.48299999999999998</v>
      </c>
      <c r="S313" s="65">
        <v>16</v>
      </c>
      <c r="T313">
        <v>29</v>
      </c>
      <c r="U313" t="s">
        <v>51</v>
      </c>
      <c r="V313" t="s">
        <v>32</v>
      </c>
    </row>
    <row r="314" spans="1:23" ht="16" x14ac:dyDescent="0.2">
      <c r="A314" s="2" t="s">
        <v>404</v>
      </c>
      <c r="B314" t="s">
        <v>33</v>
      </c>
      <c r="C314" t="s">
        <v>28</v>
      </c>
      <c r="D314" s="65" t="str">
        <f t="shared" si="14"/>
        <v>028_V_a</v>
      </c>
      <c r="E314">
        <v>3</v>
      </c>
      <c r="F314" t="s">
        <v>41</v>
      </c>
      <c r="G314" t="s">
        <v>405</v>
      </c>
      <c r="I314">
        <v>0.67958648356735096</v>
      </c>
      <c r="J314" s="84">
        <v>9.8000000000000007</v>
      </c>
      <c r="K314" s="82">
        <v>21.6</v>
      </c>
      <c r="L314" s="82">
        <v>19.600000000000001</v>
      </c>
      <c r="M314" s="82">
        <v>16.8</v>
      </c>
      <c r="N314" s="83">
        <v>28</v>
      </c>
      <c r="O314" s="44">
        <f t="shared" si="16"/>
        <v>1.5691248770894872</v>
      </c>
      <c r="P314">
        <f t="shared" si="15"/>
        <v>19.16</v>
      </c>
      <c r="Q314" s="111">
        <v>0.108</v>
      </c>
      <c r="R314">
        <v>0.20499999999999999</v>
      </c>
      <c r="S314" s="65">
        <v>9</v>
      </c>
      <c r="T314">
        <v>14</v>
      </c>
      <c r="U314" t="s">
        <v>31</v>
      </c>
      <c r="V314" t="s">
        <v>32</v>
      </c>
    </row>
    <row r="315" spans="1:23" ht="16" x14ac:dyDescent="0.2">
      <c r="A315" s="5" t="s">
        <v>404</v>
      </c>
      <c r="B315" s="6" t="s">
        <v>36</v>
      </c>
      <c r="C315" s="6" t="s">
        <v>28</v>
      </c>
      <c r="D315" s="65" t="str">
        <f t="shared" si="14"/>
        <v>028_O_a</v>
      </c>
      <c r="E315">
        <v>7</v>
      </c>
      <c r="F315" t="s">
        <v>68</v>
      </c>
      <c r="G315" t="s">
        <v>406</v>
      </c>
      <c r="I315">
        <v>2.5146139480021601</v>
      </c>
      <c r="J315" s="84">
        <v>15.5</v>
      </c>
      <c r="K315" s="82">
        <v>12.1</v>
      </c>
      <c r="L315" s="82">
        <v>4.8</v>
      </c>
      <c r="M315" s="82">
        <v>32.4</v>
      </c>
      <c r="N315" s="83">
        <v>34.200000000000003</v>
      </c>
      <c r="O315" s="44">
        <f t="shared" si="16"/>
        <v>8.4300411522633762</v>
      </c>
      <c r="P315">
        <f t="shared" si="15"/>
        <v>19.8</v>
      </c>
      <c r="Q315" s="111">
        <v>0.17699999999999999</v>
      </c>
      <c r="R315">
        <v>0.42599999999999999</v>
      </c>
      <c r="S315" s="65">
        <v>17</v>
      </c>
      <c r="T315">
        <v>25</v>
      </c>
      <c r="U315" t="s">
        <v>31</v>
      </c>
      <c r="V315" t="s">
        <v>32</v>
      </c>
    </row>
    <row r="316" spans="1:23" x14ac:dyDescent="0.2">
      <c r="A316" s="5" t="s">
        <v>404</v>
      </c>
      <c r="B316" s="6" t="s">
        <v>27</v>
      </c>
      <c r="C316" s="6" t="s">
        <v>28</v>
      </c>
      <c r="D316" s="65" t="str">
        <f t="shared" si="14"/>
        <v>028_S_a</v>
      </c>
      <c r="E316">
        <v>29</v>
      </c>
      <c r="F316" t="s">
        <v>82</v>
      </c>
      <c r="G316" t="s">
        <v>407</v>
      </c>
      <c r="I316">
        <v>2.7683748584371499</v>
      </c>
      <c r="J316" s="82">
        <v>13.5</v>
      </c>
      <c r="K316" s="82">
        <v>6.3</v>
      </c>
      <c r="L316" s="82">
        <v>22.5</v>
      </c>
      <c r="M316" s="82">
        <v>26.3</v>
      </c>
      <c r="N316" s="83">
        <v>30.9</v>
      </c>
      <c r="O316" s="44">
        <f t="shared" si="16"/>
        <v>4.7306122448979657</v>
      </c>
      <c r="P316">
        <f t="shared" si="15"/>
        <v>19.899999999999999</v>
      </c>
      <c r="Q316" s="111">
        <v>0.129</v>
      </c>
      <c r="R316">
        <v>0.29299999999999998</v>
      </c>
      <c r="S316" s="65">
        <v>9</v>
      </c>
      <c r="T316">
        <v>39</v>
      </c>
      <c r="U316" t="s">
        <v>51</v>
      </c>
      <c r="V316" t="s">
        <v>32</v>
      </c>
    </row>
    <row r="317" spans="1:23" x14ac:dyDescent="0.2">
      <c r="A317" s="2" t="s">
        <v>404</v>
      </c>
      <c r="B317" t="s">
        <v>33</v>
      </c>
      <c r="C317" t="s">
        <v>38</v>
      </c>
      <c r="D317" s="65" t="str">
        <f t="shared" si="14"/>
        <v>028_V_b</v>
      </c>
      <c r="E317">
        <v>66</v>
      </c>
      <c r="F317" t="s">
        <v>43</v>
      </c>
      <c r="G317" t="s">
        <v>408</v>
      </c>
      <c r="I317">
        <v>1.81209853219009</v>
      </c>
      <c r="J317" s="82">
        <v>4.8</v>
      </c>
      <c r="K317" s="82">
        <v>3.2</v>
      </c>
      <c r="L317" t="s">
        <v>57</v>
      </c>
      <c r="M317" s="82">
        <v>2.7</v>
      </c>
      <c r="N317" s="83">
        <v>9.9</v>
      </c>
      <c r="O317" s="44">
        <f t="shared" si="16"/>
        <v>0.33738317757009445</v>
      </c>
      <c r="P317">
        <f t="shared" si="15"/>
        <v>5.15</v>
      </c>
      <c r="Q317" s="111">
        <v>0.13</v>
      </c>
      <c r="R317">
        <v>0.29399999999999998</v>
      </c>
      <c r="S317" s="65">
        <v>5</v>
      </c>
      <c r="T317">
        <v>44</v>
      </c>
      <c r="U317" t="s">
        <v>31</v>
      </c>
      <c r="V317" t="s">
        <v>32</v>
      </c>
    </row>
    <row r="318" spans="1:23" x14ac:dyDescent="0.2">
      <c r="A318" s="5" t="s">
        <v>404</v>
      </c>
      <c r="B318" s="6" t="s">
        <v>36</v>
      </c>
      <c r="C318" s="6" t="s">
        <v>38</v>
      </c>
      <c r="D318" s="65" t="str">
        <f t="shared" si="14"/>
        <v>028_O_b</v>
      </c>
      <c r="E318">
        <v>67</v>
      </c>
      <c r="F318" t="s">
        <v>29</v>
      </c>
      <c r="G318" t="s">
        <v>409</v>
      </c>
      <c r="I318">
        <v>0.887293605329324</v>
      </c>
      <c r="J318" s="82">
        <v>1.4</v>
      </c>
      <c r="K318" s="82">
        <v>1.9</v>
      </c>
      <c r="L318" t="s">
        <v>57</v>
      </c>
      <c r="M318" s="82">
        <v>4.9000000000000004</v>
      </c>
      <c r="N318" s="82">
        <v>5.8</v>
      </c>
      <c r="O318" s="44">
        <f t="shared" si="16"/>
        <v>1.3109756097560992</v>
      </c>
      <c r="P318">
        <f t="shared" si="15"/>
        <v>3.5</v>
      </c>
      <c r="Q318" s="111">
        <v>1E-3</v>
      </c>
      <c r="R318">
        <v>3.9E-2</v>
      </c>
      <c r="S318" s="65">
        <v>4</v>
      </c>
      <c r="T318">
        <v>26</v>
      </c>
      <c r="U318" t="s">
        <v>31</v>
      </c>
      <c r="V318" t="s">
        <v>32</v>
      </c>
    </row>
    <row r="319" spans="1:23" x14ac:dyDescent="0.2">
      <c r="A319" s="5" t="s">
        <v>404</v>
      </c>
      <c r="B319" s="6" t="s">
        <v>27</v>
      </c>
      <c r="C319" s="6" t="s">
        <v>38</v>
      </c>
      <c r="D319" s="65" t="str">
        <f t="shared" si="14"/>
        <v>028_S_b</v>
      </c>
      <c r="E319">
        <v>70</v>
      </c>
      <c r="F319" t="s">
        <v>63</v>
      </c>
      <c r="G319" t="s">
        <v>410</v>
      </c>
      <c r="I319">
        <v>5.6799265575709796</v>
      </c>
      <c r="J319" s="82">
        <v>15.9</v>
      </c>
      <c r="K319" s="82">
        <v>35.9</v>
      </c>
      <c r="L319" s="82">
        <v>33.5</v>
      </c>
      <c r="M319" s="82">
        <v>33</v>
      </c>
      <c r="N319" s="82">
        <v>42.6</v>
      </c>
      <c r="O319" s="44">
        <f t="shared" si="16"/>
        <v>2.8644406875176114</v>
      </c>
      <c r="P319">
        <f t="shared" si="15"/>
        <v>32.18</v>
      </c>
      <c r="Q319" s="111">
        <v>0.28999999999999998</v>
      </c>
      <c r="R319">
        <v>0.53300000000000003</v>
      </c>
      <c r="S319" s="65">
        <v>15</v>
      </c>
      <c r="T319">
        <v>28</v>
      </c>
      <c r="U319" t="s">
        <v>31</v>
      </c>
      <c r="V319" t="s">
        <v>32</v>
      </c>
    </row>
    <row r="320" spans="1:23" x14ac:dyDescent="0.2">
      <c r="A320" s="5" t="s">
        <v>404</v>
      </c>
      <c r="B320" s="6" t="s">
        <v>27</v>
      </c>
      <c r="C320" s="6" t="s">
        <v>45</v>
      </c>
      <c r="D320" s="65" t="str">
        <f t="shared" si="14"/>
        <v>028_S_c</v>
      </c>
      <c r="E320">
        <v>74</v>
      </c>
      <c r="F320" t="s">
        <v>70</v>
      </c>
      <c r="G320" t="s">
        <v>411</v>
      </c>
      <c r="I320">
        <v>4.7340987868284197</v>
      </c>
      <c r="J320" s="82">
        <v>47.2</v>
      </c>
      <c r="K320" s="82">
        <v>48.6</v>
      </c>
      <c r="L320" s="82">
        <v>55.3</v>
      </c>
      <c r="M320" s="82">
        <v>5.2</v>
      </c>
      <c r="N320" s="82">
        <v>34.9</v>
      </c>
      <c r="O320" s="44">
        <f t="shared" si="16"/>
        <v>13.371785028790775</v>
      </c>
      <c r="P320">
        <f t="shared" si="15"/>
        <v>38.24</v>
      </c>
      <c r="Q320" s="111">
        <v>0.33100000000000002</v>
      </c>
      <c r="R320">
        <v>0.51</v>
      </c>
      <c r="S320" s="65">
        <v>32</v>
      </c>
      <c r="T320">
        <v>27</v>
      </c>
      <c r="U320" t="s">
        <v>51</v>
      </c>
      <c r="V320" t="s">
        <v>32</v>
      </c>
    </row>
    <row r="321" spans="1:23" s="76" customFormat="1" x14ac:dyDescent="0.2">
      <c r="A321" s="77" t="s">
        <v>404</v>
      </c>
      <c r="B321" s="20" t="s">
        <v>33</v>
      </c>
      <c r="C321" s="20" t="s">
        <v>45</v>
      </c>
      <c r="D321" s="78" t="str">
        <f t="shared" si="14"/>
        <v>028_V_c</v>
      </c>
      <c r="E321" s="76">
        <v>85</v>
      </c>
      <c r="F321" s="76" t="s">
        <v>34</v>
      </c>
      <c r="G321" s="76" t="s">
        <v>412</v>
      </c>
      <c r="I321" s="76">
        <v>3.1891138902487901</v>
      </c>
      <c r="J321" s="86">
        <v>20.3</v>
      </c>
      <c r="K321" s="86">
        <v>19</v>
      </c>
      <c r="L321" s="86">
        <v>2.2999999999999998</v>
      </c>
      <c r="M321" s="82">
        <v>10</v>
      </c>
      <c r="N321" s="86">
        <v>10.3</v>
      </c>
      <c r="O321" s="79">
        <f t="shared" si="16"/>
        <v>5.4971576227390218</v>
      </c>
      <c r="P321" s="76">
        <f t="shared" si="15"/>
        <v>12.379999999999999</v>
      </c>
      <c r="Q321" s="115">
        <v>0.24199999999999999</v>
      </c>
      <c r="R321" s="76">
        <v>0.41299999999999998</v>
      </c>
      <c r="S321" s="78">
        <v>30</v>
      </c>
      <c r="T321" s="76">
        <v>23</v>
      </c>
      <c r="U321" s="76" t="s">
        <v>72</v>
      </c>
      <c r="V321" t="s">
        <v>32</v>
      </c>
    </row>
    <row r="322" spans="1:23" x14ac:dyDescent="0.2">
      <c r="A322" s="5" t="s">
        <v>404</v>
      </c>
      <c r="B322" s="6" t="s">
        <v>36</v>
      </c>
      <c r="C322" s="6" t="s">
        <v>45</v>
      </c>
      <c r="D322" s="65" t="str">
        <f t="shared" ref="D322:D385" si="17">A322&amp;"_"&amp;B322&amp;"_"&amp;C322</f>
        <v>028_O_c</v>
      </c>
      <c r="E322">
        <v>102</v>
      </c>
      <c r="F322" t="s">
        <v>34</v>
      </c>
      <c r="G322" t="s">
        <v>413</v>
      </c>
      <c r="I322">
        <v>3.56775446576883</v>
      </c>
      <c r="J322" s="82">
        <v>22</v>
      </c>
      <c r="K322" s="82">
        <v>12.1</v>
      </c>
      <c r="L322" s="82">
        <v>20.8</v>
      </c>
      <c r="M322">
        <v>30.3</v>
      </c>
      <c r="N322" s="82">
        <v>37.1</v>
      </c>
      <c r="O322" s="44">
        <f t="shared" si="16"/>
        <v>2.6037558685445954</v>
      </c>
      <c r="P322">
        <f t="shared" ref="P322:P385" si="18">AVERAGE(J322:N322)</f>
        <v>24.46</v>
      </c>
      <c r="Q322" s="111">
        <v>0.12</v>
      </c>
      <c r="R322">
        <v>0.26</v>
      </c>
      <c r="S322" s="65">
        <v>9</v>
      </c>
      <c r="T322">
        <v>53</v>
      </c>
      <c r="U322" t="s">
        <v>72</v>
      </c>
      <c r="V322" t="s">
        <v>32</v>
      </c>
    </row>
    <row r="323" spans="1:23" ht="16" x14ac:dyDescent="0.2">
      <c r="A323" s="5" t="s">
        <v>404</v>
      </c>
      <c r="B323" s="6" t="s">
        <v>27</v>
      </c>
      <c r="C323" s="6" t="s">
        <v>52</v>
      </c>
      <c r="D323" s="65" t="str">
        <f t="shared" si="17"/>
        <v>028_S_d</v>
      </c>
      <c r="E323">
        <v>128</v>
      </c>
      <c r="F323" t="s">
        <v>70</v>
      </c>
      <c r="G323" t="s">
        <v>414</v>
      </c>
      <c r="H323" t="s">
        <v>56</v>
      </c>
      <c r="I323">
        <v>0</v>
      </c>
      <c r="J323" s="82">
        <v>1.1000000000000001</v>
      </c>
      <c r="K323" s="82">
        <v>1</v>
      </c>
      <c r="L323" s="84">
        <v>1</v>
      </c>
      <c r="M323">
        <v>1</v>
      </c>
      <c r="N323" s="82">
        <v>0.9</v>
      </c>
      <c r="O323" s="44">
        <f t="shared" si="16"/>
        <v>2.4390243902439068E-3</v>
      </c>
      <c r="P323">
        <f t="shared" si="18"/>
        <v>1</v>
      </c>
      <c r="Q323" s="111" t="s">
        <v>57</v>
      </c>
      <c r="R323" t="s">
        <v>57</v>
      </c>
      <c r="S323" s="65" t="s">
        <v>57</v>
      </c>
      <c r="T323" t="s">
        <v>57</v>
      </c>
      <c r="V323" t="s">
        <v>32</v>
      </c>
      <c r="W323" t="s">
        <v>67</v>
      </c>
    </row>
    <row r="324" spans="1:23" ht="16" x14ac:dyDescent="0.2">
      <c r="A324" s="5" t="s">
        <v>404</v>
      </c>
      <c r="B324" s="6" t="s">
        <v>36</v>
      </c>
      <c r="C324" s="6" t="s">
        <v>52</v>
      </c>
      <c r="D324" s="65" t="str">
        <f t="shared" si="17"/>
        <v>028_O_d</v>
      </c>
      <c r="E324">
        <v>130</v>
      </c>
      <c r="F324" t="s">
        <v>41</v>
      </c>
      <c r="G324" t="s">
        <v>415</v>
      </c>
      <c r="I324">
        <v>1.9230088495575199</v>
      </c>
      <c r="J324" s="82">
        <v>44.7</v>
      </c>
      <c r="K324" s="82">
        <v>7.8</v>
      </c>
      <c r="L324" s="84">
        <v>9.5</v>
      </c>
      <c r="M324" s="43">
        <v>1.8</v>
      </c>
      <c r="N324" s="82">
        <v>8.9</v>
      </c>
      <c r="O324" s="44">
        <f t="shared" si="16"/>
        <v>23.71598746081505</v>
      </c>
      <c r="P324">
        <f t="shared" si="18"/>
        <v>14.540000000000001</v>
      </c>
      <c r="Q324" s="111">
        <v>0.23799999999999999</v>
      </c>
      <c r="R324">
        <v>0.314</v>
      </c>
      <c r="S324" s="65">
        <v>4</v>
      </c>
      <c r="T324">
        <v>39</v>
      </c>
      <c r="U324" t="s">
        <v>47</v>
      </c>
      <c r="V324" t="s">
        <v>32</v>
      </c>
    </row>
    <row r="325" spans="1:23" ht="16" x14ac:dyDescent="0.2">
      <c r="A325" s="5" t="s">
        <v>404</v>
      </c>
      <c r="B325" s="6" t="s">
        <v>33</v>
      </c>
      <c r="C325" s="6" t="s">
        <v>52</v>
      </c>
      <c r="D325" s="65" t="str">
        <f t="shared" si="17"/>
        <v>028_V_d</v>
      </c>
      <c r="E325">
        <v>137</v>
      </c>
      <c r="F325" t="s">
        <v>29</v>
      </c>
      <c r="G325" t="s">
        <v>416</v>
      </c>
      <c r="I325">
        <v>3.8444066850954801</v>
      </c>
      <c r="J325" s="81"/>
      <c r="K325" s="82">
        <v>29.8</v>
      </c>
      <c r="L325" s="84">
        <v>24.2</v>
      </c>
      <c r="M325" s="82">
        <v>38.5</v>
      </c>
      <c r="N325" s="82">
        <v>34.200000000000003</v>
      </c>
      <c r="O325" s="44">
        <f t="shared" si="16"/>
        <v>1.6840000000000024</v>
      </c>
      <c r="P325">
        <f t="shared" si="18"/>
        <v>31.675000000000001</v>
      </c>
      <c r="Q325" s="111">
        <v>0.252</v>
      </c>
      <c r="R325">
        <v>0.29899999999999999</v>
      </c>
      <c r="S325" s="65">
        <v>8</v>
      </c>
      <c r="T325">
        <v>74</v>
      </c>
      <c r="U325" t="s">
        <v>51</v>
      </c>
      <c r="V325" t="s">
        <v>32</v>
      </c>
    </row>
    <row r="326" spans="1:23" x14ac:dyDescent="0.2">
      <c r="A326" s="5" t="s">
        <v>417</v>
      </c>
      <c r="B326" s="6" t="s">
        <v>27</v>
      </c>
      <c r="C326" s="6" t="s">
        <v>28</v>
      </c>
      <c r="D326" s="65" t="str">
        <f t="shared" si="17"/>
        <v>029_S_a</v>
      </c>
      <c r="E326">
        <v>21</v>
      </c>
      <c r="F326" t="s">
        <v>34</v>
      </c>
      <c r="G326" t="s">
        <v>418</v>
      </c>
      <c r="I326">
        <v>5.4436591972420603</v>
      </c>
      <c r="J326" s="82">
        <v>1.6</v>
      </c>
      <c r="K326" s="82">
        <v>5.0999999999999996</v>
      </c>
      <c r="L326" s="82">
        <v>4.5999999999999996</v>
      </c>
      <c r="M326" s="82">
        <v>8.6999999999999993</v>
      </c>
      <c r="N326" s="82">
        <v>4.7</v>
      </c>
      <c r="O326" s="44">
        <f t="shared" si="16"/>
        <v>1.6946666666666659</v>
      </c>
      <c r="P326">
        <f t="shared" si="18"/>
        <v>4.9399999999999995</v>
      </c>
      <c r="Q326" s="111">
        <v>0.38700000000000001</v>
      </c>
      <c r="R326">
        <v>0.48199999999999998</v>
      </c>
      <c r="S326" s="65">
        <v>6</v>
      </c>
      <c r="T326">
        <v>69</v>
      </c>
      <c r="U326" t="s">
        <v>72</v>
      </c>
      <c r="V326" t="s">
        <v>32</v>
      </c>
    </row>
    <row r="327" spans="1:23" x14ac:dyDescent="0.2">
      <c r="A327" s="2" t="s">
        <v>417</v>
      </c>
      <c r="B327" t="s">
        <v>33</v>
      </c>
      <c r="C327" t="s">
        <v>28</v>
      </c>
      <c r="D327" s="65" t="str">
        <f t="shared" si="17"/>
        <v>029_V_a</v>
      </c>
      <c r="E327">
        <v>33</v>
      </c>
      <c r="F327" t="s">
        <v>39</v>
      </c>
      <c r="G327" t="s">
        <v>419</v>
      </c>
      <c r="I327">
        <v>0</v>
      </c>
      <c r="J327" s="82">
        <v>3.3</v>
      </c>
      <c r="K327" s="82">
        <v>3.3</v>
      </c>
      <c r="L327" s="82">
        <v>18.100000000000001</v>
      </c>
      <c r="M327" s="82">
        <v>4</v>
      </c>
      <c r="N327" s="82">
        <v>12</v>
      </c>
      <c r="O327" s="44">
        <f t="shared" si="16"/>
        <v>7.4084785133565614</v>
      </c>
      <c r="P327">
        <f t="shared" si="18"/>
        <v>8.14</v>
      </c>
      <c r="Q327" s="111">
        <v>8.0000000000000002E-3</v>
      </c>
      <c r="R327">
        <v>0.10100000000000001</v>
      </c>
      <c r="S327" s="65">
        <v>9</v>
      </c>
      <c r="T327">
        <v>12</v>
      </c>
      <c r="U327" t="s">
        <v>31</v>
      </c>
      <c r="V327" t="s">
        <v>32</v>
      </c>
    </row>
    <row r="328" spans="1:23" x14ac:dyDescent="0.2">
      <c r="A328" s="5" t="s">
        <v>417</v>
      </c>
      <c r="B328" s="6" t="s">
        <v>36</v>
      </c>
      <c r="C328" s="6" t="s">
        <v>28</v>
      </c>
      <c r="D328" s="65" t="str">
        <f t="shared" si="17"/>
        <v>029_O_a</v>
      </c>
      <c r="E328">
        <v>33</v>
      </c>
      <c r="F328" t="s">
        <v>43</v>
      </c>
      <c r="G328" t="s">
        <v>420</v>
      </c>
      <c r="I328">
        <v>1.2322517917662099</v>
      </c>
      <c r="J328" s="82">
        <v>6.8</v>
      </c>
      <c r="K328" s="82">
        <v>14.2</v>
      </c>
      <c r="L328" s="82">
        <v>17.899999999999999</v>
      </c>
      <c r="M328" s="82">
        <v>20</v>
      </c>
      <c r="N328" s="82">
        <v>21.8</v>
      </c>
      <c r="O328" s="44">
        <f t="shared" si="16"/>
        <v>2.2860780984719855</v>
      </c>
      <c r="P328">
        <f t="shared" si="18"/>
        <v>16.14</v>
      </c>
      <c r="Q328" s="111">
        <v>0.128</v>
      </c>
      <c r="R328">
        <v>0.219</v>
      </c>
      <c r="S328" s="65">
        <v>14</v>
      </c>
      <c r="T328">
        <v>50</v>
      </c>
      <c r="U328" t="s">
        <v>31</v>
      </c>
      <c r="V328" t="s">
        <v>32</v>
      </c>
    </row>
    <row r="329" spans="1:23" x14ac:dyDescent="0.2">
      <c r="A329" s="2" t="s">
        <v>417</v>
      </c>
      <c r="B329" t="s">
        <v>33</v>
      </c>
      <c r="C329" t="s">
        <v>38</v>
      </c>
      <c r="D329" s="65" t="str">
        <f t="shared" si="17"/>
        <v>029_V_b</v>
      </c>
      <c r="E329">
        <v>38</v>
      </c>
      <c r="F329" t="s">
        <v>34</v>
      </c>
      <c r="G329" t="s">
        <v>421</v>
      </c>
      <c r="I329">
        <v>1.92269261253382</v>
      </c>
      <c r="J329" s="82">
        <v>33.299999999999997</v>
      </c>
      <c r="K329" s="82">
        <v>32.9</v>
      </c>
      <c r="L329" s="82">
        <v>19</v>
      </c>
      <c r="M329" s="82">
        <v>35</v>
      </c>
      <c r="N329" s="82">
        <v>12.8</v>
      </c>
      <c r="O329" s="44">
        <f t="shared" si="16"/>
        <v>1.8334997226844196</v>
      </c>
      <c r="P329">
        <f t="shared" si="18"/>
        <v>26.6</v>
      </c>
      <c r="Q329" s="111">
        <v>0.16600000000000001</v>
      </c>
      <c r="R329">
        <v>0.25900000000000001</v>
      </c>
      <c r="S329" s="65">
        <v>9</v>
      </c>
      <c r="T329">
        <v>18</v>
      </c>
      <c r="U329" t="s">
        <v>31</v>
      </c>
      <c r="V329" t="s">
        <v>32</v>
      </c>
    </row>
    <row r="330" spans="1:23" x14ac:dyDescent="0.2">
      <c r="A330" s="5" t="s">
        <v>417</v>
      </c>
      <c r="B330" s="6" t="s">
        <v>27</v>
      </c>
      <c r="C330" s="6" t="s">
        <v>38</v>
      </c>
      <c r="D330" s="65" t="str">
        <f t="shared" si="17"/>
        <v>029_S_b</v>
      </c>
      <c r="E330">
        <v>42</v>
      </c>
      <c r="F330" t="s">
        <v>63</v>
      </c>
      <c r="G330" t="s">
        <v>422</v>
      </c>
      <c r="I330">
        <v>2.1776332407173502</v>
      </c>
      <c r="J330" s="82">
        <v>24.1</v>
      </c>
      <c r="K330" s="82">
        <v>21.6</v>
      </c>
      <c r="L330" s="82">
        <v>18.100000000000001</v>
      </c>
      <c r="M330" s="82">
        <v>47.9</v>
      </c>
      <c r="N330" s="82">
        <v>34.9</v>
      </c>
      <c r="O330" s="44">
        <f t="shared" si="16"/>
        <v>6.5672038197552975</v>
      </c>
      <c r="P330">
        <f t="shared" si="18"/>
        <v>29.32</v>
      </c>
      <c r="Q330" s="111">
        <v>0.245</v>
      </c>
      <c r="R330">
        <v>0.27200000000000002</v>
      </c>
      <c r="S330" s="65">
        <v>17</v>
      </c>
      <c r="T330">
        <v>38</v>
      </c>
      <c r="U330" t="s">
        <v>31</v>
      </c>
      <c r="V330" t="s">
        <v>32</v>
      </c>
    </row>
    <row r="331" spans="1:23" x14ac:dyDescent="0.2">
      <c r="A331" s="5" t="s">
        <v>417</v>
      </c>
      <c r="B331" s="6" t="s">
        <v>36</v>
      </c>
      <c r="C331" s="6" t="s">
        <v>38</v>
      </c>
      <c r="D331" s="65" t="str">
        <f t="shared" si="17"/>
        <v>029_O_b</v>
      </c>
      <c r="E331">
        <v>62</v>
      </c>
      <c r="F331" t="s">
        <v>29</v>
      </c>
      <c r="G331" t="s">
        <v>423</v>
      </c>
      <c r="I331">
        <v>1.0642481676167901</v>
      </c>
      <c r="J331" s="82">
        <v>7.4</v>
      </c>
      <c r="K331" s="82">
        <v>1.7</v>
      </c>
      <c r="L331" s="82">
        <v>23.1</v>
      </c>
      <c r="M331" s="82">
        <v>2.9</v>
      </c>
      <c r="N331" s="82">
        <v>20.6</v>
      </c>
      <c r="O331" s="44">
        <f t="shared" si="16"/>
        <v>11.079487179487177</v>
      </c>
      <c r="P331">
        <f t="shared" si="18"/>
        <v>11.14</v>
      </c>
      <c r="Q331" s="111">
        <v>3.9E-2</v>
      </c>
      <c r="R331">
        <v>0.104</v>
      </c>
      <c r="S331" s="65">
        <v>5</v>
      </c>
      <c r="T331">
        <v>42</v>
      </c>
      <c r="U331" t="s">
        <v>31</v>
      </c>
      <c r="V331" t="s">
        <v>32</v>
      </c>
    </row>
    <row r="332" spans="1:23" s="19" customFormat="1" x14ac:dyDescent="0.2">
      <c r="A332" s="17" t="s">
        <v>417</v>
      </c>
      <c r="B332" s="18" t="s">
        <v>36</v>
      </c>
      <c r="C332" s="18" t="s">
        <v>45</v>
      </c>
      <c r="D332" s="66" t="str">
        <f t="shared" si="17"/>
        <v>029_O_c</v>
      </c>
      <c r="E332" s="19">
        <v>97</v>
      </c>
      <c r="F332" s="19" t="s">
        <v>39</v>
      </c>
      <c r="G332" s="19" t="s">
        <v>424</v>
      </c>
      <c r="I332">
        <v>2.7839465875370899</v>
      </c>
      <c r="J332" s="83">
        <v>27.6</v>
      </c>
      <c r="K332" s="83">
        <v>26.4</v>
      </c>
      <c r="L332" s="83">
        <v>30.6</v>
      </c>
      <c r="M332">
        <v>30.3</v>
      </c>
      <c r="N332" s="83">
        <v>16.3</v>
      </c>
      <c r="O332" s="54">
        <f t="shared" si="16"/>
        <v>0.14699738903394269</v>
      </c>
      <c r="P332" s="19">
        <f t="shared" si="18"/>
        <v>26.24</v>
      </c>
      <c r="Q332" s="112">
        <v>0.192</v>
      </c>
      <c r="R332" s="19">
        <v>0.41199999999999998</v>
      </c>
      <c r="S332" s="66">
        <v>18</v>
      </c>
      <c r="T332" s="19">
        <v>40</v>
      </c>
      <c r="U332" s="19" t="s">
        <v>72</v>
      </c>
      <c r="V332" t="s">
        <v>32</v>
      </c>
    </row>
    <row r="333" spans="1:23" x14ac:dyDescent="0.2">
      <c r="A333" s="5" t="s">
        <v>417</v>
      </c>
      <c r="B333" s="6" t="s">
        <v>27</v>
      </c>
      <c r="C333" s="6" t="s">
        <v>45</v>
      </c>
      <c r="D333" s="65" t="str">
        <f t="shared" si="17"/>
        <v>029_S_c</v>
      </c>
      <c r="E333">
        <v>100</v>
      </c>
      <c r="F333" t="s">
        <v>63</v>
      </c>
      <c r="G333" t="s">
        <v>425</v>
      </c>
      <c r="I333">
        <v>5.3085050405063896</v>
      </c>
      <c r="J333" s="82">
        <v>1.9</v>
      </c>
      <c r="K333" s="82">
        <v>15.1</v>
      </c>
      <c r="L333" s="82">
        <v>25.2</v>
      </c>
      <c r="M333">
        <v>18.8</v>
      </c>
      <c r="N333" s="82">
        <v>23.4</v>
      </c>
      <c r="O333" s="44">
        <f t="shared" si="16"/>
        <v>6.3355191256830574</v>
      </c>
      <c r="P333">
        <f t="shared" si="18"/>
        <v>16.880000000000003</v>
      </c>
      <c r="Q333" s="111">
        <v>0.629</v>
      </c>
      <c r="R333">
        <v>0.51600000000000001</v>
      </c>
      <c r="S333" s="65">
        <v>12</v>
      </c>
      <c r="T333">
        <v>38</v>
      </c>
      <c r="U333" t="s">
        <v>47</v>
      </c>
      <c r="V333" t="s">
        <v>32</v>
      </c>
    </row>
    <row r="334" spans="1:23" x14ac:dyDescent="0.2">
      <c r="A334" s="5" t="s">
        <v>417</v>
      </c>
      <c r="B334" s="6" t="s">
        <v>33</v>
      </c>
      <c r="C334" s="6" t="s">
        <v>45</v>
      </c>
      <c r="D334" s="65" t="str">
        <f t="shared" si="17"/>
        <v>029_V_c</v>
      </c>
      <c r="E334">
        <v>101</v>
      </c>
      <c r="F334" t="s">
        <v>29</v>
      </c>
      <c r="G334" t="s">
        <v>426</v>
      </c>
      <c r="I334">
        <v>2.33641928657799</v>
      </c>
      <c r="J334" s="82">
        <v>19.600000000000001</v>
      </c>
      <c r="K334" t="s">
        <v>57</v>
      </c>
      <c r="L334" s="82">
        <v>14.4</v>
      </c>
      <c r="M334">
        <v>20.9</v>
      </c>
      <c r="N334" s="82">
        <v>20.6</v>
      </c>
      <c r="O334" s="44">
        <f t="shared" si="16"/>
        <v>0.64644808743169313</v>
      </c>
      <c r="P334">
        <f t="shared" si="18"/>
        <v>18.875</v>
      </c>
      <c r="Q334" s="111">
        <v>0.109</v>
      </c>
      <c r="R334">
        <v>0.223</v>
      </c>
      <c r="S334" s="65">
        <v>11</v>
      </c>
      <c r="T334">
        <v>42</v>
      </c>
      <c r="U334" t="s">
        <v>72</v>
      </c>
      <c r="V334" t="s">
        <v>32</v>
      </c>
    </row>
    <row r="335" spans="1:23" x14ac:dyDescent="0.2">
      <c r="A335" s="5" t="s">
        <v>417</v>
      </c>
      <c r="B335" s="6" t="s">
        <v>33</v>
      </c>
      <c r="C335" s="6" t="s">
        <v>52</v>
      </c>
      <c r="D335" s="65" t="str">
        <f t="shared" si="17"/>
        <v>029_V_d</v>
      </c>
      <c r="E335">
        <v>110</v>
      </c>
      <c r="F335" t="s">
        <v>43</v>
      </c>
      <c r="G335" t="s">
        <v>427</v>
      </c>
      <c r="I335">
        <v>2.4716111004967498</v>
      </c>
      <c r="J335" s="82">
        <v>8.3000000000000007</v>
      </c>
      <c r="K335" s="82">
        <v>37.1</v>
      </c>
      <c r="L335" s="82">
        <v>37.299999999999997</v>
      </c>
      <c r="M335">
        <v>23.9</v>
      </c>
      <c r="N335" s="82">
        <v>32.6</v>
      </c>
      <c r="O335" s="44">
        <f t="shared" si="16"/>
        <v>7.0908067542213926</v>
      </c>
      <c r="P335">
        <f t="shared" si="18"/>
        <v>27.839999999999996</v>
      </c>
      <c r="Q335" s="111">
        <v>0.17</v>
      </c>
      <c r="R335">
        <v>0.309</v>
      </c>
      <c r="S335" s="65">
        <v>6</v>
      </c>
      <c r="T335">
        <v>19</v>
      </c>
      <c r="U335" t="s">
        <v>31</v>
      </c>
      <c r="V335" t="s">
        <v>32</v>
      </c>
    </row>
    <row r="336" spans="1:23" x14ac:dyDescent="0.2">
      <c r="A336" s="5" t="s">
        <v>417</v>
      </c>
      <c r="B336" s="6" t="s">
        <v>27</v>
      </c>
      <c r="C336" s="6" t="s">
        <v>52</v>
      </c>
      <c r="D336" s="65" t="str">
        <f t="shared" si="17"/>
        <v>029_S_d</v>
      </c>
      <c r="E336">
        <v>110</v>
      </c>
      <c r="F336" t="s">
        <v>49</v>
      </c>
      <c r="G336" t="s">
        <v>428</v>
      </c>
      <c r="H336" t="s">
        <v>56</v>
      </c>
      <c r="I336">
        <v>0</v>
      </c>
      <c r="J336" s="82">
        <v>1.1000000000000001</v>
      </c>
      <c r="K336" s="82">
        <v>1</v>
      </c>
      <c r="L336" s="82">
        <v>1</v>
      </c>
      <c r="M336">
        <v>1</v>
      </c>
      <c r="N336" s="82">
        <v>1</v>
      </c>
      <c r="O336" s="44">
        <f t="shared" si="16"/>
        <v>2.4390243902439068E-3</v>
      </c>
      <c r="P336">
        <f t="shared" si="18"/>
        <v>1.02</v>
      </c>
      <c r="R336" t="s">
        <v>57</v>
      </c>
      <c r="S336" s="65" t="s">
        <v>57</v>
      </c>
      <c r="T336" t="s">
        <v>57</v>
      </c>
      <c r="U336" t="s">
        <v>57</v>
      </c>
      <c r="V336" t="s">
        <v>32</v>
      </c>
      <c r="W336" t="s">
        <v>67</v>
      </c>
    </row>
    <row r="337" spans="1:23" ht="16" x14ac:dyDescent="0.2">
      <c r="A337" s="5" t="s">
        <v>417</v>
      </c>
      <c r="B337" s="6" t="s">
        <v>36</v>
      </c>
      <c r="C337" s="6" t="s">
        <v>52</v>
      </c>
      <c r="D337" s="65" t="str">
        <f t="shared" si="17"/>
        <v>029_O_d</v>
      </c>
      <c r="E337">
        <v>125</v>
      </c>
      <c r="F337" t="s">
        <v>49</v>
      </c>
      <c r="G337" t="s">
        <v>429</v>
      </c>
      <c r="I337">
        <v>2.54595250126326</v>
      </c>
      <c r="J337" s="82">
        <v>25.4</v>
      </c>
      <c r="K337" s="82">
        <v>8.3000000000000007</v>
      </c>
      <c r="L337" s="84">
        <v>45.6</v>
      </c>
      <c r="M337">
        <v>4.8</v>
      </c>
      <c r="N337" s="82">
        <v>39.5</v>
      </c>
      <c r="O337" s="44">
        <f t="shared" si="16"/>
        <v>16.619064605628211</v>
      </c>
      <c r="P337">
        <f t="shared" si="18"/>
        <v>24.720000000000002</v>
      </c>
      <c r="Q337" s="111">
        <v>0.152</v>
      </c>
      <c r="R337">
        <v>0.315</v>
      </c>
      <c r="S337" s="65">
        <v>6</v>
      </c>
      <c r="T337">
        <v>45</v>
      </c>
      <c r="U337" t="s">
        <v>31</v>
      </c>
      <c r="V337" t="s">
        <v>32</v>
      </c>
    </row>
    <row r="338" spans="1:23" ht="16" x14ac:dyDescent="0.2">
      <c r="A338" s="5" t="s">
        <v>430</v>
      </c>
      <c r="B338" s="6" t="s">
        <v>27</v>
      </c>
      <c r="C338" s="6" t="s">
        <v>28</v>
      </c>
      <c r="D338" s="65" t="str">
        <f t="shared" si="17"/>
        <v>030_S_a</v>
      </c>
      <c r="E338">
        <v>11</v>
      </c>
      <c r="F338" t="s">
        <v>41</v>
      </c>
      <c r="G338" t="s">
        <v>431</v>
      </c>
      <c r="I338">
        <v>2.3460580912863098</v>
      </c>
      <c r="J338" s="84" t="s">
        <v>57</v>
      </c>
      <c r="K338" s="82">
        <v>34.5</v>
      </c>
      <c r="L338" s="82">
        <v>56.9</v>
      </c>
      <c r="M338" s="82">
        <v>42.4</v>
      </c>
      <c r="N338" s="82">
        <v>44.8</v>
      </c>
      <c r="O338" s="44">
        <f t="shared" si="16"/>
        <v>2.8939461883408004</v>
      </c>
      <c r="P338">
        <f t="shared" si="18"/>
        <v>44.650000000000006</v>
      </c>
      <c r="Q338" s="111">
        <v>0.314</v>
      </c>
      <c r="R338">
        <v>0.50600000000000001</v>
      </c>
      <c r="S338" s="65">
        <v>6</v>
      </c>
      <c r="T338" s="47">
        <v>35</v>
      </c>
      <c r="U338" s="47" t="s">
        <v>54</v>
      </c>
      <c r="V338" t="s">
        <v>32</v>
      </c>
    </row>
    <row r="339" spans="1:23" ht="16" x14ac:dyDescent="0.2">
      <c r="A339" s="5" t="s">
        <v>430</v>
      </c>
      <c r="B339" s="6" t="s">
        <v>36</v>
      </c>
      <c r="C339" s="6" t="s">
        <v>28</v>
      </c>
      <c r="D339" s="65" t="str">
        <f t="shared" si="17"/>
        <v>030_O_a</v>
      </c>
      <c r="E339">
        <v>14</v>
      </c>
      <c r="F339" t="s">
        <v>68</v>
      </c>
      <c r="G339" t="s">
        <v>432</v>
      </c>
      <c r="I339">
        <v>2.7515053114997401</v>
      </c>
      <c r="J339" s="84">
        <v>31.5</v>
      </c>
      <c r="K339" s="82">
        <v>30.2</v>
      </c>
      <c r="L339" s="82">
        <v>39</v>
      </c>
      <c r="M339" s="82">
        <v>27.8</v>
      </c>
      <c r="N339" s="82">
        <v>37.700000000000003</v>
      </c>
      <c r="O339" s="44">
        <f t="shared" si="16"/>
        <v>0.72702983138780919</v>
      </c>
      <c r="P339">
        <f t="shared" si="18"/>
        <v>33.239999999999995</v>
      </c>
      <c r="Q339" s="111">
        <v>0.32100000000000001</v>
      </c>
      <c r="R339">
        <v>0.377</v>
      </c>
      <c r="S339" s="65">
        <v>17</v>
      </c>
      <c r="T339">
        <v>33</v>
      </c>
      <c r="U339" t="s">
        <v>51</v>
      </c>
      <c r="V339" t="s">
        <v>32</v>
      </c>
    </row>
    <row r="340" spans="1:23" x14ac:dyDescent="0.2">
      <c r="A340" s="2" t="s">
        <v>430</v>
      </c>
      <c r="B340" t="s">
        <v>33</v>
      </c>
      <c r="C340" t="s">
        <v>28</v>
      </c>
      <c r="D340" s="65" t="str">
        <f t="shared" si="17"/>
        <v>030_V_a</v>
      </c>
      <c r="E340">
        <v>30</v>
      </c>
      <c r="F340" t="s">
        <v>39</v>
      </c>
      <c r="G340" t="s">
        <v>433</v>
      </c>
      <c r="I340">
        <v>2.2912003130765402</v>
      </c>
      <c r="J340" s="82">
        <v>2</v>
      </c>
      <c r="K340" s="82">
        <v>4.5999999999999996</v>
      </c>
      <c r="L340" s="82">
        <v>11.3</v>
      </c>
      <c r="M340" s="82">
        <v>27.7</v>
      </c>
      <c r="N340" s="82">
        <v>28.5</v>
      </c>
      <c r="O340" s="44">
        <f t="shared" si="16"/>
        <v>11.704678362573103</v>
      </c>
      <c r="P340">
        <f t="shared" si="18"/>
        <v>14.819999999999999</v>
      </c>
      <c r="Q340" s="111">
        <v>9.9000000000000005E-2</v>
      </c>
      <c r="R340">
        <v>0.23</v>
      </c>
      <c r="S340" s="65">
        <v>9</v>
      </c>
      <c r="T340">
        <v>8</v>
      </c>
      <c r="U340" t="s">
        <v>31</v>
      </c>
      <c r="V340" t="s">
        <v>32</v>
      </c>
    </row>
    <row r="341" spans="1:23" x14ac:dyDescent="0.2">
      <c r="A341" s="2" t="s">
        <v>430</v>
      </c>
      <c r="B341" t="s">
        <v>33</v>
      </c>
      <c r="C341" t="s">
        <v>38</v>
      </c>
      <c r="D341" s="65" t="str">
        <f t="shared" si="17"/>
        <v>030_V_b</v>
      </c>
      <c r="E341">
        <v>37</v>
      </c>
      <c r="F341" t="s">
        <v>70</v>
      </c>
      <c r="G341" t="s">
        <v>434</v>
      </c>
      <c r="I341">
        <v>3.6474958088851599</v>
      </c>
      <c r="J341" s="82">
        <v>10.9</v>
      </c>
      <c r="K341" s="82">
        <v>57.1</v>
      </c>
      <c r="L341" s="82">
        <v>3.6</v>
      </c>
      <c r="M341" s="82">
        <v>34.1</v>
      </c>
      <c r="N341" s="82">
        <v>48.8</v>
      </c>
      <c r="O341" s="44">
        <f t="shared" si="16"/>
        <v>22.224755597603295</v>
      </c>
      <c r="P341">
        <f t="shared" si="18"/>
        <v>30.9</v>
      </c>
      <c r="Q341" s="111">
        <v>0.308</v>
      </c>
      <c r="R341">
        <v>0.54300000000000004</v>
      </c>
      <c r="S341" s="65">
        <v>16</v>
      </c>
      <c r="T341">
        <v>14</v>
      </c>
      <c r="U341" t="s">
        <v>31</v>
      </c>
      <c r="V341" t="s">
        <v>32</v>
      </c>
    </row>
    <row r="342" spans="1:23" s="19" customFormat="1" x14ac:dyDescent="0.2">
      <c r="A342" s="17" t="s">
        <v>430</v>
      </c>
      <c r="B342" s="18" t="s">
        <v>36</v>
      </c>
      <c r="C342" s="18" t="s">
        <v>38</v>
      </c>
      <c r="D342" s="66" t="str">
        <f t="shared" si="17"/>
        <v>030_O_b</v>
      </c>
      <c r="E342" s="19">
        <v>39</v>
      </c>
      <c r="F342" s="19" t="s">
        <v>49</v>
      </c>
      <c r="G342" s="19" t="s">
        <v>435</v>
      </c>
      <c r="I342">
        <v>1.7341566740863099</v>
      </c>
      <c r="J342" s="83">
        <v>16.600000000000001</v>
      </c>
      <c r="K342" s="83">
        <v>26.1</v>
      </c>
      <c r="L342" s="83">
        <v>30.3</v>
      </c>
      <c r="M342" s="82">
        <v>16.2</v>
      </c>
      <c r="N342" s="83">
        <v>36.5</v>
      </c>
      <c r="O342" s="54">
        <f t="shared" si="16"/>
        <v>2.2143497757847546</v>
      </c>
      <c r="P342" s="19">
        <f t="shared" si="18"/>
        <v>25.14</v>
      </c>
      <c r="Q342" s="112">
        <v>0.26</v>
      </c>
      <c r="R342" s="19">
        <v>0.32800000000000001</v>
      </c>
      <c r="S342" s="66">
        <v>10</v>
      </c>
      <c r="T342" s="19">
        <v>7</v>
      </c>
      <c r="U342" s="19" t="s">
        <v>31</v>
      </c>
      <c r="V342" t="s">
        <v>32</v>
      </c>
    </row>
    <row r="343" spans="1:23" x14ac:dyDescent="0.2">
      <c r="A343" s="5" t="s">
        <v>430</v>
      </c>
      <c r="B343" s="6" t="s">
        <v>27</v>
      </c>
      <c r="C343" s="6" t="s">
        <v>38</v>
      </c>
      <c r="D343" s="65" t="str">
        <f t="shared" si="17"/>
        <v>030_S_b</v>
      </c>
      <c r="E343">
        <v>71</v>
      </c>
      <c r="F343" t="s">
        <v>68</v>
      </c>
      <c r="G343" t="s">
        <v>436</v>
      </c>
      <c r="I343">
        <v>8.6453871000302804</v>
      </c>
      <c r="J343" s="82">
        <v>3.6</v>
      </c>
      <c r="K343" s="82">
        <v>9.6999999999999993</v>
      </c>
      <c r="L343" s="82">
        <v>26.1</v>
      </c>
      <c r="M343" s="82">
        <v>27.8</v>
      </c>
      <c r="N343" s="82">
        <v>40.1</v>
      </c>
      <c r="O343" s="44">
        <f t="shared" si="16"/>
        <v>8.5742063492063458</v>
      </c>
      <c r="P343">
        <f t="shared" si="18"/>
        <v>21.46</v>
      </c>
      <c r="Q343" s="111">
        <v>0.55900000000000005</v>
      </c>
      <c r="R343">
        <v>0.75900000000000001</v>
      </c>
      <c r="S343" s="65">
        <v>13</v>
      </c>
      <c r="T343">
        <v>26</v>
      </c>
      <c r="U343" t="s">
        <v>31</v>
      </c>
      <c r="V343" t="s">
        <v>32</v>
      </c>
    </row>
    <row r="344" spans="1:23" x14ac:dyDescent="0.2">
      <c r="A344" s="5" t="s">
        <v>430</v>
      </c>
      <c r="B344" s="6" t="s">
        <v>27</v>
      </c>
      <c r="C344" s="6" t="s">
        <v>45</v>
      </c>
      <c r="D344" s="65" t="str">
        <f t="shared" si="17"/>
        <v>030_S_c</v>
      </c>
      <c r="E344">
        <v>82</v>
      </c>
      <c r="F344" t="s">
        <v>29</v>
      </c>
      <c r="G344" t="s">
        <v>437</v>
      </c>
      <c r="I344">
        <v>3.9800029713266998</v>
      </c>
      <c r="J344" s="82">
        <v>41.4</v>
      </c>
      <c r="K344" s="82">
        <v>29.4</v>
      </c>
      <c r="L344" s="82">
        <v>58.2</v>
      </c>
      <c r="M344" s="82">
        <v>52.4</v>
      </c>
      <c r="N344" s="82">
        <v>48.9</v>
      </c>
      <c r="O344" s="44">
        <f t="shared" si="16"/>
        <v>3.5636163175303195</v>
      </c>
      <c r="P344">
        <f t="shared" si="18"/>
        <v>46.06</v>
      </c>
      <c r="Q344" s="65">
        <v>0.39500000000000002</v>
      </c>
      <c r="R344">
        <v>0.499</v>
      </c>
      <c r="S344" s="65">
        <v>14</v>
      </c>
      <c r="T344">
        <v>79</v>
      </c>
      <c r="U344" t="s">
        <v>72</v>
      </c>
      <c r="V344" t="s">
        <v>32</v>
      </c>
    </row>
    <row r="345" spans="1:23" x14ac:dyDescent="0.2">
      <c r="A345" s="5" t="s">
        <v>430</v>
      </c>
      <c r="B345" s="6" t="s">
        <v>36</v>
      </c>
      <c r="C345" s="6" t="s">
        <v>45</v>
      </c>
      <c r="D345" s="65" t="str">
        <f t="shared" si="17"/>
        <v>030_O_c</v>
      </c>
      <c r="E345">
        <v>90</v>
      </c>
      <c r="F345" t="s">
        <v>34</v>
      </c>
      <c r="G345" t="s">
        <v>438</v>
      </c>
      <c r="I345">
        <v>2.3589930655879798</v>
      </c>
      <c r="J345" s="82">
        <v>7.9</v>
      </c>
      <c r="K345" s="82">
        <v>27.1</v>
      </c>
      <c r="L345" s="82">
        <v>30.9</v>
      </c>
      <c r="M345" s="82">
        <v>29.6</v>
      </c>
      <c r="N345" s="82">
        <v>33.299999999999997</v>
      </c>
      <c r="O345" s="44">
        <f t="shared" si="16"/>
        <v>4.854834205933682</v>
      </c>
      <c r="P345">
        <f t="shared" si="18"/>
        <v>25.76</v>
      </c>
      <c r="Q345" s="111">
        <v>0.16500000000000001</v>
      </c>
      <c r="R345">
        <v>0.34799999999999998</v>
      </c>
      <c r="S345" s="65">
        <v>26</v>
      </c>
      <c r="T345">
        <v>41</v>
      </c>
      <c r="U345" t="s">
        <v>51</v>
      </c>
      <c r="V345" t="s">
        <v>32</v>
      </c>
    </row>
    <row r="346" spans="1:23" x14ac:dyDescent="0.2">
      <c r="A346" s="5" t="s">
        <v>430</v>
      </c>
      <c r="B346" s="6" t="s">
        <v>33</v>
      </c>
      <c r="C346" s="6" t="s">
        <v>45</v>
      </c>
      <c r="D346" s="65" t="str">
        <f t="shared" si="17"/>
        <v>030_V_c</v>
      </c>
      <c r="E346">
        <v>106</v>
      </c>
      <c r="F346" t="s">
        <v>68</v>
      </c>
      <c r="G346" t="s">
        <v>439</v>
      </c>
      <c r="I346">
        <v>3.2341631055964601</v>
      </c>
      <c r="J346" s="82">
        <v>33.9</v>
      </c>
      <c r="K346" s="82">
        <v>27.5</v>
      </c>
      <c r="L346" s="82">
        <v>30.8</v>
      </c>
      <c r="M346">
        <v>17.3</v>
      </c>
      <c r="N346" s="82">
        <v>24.9</v>
      </c>
      <c r="O346" s="44">
        <f t="shared" si="16"/>
        <v>1.8974429223744278</v>
      </c>
      <c r="P346">
        <f t="shared" si="18"/>
        <v>26.880000000000003</v>
      </c>
      <c r="Q346" s="111">
        <v>0.27200000000000002</v>
      </c>
      <c r="R346">
        <v>0.45200000000000001</v>
      </c>
      <c r="S346" s="65">
        <v>22</v>
      </c>
      <c r="T346">
        <v>31</v>
      </c>
      <c r="U346" t="s">
        <v>72</v>
      </c>
      <c r="V346" t="s">
        <v>32</v>
      </c>
    </row>
    <row r="347" spans="1:23" ht="16" x14ac:dyDescent="0.2">
      <c r="A347" s="5" t="s">
        <v>430</v>
      </c>
      <c r="B347" s="6" t="s">
        <v>27</v>
      </c>
      <c r="C347" s="6" t="s">
        <v>52</v>
      </c>
      <c r="D347" s="65" t="str">
        <f t="shared" si="17"/>
        <v>030_S_d</v>
      </c>
      <c r="E347">
        <v>129</v>
      </c>
      <c r="F347" t="s">
        <v>34</v>
      </c>
      <c r="G347" t="s">
        <v>440</v>
      </c>
      <c r="H347" t="s">
        <v>56</v>
      </c>
      <c r="I347">
        <v>0</v>
      </c>
      <c r="J347" s="82">
        <v>1.1000000000000001</v>
      </c>
      <c r="K347" s="82">
        <v>1</v>
      </c>
      <c r="L347" s="84">
        <v>1</v>
      </c>
      <c r="M347">
        <v>1</v>
      </c>
      <c r="N347" s="82">
        <v>0.9</v>
      </c>
      <c r="O347" s="44">
        <f t="shared" si="16"/>
        <v>2.4390243902439068E-3</v>
      </c>
      <c r="P347">
        <f t="shared" si="18"/>
        <v>1</v>
      </c>
      <c r="Q347" s="111" t="s">
        <v>57</v>
      </c>
      <c r="R347" t="s">
        <v>57</v>
      </c>
      <c r="S347" s="65" t="s">
        <v>57</v>
      </c>
      <c r="T347" t="s">
        <v>57</v>
      </c>
      <c r="V347" t="s">
        <v>32</v>
      </c>
      <c r="W347" t="s">
        <v>67</v>
      </c>
    </row>
    <row r="348" spans="1:23" ht="16" x14ac:dyDescent="0.2">
      <c r="A348" s="5" t="s">
        <v>430</v>
      </c>
      <c r="B348" s="6" t="s">
        <v>33</v>
      </c>
      <c r="C348" s="6" t="s">
        <v>52</v>
      </c>
      <c r="D348" s="65" t="str">
        <f t="shared" si="17"/>
        <v>030_V_d</v>
      </c>
      <c r="E348">
        <v>141</v>
      </c>
      <c r="F348" t="s">
        <v>49</v>
      </c>
      <c r="G348" t="s">
        <v>441</v>
      </c>
      <c r="I348">
        <v>1.6110759493670901</v>
      </c>
      <c r="J348" s="82">
        <v>22</v>
      </c>
      <c r="K348" s="82">
        <v>20</v>
      </c>
      <c r="L348" s="84">
        <v>15</v>
      </c>
      <c r="M348" s="82">
        <v>13</v>
      </c>
      <c r="N348" s="82">
        <v>20.6</v>
      </c>
      <c r="O348" s="44">
        <f t="shared" si="16"/>
        <v>1.0095238095238095</v>
      </c>
      <c r="P348">
        <f t="shared" si="18"/>
        <v>18.119999999999997</v>
      </c>
      <c r="Q348" s="111">
        <v>0.105</v>
      </c>
      <c r="R348">
        <v>0.223</v>
      </c>
      <c r="S348" s="65">
        <v>6</v>
      </c>
      <c r="T348">
        <v>2</v>
      </c>
      <c r="U348" t="s">
        <v>47</v>
      </c>
      <c r="V348" t="s">
        <v>32</v>
      </c>
    </row>
    <row r="349" spans="1:23" ht="16" x14ac:dyDescent="0.2">
      <c r="A349" s="5" t="s">
        <v>430</v>
      </c>
      <c r="B349" s="6" t="s">
        <v>36</v>
      </c>
      <c r="C349" s="6" t="s">
        <v>52</v>
      </c>
      <c r="D349" s="65" t="str">
        <f t="shared" si="17"/>
        <v>030_O_d</v>
      </c>
      <c r="E349">
        <v>144</v>
      </c>
      <c r="F349" t="s">
        <v>41</v>
      </c>
      <c r="G349" t="s">
        <v>442</v>
      </c>
      <c r="I349">
        <v>3.5675433839479398</v>
      </c>
      <c r="J349" s="82">
        <v>41.9</v>
      </c>
      <c r="K349" s="82">
        <v>4.2</v>
      </c>
      <c r="L349" s="84">
        <v>39.200000000000003</v>
      </c>
      <c r="M349" s="82">
        <v>5.6</v>
      </c>
      <c r="N349" s="82">
        <v>49.5</v>
      </c>
      <c r="O349" s="44">
        <f t="shared" si="16"/>
        <v>18.709900990099012</v>
      </c>
      <c r="P349">
        <f t="shared" si="18"/>
        <v>28.080000000000002</v>
      </c>
      <c r="Q349" s="111">
        <v>0.39400000000000002</v>
      </c>
      <c r="R349">
        <v>0.40899999999999997</v>
      </c>
      <c r="S349" s="65">
        <v>10</v>
      </c>
      <c r="T349">
        <v>17</v>
      </c>
      <c r="U349" t="s">
        <v>72</v>
      </c>
      <c r="V349" t="s">
        <v>32</v>
      </c>
    </row>
    <row r="350" spans="1:23" ht="16" x14ac:dyDescent="0.2">
      <c r="A350" s="5" t="s">
        <v>443</v>
      </c>
      <c r="B350" s="6" t="s">
        <v>36</v>
      </c>
      <c r="C350" s="6" t="s">
        <v>28</v>
      </c>
      <c r="D350" s="65" t="str">
        <f t="shared" si="17"/>
        <v>031_O_a</v>
      </c>
      <c r="E350">
        <v>2</v>
      </c>
      <c r="F350" t="s">
        <v>49</v>
      </c>
      <c r="G350" t="s">
        <v>444</v>
      </c>
      <c r="I350">
        <v>3.9074853496549</v>
      </c>
      <c r="J350" s="84">
        <v>43.7</v>
      </c>
      <c r="K350" s="82">
        <v>41.2</v>
      </c>
      <c r="L350" s="82">
        <v>15.6</v>
      </c>
      <c r="M350" s="82">
        <v>5.6</v>
      </c>
      <c r="N350" s="82">
        <v>55</v>
      </c>
      <c r="O350" s="44">
        <f t="shared" si="16"/>
        <v>13.415614200439851</v>
      </c>
      <c r="P350">
        <f t="shared" si="18"/>
        <v>32.22</v>
      </c>
      <c r="Q350" s="111">
        <v>0.33500000000000002</v>
      </c>
      <c r="R350">
        <v>0.52900000000000003</v>
      </c>
      <c r="S350" s="65">
        <v>18</v>
      </c>
      <c r="T350">
        <v>12</v>
      </c>
      <c r="U350" t="s">
        <v>54</v>
      </c>
      <c r="V350" t="s">
        <v>32</v>
      </c>
    </row>
    <row r="351" spans="1:23" ht="16" x14ac:dyDescent="0.2">
      <c r="A351" s="5" t="s">
        <v>443</v>
      </c>
      <c r="B351" s="6" t="s">
        <v>27</v>
      </c>
      <c r="C351" s="6" t="s">
        <v>28</v>
      </c>
      <c r="D351" s="65" t="str">
        <f t="shared" si="17"/>
        <v>031_S_a</v>
      </c>
      <c r="E351">
        <v>3</v>
      </c>
      <c r="F351" t="s">
        <v>34</v>
      </c>
      <c r="G351" t="s">
        <v>445</v>
      </c>
      <c r="I351">
        <v>5.2145193642956302</v>
      </c>
      <c r="J351" s="84">
        <v>24</v>
      </c>
      <c r="K351" s="82">
        <v>22.3</v>
      </c>
      <c r="L351" s="82">
        <v>20.5</v>
      </c>
      <c r="M351" s="82">
        <v>34.6</v>
      </c>
      <c r="N351" s="82">
        <v>25.9</v>
      </c>
      <c r="O351" s="44">
        <f t="shared" si="16"/>
        <v>1.5806706114398366</v>
      </c>
      <c r="P351">
        <f t="shared" si="18"/>
        <v>25.46</v>
      </c>
      <c r="Q351" s="111">
        <v>0.59499999999999997</v>
      </c>
      <c r="R351">
        <v>0.51</v>
      </c>
      <c r="S351" s="65">
        <v>11</v>
      </c>
      <c r="T351">
        <v>60</v>
      </c>
      <c r="U351" t="s">
        <v>260</v>
      </c>
      <c r="V351" t="s">
        <v>32</v>
      </c>
    </row>
    <row r="352" spans="1:23" s="19" customFormat="1" x14ac:dyDescent="0.2">
      <c r="A352" s="27" t="s">
        <v>443</v>
      </c>
      <c r="B352" s="19" t="s">
        <v>33</v>
      </c>
      <c r="C352" s="19" t="s">
        <v>28</v>
      </c>
      <c r="D352" s="66" t="str">
        <f t="shared" si="17"/>
        <v>031_V_a</v>
      </c>
      <c r="E352" s="19">
        <v>19</v>
      </c>
      <c r="F352" s="19" t="s">
        <v>29</v>
      </c>
      <c r="G352" s="19" t="s">
        <v>446</v>
      </c>
      <c r="I352">
        <v>1.44674271091389</v>
      </c>
      <c r="J352" s="83">
        <v>3.6</v>
      </c>
      <c r="K352" s="83">
        <v>15.2</v>
      </c>
      <c r="L352" s="83">
        <v>11</v>
      </c>
      <c r="M352" s="83">
        <v>7</v>
      </c>
      <c r="N352" s="83">
        <v>17.5</v>
      </c>
      <c r="O352" s="54">
        <f t="shared" si="16"/>
        <v>2.7333333333333356</v>
      </c>
      <c r="P352" s="19">
        <f t="shared" si="18"/>
        <v>10.86</v>
      </c>
      <c r="Q352" s="112">
        <v>6.9000000000000006E-2</v>
      </c>
      <c r="R352" s="19">
        <v>0.16500000000000001</v>
      </c>
      <c r="S352" s="66">
        <v>9</v>
      </c>
      <c r="T352" s="19">
        <v>5</v>
      </c>
      <c r="U352" s="19" t="s">
        <v>31</v>
      </c>
      <c r="V352" t="s">
        <v>32</v>
      </c>
    </row>
    <row r="353" spans="1:23" x14ac:dyDescent="0.2">
      <c r="A353" s="1" t="s">
        <v>443</v>
      </c>
      <c r="B353" t="s">
        <v>33</v>
      </c>
      <c r="C353" t="s">
        <v>38</v>
      </c>
      <c r="D353" s="65" t="str">
        <f t="shared" si="17"/>
        <v>031_V_b</v>
      </c>
      <c r="E353">
        <v>39</v>
      </c>
      <c r="F353" t="s">
        <v>34</v>
      </c>
      <c r="G353" t="s">
        <v>447</v>
      </c>
      <c r="I353">
        <v>1.84275867020895</v>
      </c>
      <c r="J353" s="82">
        <v>30.1</v>
      </c>
      <c r="K353" s="82">
        <v>10.8</v>
      </c>
      <c r="L353" s="82">
        <v>32.9</v>
      </c>
      <c r="M353" s="82">
        <v>31.3</v>
      </c>
      <c r="N353" s="82">
        <v>42.8</v>
      </c>
      <c r="O353" s="44">
        <f t="shared" si="16"/>
        <v>4.100824611481122</v>
      </c>
      <c r="P353">
        <f t="shared" si="18"/>
        <v>29.580000000000002</v>
      </c>
      <c r="Q353" s="111">
        <v>0.22800000000000001</v>
      </c>
      <c r="R353">
        <v>0.39100000000000001</v>
      </c>
      <c r="S353" s="65">
        <v>13</v>
      </c>
      <c r="T353">
        <v>33</v>
      </c>
      <c r="U353" t="s">
        <v>31</v>
      </c>
      <c r="V353" t="s">
        <v>32</v>
      </c>
    </row>
    <row r="354" spans="1:23" x14ac:dyDescent="0.2">
      <c r="A354" s="5" t="s">
        <v>443</v>
      </c>
      <c r="B354" s="6" t="s">
        <v>27</v>
      </c>
      <c r="C354" s="6" t="s">
        <v>38</v>
      </c>
      <c r="D354" s="65" t="str">
        <f t="shared" si="17"/>
        <v>031_S_b</v>
      </c>
      <c r="E354">
        <v>40</v>
      </c>
      <c r="F354" t="s">
        <v>49</v>
      </c>
      <c r="G354" t="s">
        <v>448</v>
      </c>
      <c r="I354">
        <v>0.40719048849832001</v>
      </c>
      <c r="J354" s="82">
        <v>14.4</v>
      </c>
      <c r="K354" s="82">
        <v>26.2</v>
      </c>
      <c r="L354" s="82">
        <v>44.3</v>
      </c>
      <c r="M354" s="82">
        <v>21.8</v>
      </c>
      <c r="N354" s="82">
        <v>48.1</v>
      </c>
      <c r="O354" s="44">
        <f t="shared" si="16"/>
        <v>6.0644486098094275</v>
      </c>
      <c r="P354">
        <f t="shared" si="18"/>
        <v>30.96</v>
      </c>
      <c r="Q354" s="111">
        <v>0.14399999999999999</v>
      </c>
      <c r="R354">
        <v>0.26700000000000002</v>
      </c>
      <c r="S354" s="65">
        <v>8</v>
      </c>
      <c r="T354">
        <v>33</v>
      </c>
      <c r="U354" t="s">
        <v>31</v>
      </c>
      <c r="V354" t="s">
        <v>32</v>
      </c>
    </row>
    <row r="355" spans="1:23" x14ac:dyDescent="0.2">
      <c r="A355" s="5" t="s">
        <v>443</v>
      </c>
      <c r="B355" s="6" t="s">
        <v>36</v>
      </c>
      <c r="C355" s="6" t="s">
        <v>38</v>
      </c>
      <c r="D355" s="65" t="str">
        <f t="shared" si="17"/>
        <v>031_O_b</v>
      </c>
      <c r="E355">
        <v>66</v>
      </c>
      <c r="F355" t="s">
        <v>49</v>
      </c>
      <c r="G355" t="s">
        <v>449</v>
      </c>
      <c r="I355">
        <v>2.1365353872983599</v>
      </c>
      <c r="J355" s="82">
        <v>31</v>
      </c>
      <c r="K355" s="82">
        <v>28.3</v>
      </c>
      <c r="L355" t="s">
        <v>57</v>
      </c>
      <c r="M355" s="82">
        <v>21.4</v>
      </c>
      <c r="N355" s="82">
        <v>16.3</v>
      </c>
      <c r="O355" s="44">
        <f t="shared" ref="O355:O418" si="19">VAR(J355:M355)/AVERAGE(J355:M355)</f>
        <v>0.9111524163568856</v>
      </c>
      <c r="P355">
        <f t="shared" si="18"/>
        <v>24.249999999999996</v>
      </c>
      <c r="Q355" s="111">
        <v>0.13900000000000001</v>
      </c>
      <c r="R355">
        <v>0.28999999999999998</v>
      </c>
      <c r="S355" s="65">
        <v>19</v>
      </c>
      <c r="T355">
        <v>15</v>
      </c>
      <c r="U355" t="s">
        <v>31</v>
      </c>
      <c r="V355" t="s">
        <v>32</v>
      </c>
    </row>
    <row r="356" spans="1:23" x14ac:dyDescent="0.2">
      <c r="A356" s="5" t="s">
        <v>443</v>
      </c>
      <c r="B356" s="6" t="s">
        <v>33</v>
      </c>
      <c r="C356" s="6" t="s">
        <v>45</v>
      </c>
      <c r="D356" s="65" t="str">
        <f t="shared" si="17"/>
        <v>031_V_c</v>
      </c>
      <c r="E356">
        <v>87</v>
      </c>
      <c r="F356" t="s">
        <v>70</v>
      </c>
      <c r="G356" t="s">
        <v>450</v>
      </c>
      <c r="I356">
        <v>3.80673547229078</v>
      </c>
      <c r="J356" s="82">
        <v>13.2</v>
      </c>
      <c r="K356" s="82">
        <v>39.700000000000003</v>
      </c>
      <c r="L356" s="82">
        <v>29.2</v>
      </c>
      <c r="M356" s="82">
        <v>22.8</v>
      </c>
      <c r="N356" s="82">
        <v>39.5</v>
      </c>
      <c r="O356" s="44">
        <f t="shared" si="19"/>
        <v>4.7258659040355875</v>
      </c>
      <c r="P356">
        <f t="shared" si="18"/>
        <v>28.880000000000003</v>
      </c>
      <c r="Q356" s="111">
        <v>0.22900000000000001</v>
      </c>
      <c r="R356">
        <v>0.40799999999999997</v>
      </c>
      <c r="S356" s="65">
        <v>20</v>
      </c>
      <c r="T356">
        <v>10</v>
      </c>
      <c r="U356" t="s">
        <v>72</v>
      </c>
      <c r="V356" t="s">
        <v>32</v>
      </c>
    </row>
    <row r="357" spans="1:23" x14ac:dyDescent="0.2">
      <c r="A357" s="5" t="s">
        <v>443</v>
      </c>
      <c r="B357" s="6" t="s">
        <v>36</v>
      </c>
      <c r="C357" s="6" t="s">
        <v>45</v>
      </c>
      <c r="D357" s="65" t="str">
        <f t="shared" si="17"/>
        <v>031_O_c</v>
      </c>
      <c r="E357">
        <v>88</v>
      </c>
      <c r="F357" t="s">
        <v>68</v>
      </c>
      <c r="G357" t="s">
        <v>451</v>
      </c>
      <c r="I357">
        <v>1.86314827897006</v>
      </c>
      <c r="J357" s="82">
        <v>2.4</v>
      </c>
      <c r="L357" s="82">
        <v>33.9</v>
      </c>
      <c r="M357" s="82">
        <v>11.9</v>
      </c>
      <c r="N357" s="82">
        <v>36</v>
      </c>
      <c r="O357" s="44">
        <f t="shared" si="19"/>
        <v>16.25</v>
      </c>
      <c r="P357">
        <f t="shared" si="18"/>
        <v>21.049999999999997</v>
      </c>
      <c r="Q357" s="111">
        <v>8.6999999999999994E-2</v>
      </c>
      <c r="R357">
        <v>0.191</v>
      </c>
      <c r="S357" s="65">
        <v>15</v>
      </c>
      <c r="T357">
        <v>23</v>
      </c>
      <c r="U357" t="s">
        <v>72</v>
      </c>
      <c r="V357" t="s">
        <v>32</v>
      </c>
    </row>
    <row r="358" spans="1:23" x14ac:dyDescent="0.2">
      <c r="A358" s="5" t="s">
        <v>443</v>
      </c>
      <c r="B358" s="6" t="s">
        <v>27</v>
      </c>
      <c r="C358" s="6" t="s">
        <v>45</v>
      </c>
      <c r="D358" s="65" t="str">
        <f t="shared" si="17"/>
        <v>031_S_c</v>
      </c>
      <c r="E358">
        <v>97</v>
      </c>
      <c r="F358" t="s">
        <v>29</v>
      </c>
      <c r="G358" t="s">
        <v>452</v>
      </c>
      <c r="H358" t="s">
        <v>56</v>
      </c>
      <c r="I358">
        <v>0</v>
      </c>
      <c r="J358" s="82">
        <v>1</v>
      </c>
      <c r="K358" s="82">
        <v>1</v>
      </c>
      <c r="L358" s="82">
        <v>1</v>
      </c>
      <c r="M358">
        <v>1</v>
      </c>
      <c r="N358" s="82">
        <v>0.9</v>
      </c>
      <c r="O358" s="44">
        <f t="shared" si="19"/>
        <v>0</v>
      </c>
      <c r="P358">
        <f t="shared" si="18"/>
        <v>0.98000000000000009</v>
      </c>
      <c r="Q358" s="111" t="s">
        <v>57</v>
      </c>
      <c r="R358" s="6" t="s">
        <v>57</v>
      </c>
      <c r="S358" s="65" t="s">
        <v>57</v>
      </c>
      <c r="T358" s="6" t="s">
        <v>57</v>
      </c>
      <c r="U358" s="6" t="s">
        <v>57</v>
      </c>
      <c r="V358" t="s">
        <v>32</v>
      </c>
      <c r="W358" s="6" t="s">
        <v>67</v>
      </c>
    </row>
    <row r="359" spans="1:23" ht="16" x14ac:dyDescent="0.2">
      <c r="A359" s="5" t="s">
        <v>443</v>
      </c>
      <c r="B359" s="6" t="s">
        <v>33</v>
      </c>
      <c r="C359" s="6" t="s">
        <v>52</v>
      </c>
      <c r="D359" s="65" t="str">
        <f t="shared" si="17"/>
        <v>031_V_d</v>
      </c>
      <c r="E359">
        <v>121</v>
      </c>
      <c r="F359" t="s">
        <v>63</v>
      </c>
      <c r="G359" t="s">
        <v>453</v>
      </c>
      <c r="I359">
        <v>2.2705865037898301</v>
      </c>
      <c r="J359" s="82">
        <v>37.6</v>
      </c>
      <c r="K359" s="82">
        <v>11.6</v>
      </c>
      <c r="L359" s="84">
        <v>10.9</v>
      </c>
      <c r="M359">
        <v>2.1</v>
      </c>
      <c r="N359" s="82">
        <v>3.1</v>
      </c>
      <c r="O359" s="44">
        <f t="shared" si="19"/>
        <v>15.098177920685963</v>
      </c>
      <c r="P359">
        <f t="shared" si="18"/>
        <v>13.059999999999999</v>
      </c>
      <c r="Q359" s="111">
        <v>0.27800000000000002</v>
      </c>
      <c r="R359">
        <v>0.32</v>
      </c>
      <c r="S359" s="65">
        <v>8</v>
      </c>
      <c r="T359">
        <v>35</v>
      </c>
      <c r="U359" t="s">
        <v>54</v>
      </c>
      <c r="V359" t="s">
        <v>32</v>
      </c>
    </row>
    <row r="360" spans="1:23" ht="16" x14ac:dyDescent="0.2">
      <c r="A360" s="5" t="s">
        <v>443</v>
      </c>
      <c r="B360" s="6" t="s">
        <v>27</v>
      </c>
      <c r="C360" s="6" t="s">
        <v>52</v>
      </c>
      <c r="D360" s="65" t="str">
        <f t="shared" si="17"/>
        <v>031_S_d</v>
      </c>
      <c r="E360">
        <v>144</v>
      </c>
      <c r="F360" t="s">
        <v>82</v>
      </c>
      <c r="G360" t="s">
        <v>454</v>
      </c>
      <c r="I360">
        <v>6.1955531453362296</v>
      </c>
      <c r="J360" s="82">
        <v>32.299999999999997</v>
      </c>
      <c r="K360" s="82">
        <v>40</v>
      </c>
      <c r="L360" s="84">
        <v>47.9</v>
      </c>
      <c r="M360" s="82">
        <v>39.1</v>
      </c>
      <c r="N360" s="82">
        <v>42.1</v>
      </c>
      <c r="O360" s="44">
        <f t="shared" si="19"/>
        <v>1.024377484829476</v>
      </c>
      <c r="P360">
        <f t="shared" si="18"/>
        <v>40.279999999999994</v>
      </c>
      <c r="Q360" s="111">
        <v>0.65900000000000003</v>
      </c>
      <c r="R360">
        <v>0.63</v>
      </c>
      <c r="S360" s="65">
        <v>21</v>
      </c>
      <c r="T360">
        <v>87</v>
      </c>
      <c r="U360" t="s">
        <v>72</v>
      </c>
      <c r="V360" t="s">
        <v>32</v>
      </c>
    </row>
    <row r="361" spans="1:23" ht="16" x14ac:dyDescent="0.2">
      <c r="A361" s="5" t="s">
        <v>443</v>
      </c>
      <c r="B361" s="6" t="s">
        <v>36</v>
      </c>
      <c r="C361" s="6" t="s">
        <v>52</v>
      </c>
      <c r="D361" s="65" t="str">
        <f t="shared" si="17"/>
        <v>031_O_d</v>
      </c>
      <c r="E361">
        <v>144</v>
      </c>
      <c r="F361" t="s">
        <v>63</v>
      </c>
      <c r="G361" t="s">
        <v>455</v>
      </c>
      <c r="I361">
        <v>3.1872559652928398</v>
      </c>
      <c r="J361" s="82">
        <v>39.5</v>
      </c>
      <c r="K361" s="82">
        <v>38.200000000000003</v>
      </c>
      <c r="L361" s="84">
        <v>48.4</v>
      </c>
      <c r="M361" s="82">
        <v>45.9</v>
      </c>
      <c r="N361" s="82">
        <v>50.4</v>
      </c>
      <c r="O361" s="44">
        <f t="shared" si="19"/>
        <v>0.56480620155038719</v>
      </c>
      <c r="P361">
        <f t="shared" si="18"/>
        <v>44.480000000000004</v>
      </c>
      <c r="Q361" s="111">
        <v>0.38</v>
      </c>
      <c r="R361">
        <v>0.51500000000000001</v>
      </c>
      <c r="S361" s="65">
        <v>16</v>
      </c>
      <c r="T361">
        <v>14</v>
      </c>
      <c r="U361" s="76" t="s">
        <v>72</v>
      </c>
      <c r="V361" t="s">
        <v>32</v>
      </c>
    </row>
    <row r="362" spans="1:23" s="19" customFormat="1" ht="16" x14ac:dyDescent="0.2">
      <c r="A362" s="17" t="s">
        <v>456</v>
      </c>
      <c r="B362" s="18" t="s">
        <v>27</v>
      </c>
      <c r="C362" s="18" t="s">
        <v>28</v>
      </c>
      <c r="D362" s="66" t="str">
        <f t="shared" si="17"/>
        <v>032_S_a</v>
      </c>
      <c r="E362" s="19">
        <v>6</v>
      </c>
      <c r="F362" s="19" t="s">
        <v>34</v>
      </c>
      <c r="G362" s="19" t="s">
        <v>457</v>
      </c>
      <c r="I362">
        <v>5.1876479910506204</v>
      </c>
      <c r="J362" s="85">
        <v>27.4</v>
      </c>
      <c r="K362" s="83">
        <v>30.6</v>
      </c>
      <c r="L362" s="83">
        <v>2.2999999999999998</v>
      </c>
      <c r="M362" s="83">
        <v>33.299999999999997</v>
      </c>
      <c r="N362" s="83">
        <v>38.799999999999997</v>
      </c>
      <c r="O362" s="54">
        <f t="shared" si="19"/>
        <v>8.7045584045584032</v>
      </c>
      <c r="P362" s="19">
        <f t="shared" si="18"/>
        <v>26.479999999999997</v>
      </c>
      <c r="Q362" s="112">
        <v>0.41799999999999998</v>
      </c>
      <c r="R362" s="19">
        <v>0.76400000000000001</v>
      </c>
      <c r="S362" s="66">
        <v>32</v>
      </c>
      <c r="T362" s="19">
        <v>55</v>
      </c>
      <c r="U362" t="s">
        <v>54</v>
      </c>
      <c r="V362" t="s">
        <v>32</v>
      </c>
    </row>
    <row r="363" spans="1:23" ht="16" x14ac:dyDescent="0.2">
      <c r="A363" s="5" t="s">
        <v>456</v>
      </c>
      <c r="B363" s="6" t="s">
        <v>36</v>
      </c>
      <c r="C363" s="6" t="s">
        <v>28</v>
      </c>
      <c r="D363" s="65" t="str">
        <f t="shared" si="17"/>
        <v>032_O_a</v>
      </c>
      <c r="E363">
        <v>7</v>
      </c>
      <c r="F363" t="s">
        <v>39</v>
      </c>
      <c r="G363" t="s">
        <v>458</v>
      </c>
      <c r="I363">
        <v>3.5038678920725399</v>
      </c>
      <c r="J363" s="84">
        <v>25.3</v>
      </c>
      <c r="K363" s="82">
        <v>27.1</v>
      </c>
      <c r="L363" s="82">
        <v>31.1</v>
      </c>
      <c r="M363" s="82">
        <v>28.5</v>
      </c>
      <c r="N363" s="82">
        <v>35.4</v>
      </c>
      <c r="O363" s="44">
        <f t="shared" si="19"/>
        <v>0.21380952380952384</v>
      </c>
      <c r="P363">
        <f t="shared" si="18"/>
        <v>29.48</v>
      </c>
      <c r="Q363" s="111">
        <v>0.218</v>
      </c>
      <c r="R363">
        <v>0.371</v>
      </c>
      <c r="S363" s="65">
        <v>32</v>
      </c>
      <c r="T363">
        <v>56</v>
      </c>
      <c r="U363" t="s">
        <v>31</v>
      </c>
      <c r="V363" t="s">
        <v>32</v>
      </c>
    </row>
    <row r="364" spans="1:23" x14ac:dyDescent="0.2">
      <c r="A364" s="1" t="s">
        <v>456</v>
      </c>
      <c r="B364" t="s">
        <v>33</v>
      </c>
      <c r="C364" t="s">
        <v>28</v>
      </c>
      <c r="D364" s="65" t="str">
        <f t="shared" si="17"/>
        <v>032_V_a</v>
      </c>
      <c r="E364">
        <v>35</v>
      </c>
      <c r="F364" t="s">
        <v>70</v>
      </c>
      <c r="G364" t="s">
        <v>459</v>
      </c>
      <c r="I364">
        <v>1.35927403582884</v>
      </c>
      <c r="J364" s="82">
        <v>1.6</v>
      </c>
      <c r="K364" t="s">
        <v>57</v>
      </c>
      <c r="L364" s="82">
        <v>12.9</v>
      </c>
      <c r="M364" s="82">
        <v>28.3</v>
      </c>
      <c r="N364" s="82">
        <v>35.9</v>
      </c>
      <c r="O364" s="44">
        <f t="shared" si="19"/>
        <v>12.590420560747669</v>
      </c>
      <c r="P364">
        <f t="shared" si="18"/>
        <v>19.674999999999997</v>
      </c>
      <c r="Q364" s="111">
        <v>4.4999999999999998E-2</v>
      </c>
      <c r="R364">
        <v>0.13700000000000001</v>
      </c>
      <c r="S364" s="65">
        <v>1</v>
      </c>
      <c r="T364">
        <v>51</v>
      </c>
      <c r="U364" t="s">
        <v>31</v>
      </c>
      <c r="V364" t="s">
        <v>32</v>
      </c>
    </row>
    <row r="365" spans="1:23" x14ac:dyDescent="0.2">
      <c r="A365" s="1" t="s">
        <v>456</v>
      </c>
      <c r="B365" t="s">
        <v>33</v>
      </c>
      <c r="C365" t="s">
        <v>38</v>
      </c>
      <c r="D365" s="65" t="str">
        <f t="shared" si="17"/>
        <v>032_V_b</v>
      </c>
      <c r="E365">
        <v>52</v>
      </c>
      <c r="F365" t="s">
        <v>41</v>
      </c>
      <c r="G365" t="s">
        <v>460</v>
      </c>
      <c r="I365">
        <v>3.6073469083314702</v>
      </c>
      <c r="J365" s="82">
        <v>18.2</v>
      </c>
      <c r="K365" s="82">
        <v>38.799999999999997</v>
      </c>
      <c r="L365" s="82">
        <v>4.7</v>
      </c>
      <c r="M365" s="82">
        <v>10.8</v>
      </c>
      <c r="N365" s="82">
        <v>34.1</v>
      </c>
      <c r="O365" s="44">
        <f t="shared" si="19"/>
        <v>12.162712643678159</v>
      </c>
      <c r="P365">
        <f t="shared" si="18"/>
        <v>21.32</v>
      </c>
      <c r="Q365" s="111">
        <v>0.114</v>
      </c>
      <c r="R365">
        <v>0.41299999999999998</v>
      </c>
      <c r="S365" s="65">
        <v>19</v>
      </c>
      <c r="T365">
        <v>59</v>
      </c>
      <c r="U365" t="s">
        <v>31</v>
      </c>
      <c r="V365" t="s">
        <v>32</v>
      </c>
    </row>
    <row r="366" spans="1:23" x14ac:dyDescent="0.2">
      <c r="A366" s="5" t="s">
        <v>456</v>
      </c>
      <c r="B366" s="6" t="s">
        <v>36</v>
      </c>
      <c r="C366" s="6" t="s">
        <v>38</v>
      </c>
      <c r="D366" s="65" t="str">
        <f t="shared" si="17"/>
        <v>032_O_b</v>
      </c>
      <c r="E366">
        <v>60</v>
      </c>
      <c r="F366" t="s">
        <v>68</v>
      </c>
      <c r="G366" t="s">
        <v>461</v>
      </c>
      <c r="I366">
        <v>4.56564218455744</v>
      </c>
      <c r="J366" s="82">
        <v>30.6</v>
      </c>
      <c r="K366" s="82">
        <v>28.1</v>
      </c>
      <c r="L366" s="82">
        <v>10.3</v>
      </c>
      <c r="M366" s="82">
        <v>33.6</v>
      </c>
      <c r="N366" s="82">
        <v>33.4</v>
      </c>
      <c r="O366" s="44">
        <f t="shared" si="19"/>
        <v>4.2797920727745398</v>
      </c>
      <c r="P366">
        <f t="shared" si="18"/>
        <v>27.2</v>
      </c>
      <c r="Q366" s="111">
        <v>0.34899999999999998</v>
      </c>
      <c r="R366">
        <v>0.47899999999999998</v>
      </c>
      <c r="S366" s="65">
        <v>26</v>
      </c>
      <c r="T366">
        <v>20</v>
      </c>
      <c r="U366" t="s">
        <v>31</v>
      </c>
      <c r="V366" t="s">
        <v>32</v>
      </c>
    </row>
    <row r="367" spans="1:23" x14ac:dyDescent="0.2">
      <c r="A367" s="5" t="s">
        <v>456</v>
      </c>
      <c r="B367" s="6" t="s">
        <v>27</v>
      </c>
      <c r="C367" s="6" t="s">
        <v>38</v>
      </c>
      <c r="D367" s="65" t="str">
        <f t="shared" si="17"/>
        <v>032_S_b</v>
      </c>
      <c r="E367">
        <v>64</v>
      </c>
      <c r="F367" t="s">
        <v>82</v>
      </c>
      <c r="G367" t="s">
        <v>462</v>
      </c>
      <c r="I367">
        <v>3.3601460031634001</v>
      </c>
      <c r="J367" s="82">
        <v>34</v>
      </c>
      <c r="K367" s="82">
        <v>33.299999999999997</v>
      </c>
      <c r="L367" s="82">
        <v>6.4</v>
      </c>
      <c r="M367" s="82">
        <v>42.3</v>
      </c>
      <c r="N367" s="82">
        <v>54.4</v>
      </c>
      <c r="O367" s="44">
        <f t="shared" si="19"/>
        <v>8.4039080459770048</v>
      </c>
      <c r="P367">
        <f t="shared" si="18"/>
        <v>34.08</v>
      </c>
      <c r="Q367" s="111">
        <v>0.33400000000000002</v>
      </c>
      <c r="R367">
        <v>0.72499999999999998</v>
      </c>
      <c r="S367" s="65">
        <v>15</v>
      </c>
      <c r="T367">
        <v>79</v>
      </c>
      <c r="U367" t="s">
        <v>31</v>
      </c>
      <c r="V367" t="s">
        <v>32</v>
      </c>
    </row>
    <row r="368" spans="1:23" x14ac:dyDescent="0.2">
      <c r="A368" s="5" t="s">
        <v>456</v>
      </c>
      <c r="B368" s="6" t="s">
        <v>36</v>
      </c>
      <c r="C368" s="6" t="s">
        <v>45</v>
      </c>
      <c r="D368" s="65" t="str">
        <f t="shared" si="17"/>
        <v>032_O_c</v>
      </c>
      <c r="E368">
        <v>86</v>
      </c>
      <c r="F368" t="s">
        <v>34</v>
      </c>
      <c r="G368" t="s">
        <v>463</v>
      </c>
      <c r="I368">
        <v>4.7988219895287996</v>
      </c>
      <c r="J368" s="82">
        <v>21.5</v>
      </c>
      <c r="K368" s="82">
        <v>59.1</v>
      </c>
      <c r="L368" s="82">
        <v>24.3</v>
      </c>
      <c r="M368" s="82">
        <v>24.3</v>
      </c>
      <c r="N368" s="82">
        <v>37.5</v>
      </c>
      <c r="O368" s="44">
        <f t="shared" si="19"/>
        <v>9.9368421052631692</v>
      </c>
      <c r="P368">
        <f t="shared" si="18"/>
        <v>33.339999999999996</v>
      </c>
      <c r="Q368" s="111">
        <v>0.54600000000000004</v>
      </c>
      <c r="R368">
        <v>0.71799999999999997</v>
      </c>
      <c r="S368" s="65">
        <v>18</v>
      </c>
      <c r="T368">
        <v>25</v>
      </c>
      <c r="U368" t="s">
        <v>72</v>
      </c>
      <c r="V368" t="s">
        <v>32</v>
      </c>
    </row>
    <row r="369" spans="1:23" x14ac:dyDescent="0.2">
      <c r="A369" s="5" t="s">
        <v>456</v>
      </c>
      <c r="B369" s="6" t="s">
        <v>27</v>
      </c>
      <c r="C369" s="6" t="s">
        <v>45</v>
      </c>
      <c r="D369" s="65" t="str">
        <f t="shared" si="17"/>
        <v>032_S_c</v>
      </c>
      <c r="E369">
        <v>87</v>
      </c>
      <c r="F369" t="s">
        <v>68</v>
      </c>
      <c r="G369" t="s">
        <v>464</v>
      </c>
      <c r="I369">
        <v>2.4808122055194102</v>
      </c>
      <c r="J369" s="82">
        <v>2.2999999999999998</v>
      </c>
      <c r="K369" s="82">
        <v>30.2</v>
      </c>
      <c r="L369" s="82">
        <v>33</v>
      </c>
      <c r="M369" s="82">
        <v>12.2</v>
      </c>
      <c r="N369" s="82">
        <v>34.1</v>
      </c>
      <c r="O369" s="44">
        <f t="shared" si="19"/>
        <v>11.082754182754179</v>
      </c>
      <c r="P369">
        <f t="shared" si="18"/>
        <v>22.360000000000003</v>
      </c>
      <c r="Q369" s="111">
        <v>0.13500000000000001</v>
      </c>
      <c r="R369">
        <v>0.32300000000000001</v>
      </c>
      <c r="S369" s="65">
        <v>36</v>
      </c>
      <c r="T369">
        <v>120</v>
      </c>
      <c r="U369" t="s">
        <v>72</v>
      </c>
      <c r="V369" t="s">
        <v>32</v>
      </c>
    </row>
    <row r="370" spans="1:23" x14ac:dyDescent="0.2">
      <c r="A370" s="5" t="s">
        <v>456</v>
      </c>
      <c r="B370" s="6" t="s">
        <v>33</v>
      </c>
      <c r="C370" s="6" t="s">
        <v>45</v>
      </c>
      <c r="D370" s="65" t="str">
        <f t="shared" si="17"/>
        <v>032_V_c</v>
      </c>
      <c r="E370">
        <v>91</v>
      </c>
      <c r="F370" t="s">
        <v>41</v>
      </c>
      <c r="G370" t="s">
        <v>465</v>
      </c>
      <c r="I370">
        <v>2.0548457262547299</v>
      </c>
      <c r="J370" s="82">
        <v>32.700000000000003</v>
      </c>
      <c r="K370" s="43">
        <v>1</v>
      </c>
      <c r="L370" s="82">
        <v>23.5</v>
      </c>
      <c r="M370">
        <v>13.4</v>
      </c>
      <c r="N370" s="82">
        <v>24.5</v>
      </c>
      <c r="O370" s="44">
        <f t="shared" si="19"/>
        <v>10.500661000944282</v>
      </c>
      <c r="P370">
        <f t="shared" si="18"/>
        <v>19.020000000000003</v>
      </c>
      <c r="Q370" s="111">
        <v>0.153</v>
      </c>
      <c r="R370">
        <v>0.38500000000000001</v>
      </c>
      <c r="S370" s="65">
        <v>8</v>
      </c>
      <c r="T370">
        <v>12</v>
      </c>
      <c r="U370" t="s">
        <v>47</v>
      </c>
      <c r="V370" t="s">
        <v>32</v>
      </c>
    </row>
    <row r="371" spans="1:23" s="76" customFormat="1" x14ac:dyDescent="0.2">
      <c r="A371" s="77" t="s">
        <v>456</v>
      </c>
      <c r="B371" s="20" t="s">
        <v>27</v>
      </c>
      <c r="C371" s="20" t="s">
        <v>52</v>
      </c>
      <c r="D371" s="78" t="str">
        <f t="shared" si="17"/>
        <v>032_S_d</v>
      </c>
      <c r="E371" s="76">
        <v>112</v>
      </c>
      <c r="F371" s="76" t="s">
        <v>29</v>
      </c>
      <c r="G371" s="76" t="s">
        <v>466</v>
      </c>
      <c r="H371" s="76" t="s">
        <v>56</v>
      </c>
      <c r="I371" s="76">
        <v>0</v>
      </c>
      <c r="J371" s="86">
        <v>1.1000000000000001</v>
      </c>
      <c r="K371" s="86">
        <v>1</v>
      </c>
      <c r="L371" s="86">
        <v>0.9</v>
      </c>
      <c r="M371" s="76">
        <v>1</v>
      </c>
      <c r="N371" s="86">
        <v>0.9</v>
      </c>
      <c r="O371" s="79">
        <f t="shared" si="19"/>
        <v>6.6666666666666706E-3</v>
      </c>
      <c r="P371" s="76">
        <f t="shared" si="18"/>
        <v>0.98000000000000009</v>
      </c>
      <c r="Q371" s="115"/>
      <c r="R371" s="76" t="s">
        <v>57</v>
      </c>
      <c r="S371" s="78" t="s">
        <v>57</v>
      </c>
      <c r="T371" s="76" t="s">
        <v>57</v>
      </c>
      <c r="U371" s="76" t="s">
        <v>57</v>
      </c>
      <c r="V371" t="s">
        <v>32</v>
      </c>
      <c r="W371" s="76" t="s">
        <v>67</v>
      </c>
    </row>
    <row r="372" spans="1:23" x14ac:dyDescent="0.2">
      <c r="A372" s="5" t="s">
        <v>456</v>
      </c>
      <c r="B372" s="6" t="s">
        <v>33</v>
      </c>
      <c r="C372" s="6" t="s">
        <v>52</v>
      </c>
      <c r="D372" s="65" t="str">
        <f t="shared" si="17"/>
        <v>032_V_d</v>
      </c>
      <c r="E372">
        <v>115</v>
      </c>
      <c r="F372" t="s">
        <v>63</v>
      </c>
      <c r="G372" t="s">
        <v>467</v>
      </c>
      <c r="I372">
        <v>3.7796312918594199</v>
      </c>
      <c r="J372" s="82">
        <v>29.1</v>
      </c>
      <c r="K372" s="82">
        <v>32.6</v>
      </c>
      <c r="L372" s="82">
        <v>26.7</v>
      </c>
      <c r="M372">
        <v>24.2</v>
      </c>
      <c r="N372" s="82">
        <v>29.9</v>
      </c>
      <c r="O372" s="44">
        <f t="shared" si="19"/>
        <v>0.45482534043812195</v>
      </c>
      <c r="P372">
        <f t="shared" si="18"/>
        <v>28.5</v>
      </c>
      <c r="Q372" s="111">
        <v>0.24</v>
      </c>
      <c r="R372">
        <v>0.65300000000000002</v>
      </c>
      <c r="S372" s="65">
        <v>13</v>
      </c>
      <c r="T372">
        <v>22</v>
      </c>
      <c r="U372" t="s">
        <v>31</v>
      </c>
      <c r="V372" t="s">
        <v>32</v>
      </c>
    </row>
    <row r="373" spans="1:23" ht="16" x14ac:dyDescent="0.2">
      <c r="A373" s="5" t="s">
        <v>456</v>
      </c>
      <c r="B373" s="6" t="s">
        <v>36</v>
      </c>
      <c r="C373" s="6" t="s">
        <v>52</v>
      </c>
      <c r="D373" s="65" t="str">
        <f t="shared" si="17"/>
        <v>032_O_d</v>
      </c>
      <c r="E373">
        <v>131</v>
      </c>
      <c r="F373" t="s">
        <v>49</v>
      </c>
      <c r="G373" t="s">
        <v>468</v>
      </c>
      <c r="I373">
        <v>2.6187086134086299</v>
      </c>
      <c r="J373" s="82">
        <v>41.7</v>
      </c>
      <c r="K373" s="82">
        <v>37.9</v>
      </c>
      <c r="L373" s="84">
        <v>35.200000000000003</v>
      </c>
      <c r="M373">
        <v>37.1</v>
      </c>
      <c r="N373" s="82">
        <v>44</v>
      </c>
      <c r="O373" s="44">
        <f t="shared" si="19"/>
        <v>0.19615975422427037</v>
      </c>
      <c r="P373">
        <f t="shared" si="18"/>
        <v>39.18</v>
      </c>
      <c r="Q373" s="111">
        <v>0.25600000000000001</v>
      </c>
      <c r="R373">
        <v>0.46800000000000003</v>
      </c>
      <c r="S373" s="65">
        <v>17</v>
      </c>
      <c r="T373">
        <v>57</v>
      </c>
      <c r="U373" t="s">
        <v>54</v>
      </c>
      <c r="V373" t="s">
        <v>32</v>
      </c>
    </row>
    <row r="374" spans="1:23" ht="16" x14ac:dyDescent="0.2">
      <c r="A374" s="1" t="s">
        <v>469</v>
      </c>
      <c r="B374" t="s">
        <v>33</v>
      </c>
      <c r="C374" t="s">
        <v>28</v>
      </c>
      <c r="D374" s="65" t="str">
        <f t="shared" si="17"/>
        <v>033_V_a</v>
      </c>
      <c r="E374">
        <v>4</v>
      </c>
      <c r="F374" t="s">
        <v>43</v>
      </c>
      <c r="G374" t="s">
        <v>470</v>
      </c>
      <c r="I374">
        <v>0.29521426337191098</v>
      </c>
      <c r="J374" s="84">
        <v>16.5</v>
      </c>
      <c r="K374" s="82">
        <v>16.100000000000001</v>
      </c>
      <c r="L374" s="82">
        <v>17.7</v>
      </c>
      <c r="M374" s="82">
        <v>18.5</v>
      </c>
      <c r="N374" s="82">
        <v>26</v>
      </c>
      <c r="O374" s="44">
        <f t="shared" si="19"/>
        <v>7.0542635658914651E-2</v>
      </c>
      <c r="P374">
        <f t="shared" si="18"/>
        <v>18.96</v>
      </c>
      <c r="Q374" s="111">
        <v>0.11</v>
      </c>
      <c r="R374">
        <v>0.312</v>
      </c>
      <c r="S374" s="65">
        <v>15</v>
      </c>
      <c r="T374">
        <v>28</v>
      </c>
      <c r="U374" t="s">
        <v>61</v>
      </c>
      <c r="V374" t="s">
        <v>32</v>
      </c>
    </row>
    <row r="375" spans="1:23" ht="16" x14ac:dyDescent="0.2">
      <c r="A375" s="5" t="s">
        <v>469</v>
      </c>
      <c r="B375" s="6" t="s">
        <v>36</v>
      </c>
      <c r="C375" s="6" t="s">
        <v>28</v>
      </c>
      <c r="D375" s="65" t="str">
        <f t="shared" si="17"/>
        <v>033_O_a</v>
      </c>
      <c r="E375">
        <v>10</v>
      </c>
      <c r="F375" t="s">
        <v>63</v>
      </c>
      <c r="G375" t="s">
        <v>471</v>
      </c>
      <c r="I375">
        <v>2.1703399765533402</v>
      </c>
      <c r="J375" s="84">
        <v>4.4000000000000004</v>
      </c>
      <c r="K375" s="82">
        <v>26.6</v>
      </c>
      <c r="L375" s="82">
        <v>33.299999999999997</v>
      </c>
      <c r="M375" s="82">
        <v>28.5</v>
      </c>
      <c r="N375" s="82">
        <v>34.6</v>
      </c>
      <c r="O375" s="44">
        <f t="shared" si="19"/>
        <v>7.1135057471264354</v>
      </c>
      <c r="P375">
        <f t="shared" si="18"/>
        <v>25.48</v>
      </c>
      <c r="Q375" s="111">
        <v>0.17599999999999999</v>
      </c>
      <c r="R375">
        <v>0.25600000000000001</v>
      </c>
      <c r="S375" s="65">
        <v>17</v>
      </c>
      <c r="T375" s="47">
        <v>70</v>
      </c>
      <c r="U375" s="47" t="s">
        <v>54</v>
      </c>
      <c r="V375" t="s">
        <v>32</v>
      </c>
    </row>
    <row r="376" spans="1:23" ht="16" x14ac:dyDescent="0.2">
      <c r="A376" s="49" t="s">
        <v>469</v>
      </c>
      <c r="B376" s="47" t="s">
        <v>27</v>
      </c>
      <c r="C376" s="47" t="s">
        <v>28</v>
      </c>
      <c r="D376" s="67" t="str">
        <f t="shared" si="17"/>
        <v>033_S_a</v>
      </c>
      <c r="E376" s="47">
        <v>12</v>
      </c>
      <c r="F376" s="47" t="s">
        <v>68</v>
      </c>
      <c r="G376" s="47" t="s">
        <v>472</v>
      </c>
      <c r="H376" s="47"/>
      <c r="I376">
        <v>2.3992423552966899</v>
      </c>
      <c r="J376" s="84">
        <v>2.4</v>
      </c>
      <c r="K376" s="82">
        <v>3.2</v>
      </c>
      <c r="L376" s="82">
        <v>22.3</v>
      </c>
      <c r="M376" s="82">
        <v>23.8</v>
      </c>
      <c r="N376" s="82">
        <v>28.4</v>
      </c>
      <c r="O376" s="48">
        <f t="shared" si="19"/>
        <v>10.612701482914247</v>
      </c>
      <c r="P376">
        <f t="shared" si="18"/>
        <v>16.02</v>
      </c>
      <c r="Q376" s="113">
        <v>0.26800000000000002</v>
      </c>
      <c r="R376" s="47">
        <v>0.38500000000000001</v>
      </c>
      <c r="S376" s="67">
        <v>12</v>
      </c>
      <c r="T376" s="47">
        <v>13</v>
      </c>
      <c r="U376" s="47" t="s">
        <v>54</v>
      </c>
      <c r="V376" t="s">
        <v>32</v>
      </c>
      <c r="W376" s="47"/>
    </row>
    <row r="377" spans="1:23" x14ac:dyDescent="0.2">
      <c r="A377" s="5" t="s">
        <v>469</v>
      </c>
      <c r="B377" s="6" t="s">
        <v>27</v>
      </c>
      <c r="C377" s="6" t="s">
        <v>38</v>
      </c>
      <c r="D377" s="65" t="str">
        <f t="shared" si="17"/>
        <v>033_S_b</v>
      </c>
      <c r="E377">
        <v>53</v>
      </c>
      <c r="F377" t="s">
        <v>43</v>
      </c>
      <c r="G377" t="s">
        <v>473</v>
      </c>
      <c r="I377">
        <v>2.2763076923076899</v>
      </c>
      <c r="J377" s="82">
        <v>38.4</v>
      </c>
      <c r="K377" s="82">
        <v>40.4</v>
      </c>
      <c r="L377" s="82">
        <v>39</v>
      </c>
      <c r="M377" s="82">
        <v>24.6</v>
      </c>
      <c r="N377" s="82">
        <v>39</v>
      </c>
      <c r="O377" s="44">
        <f t="shared" si="19"/>
        <v>1.530337078651673</v>
      </c>
      <c r="P377">
        <f t="shared" si="18"/>
        <v>36.28</v>
      </c>
      <c r="Q377" s="111">
        <v>0.188</v>
      </c>
      <c r="R377">
        <v>0.35799999999999998</v>
      </c>
      <c r="S377" s="65">
        <v>1</v>
      </c>
      <c r="T377">
        <v>83</v>
      </c>
      <c r="U377" t="s">
        <v>31</v>
      </c>
      <c r="V377" t="s">
        <v>32</v>
      </c>
    </row>
    <row r="378" spans="1:23" x14ac:dyDescent="0.2">
      <c r="A378" s="1" t="s">
        <v>469</v>
      </c>
      <c r="B378" t="s">
        <v>33</v>
      </c>
      <c r="C378" t="s">
        <v>38</v>
      </c>
      <c r="D378" s="65" t="str">
        <f t="shared" si="17"/>
        <v>033_V_b</v>
      </c>
      <c r="E378">
        <v>54</v>
      </c>
      <c r="F378" t="s">
        <v>82</v>
      </c>
      <c r="G378" t="s">
        <v>474</v>
      </c>
      <c r="I378">
        <v>1.7520257776810999</v>
      </c>
      <c r="J378" s="82">
        <v>2.1</v>
      </c>
      <c r="K378" s="82">
        <v>30.7</v>
      </c>
      <c r="L378" s="82">
        <v>29.2</v>
      </c>
      <c r="M378" s="82">
        <v>37</v>
      </c>
      <c r="N378" s="82">
        <v>8</v>
      </c>
      <c r="O378" s="44">
        <f t="shared" si="19"/>
        <v>9.6739393939393938</v>
      </c>
      <c r="P378">
        <f t="shared" si="18"/>
        <v>21.4</v>
      </c>
      <c r="Q378" s="111">
        <v>0.109</v>
      </c>
      <c r="R378">
        <v>0.30499999999999999</v>
      </c>
      <c r="S378" s="65">
        <v>2</v>
      </c>
      <c r="T378">
        <v>51</v>
      </c>
      <c r="U378" t="s">
        <v>31</v>
      </c>
      <c r="V378" t="s">
        <v>32</v>
      </c>
    </row>
    <row r="379" spans="1:23" x14ac:dyDescent="0.2">
      <c r="A379" s="5" t="s">
        <v>469</v>
      </c>
      <c r="B379" s="6" t="s">
        <v>36</v>
      </c>
      <c r="C379" s="6" t="s">
        <v>38</v>
      </c>
      <c r="D379" s="65" t="str">
        <f t="shared" si="17"/>
        <v>033_O_b</v>
      </c>
      <c r="E379">
        <v>58</v>
      </c>
      <c r="F379" t="s">
        <v>82</v>
      </c>
      <c r="G379" t="s">
        <v>475</v>
      </c>
      <c r="I379">
        <v>4.6690070658237302</v>
      </c>
      <c r="J379" s="82">
        <v>33.6</v>
      </c>
      <c r="K379" s="82">
        <v>36.200000000000003</v>
      </c>
      <c r="L379" s="82">
        <v>42.1</v>
      </c>
      <c r="M379" s="82">
        <v>19.7</v>
      </c>
      <c r="N379" s="82">
        <v>29.5</v>
      </c>
      <c r="O379" s="44">
        <f t="shared" si="19"/>
        <v>2.7381965552178436</v>
      </c>
      <c r="P379">
        <f t="shared" si="18"/>
        <v>32.22</v>
      </c>
      <c r="Q379" s="111">
        <v>0.34100000000000003</v>
      </c>
      <c r="R379">
        <v>0.64300000000000002</v>
      </c>
      <c r="S379" s="65">
        <v>18</v>
      </c>
      <c r="T379">
        <v>68</v>
      </c>
      <c r="U379" t="s">
        <v>31</v>
      </c>
      <c r="V379" t="s">
        <v>32</v>
      </c>
    </row>
    <row r="380" spans="1:23" x14ac:dyDescent="0.2">
      <c r="A380" s="5" t="s">
        <v>469</v>
      </c>
      <c r="B380" s="6" t="s">
        <v>33</v>
      </c>
      <c r="C380" s="6" t="s">
        <v>45</v>
      </c>
      <c r="D380" s="65" t="str">
        <f t="shared" si="17"/>
        <v>033_V_c</v>
      </c>
      <c r="E380">
        <v>75</v>
      </c>
      <c r="F380" t="s">
        <v>70</v>
      </c>
      <c r="G380" t="s">
        <v>476</v>
      </c>
      <c r="H380" t="s">
        <v>56</v>
      </c>
      <c r="I380">
        <v>0</v>
      </c>
      <c r="J380" s="82">
        <v>1</v>
      </c>
      <c r="K380" s="82">
        <v>1</v>
      </c>
      <c r="L380" s="82">
        <v>1</v>
      </c>
      <c r="M380" s="82">
        <v>1</v>
      </c>
      <c r="N380" s="82">
        <v>0.9</v>
      </c>
      <c r="O380" s="44">
        <f t="shared" si="19"/>
        <v>0</v>
      </c>
      <c r="P380">
        <f t="shared" si="18"/>
        <v>0.98000000000000009</v>
      </c>
      <c r="Q380" s="111" t="s">
        <v>57</v>
      </c>
      <c r="R380" t="s">
        <v>57</v>
      </c>
      <c r="S380" s="65" t="s">
        <v>57</v>
      </c>
      <c r="T380" t="s">
        <v>57</v>
      </c>
      <c r="U380" t="s">
        <v>57</v>
      </c>
      <c r="V380" t="s">
        <v>32</v>
      </c>
      <c r="W380" t="s">
        <v>67</v>
      </c>
    </row>
    <row r="381" spans="1:23" x14ac:dyDescent="0.2">
      <c r="A381" s="5" t="s">
        <v>469</v>
      </c>
      <c r="B381" s="6" t="s">
        <v>27</v>
      </c>
      <c r="C381" s="6" t="s">
        <v>45</v>
      </c>
      <c r="D381" s="65" t="str">
        <f t="shared" si="17"/>
        <v>033_S_c</v>
      </c>
      <c r="E381">
        <v>82</v>
      </c>
      <c r="F381" t="s">
        <v>82</v>
      </c>
      <c r="G381" t="s">
        <v>477</v>
      </c>
      <c r="I381">
        <v>3.1926311097905198</v>
      </c>
      <c r="J381" s="82">
        <v>24.6</v>
      </c>
      <c r="K381" s="82">
        <v>18.899999999999999</v>
      </c>
      <c r="L381" s="82">
        <v>27.6</v>
      </c>
      <c r="M381" s="82">
        <v>25.1</v>
      </c>
      <c r="N381" s="82">
        <v>31.3</v>
      </c>
      <c r="O381" s="44">
        <f t="shared" si="19"/>
        <v>0.56174636174637094</v>
      </c>
      <c r="P381">
        <f t="shared" si="18"/>
        <v>25.499999999999996</v>
      </c>
      <c r="Q381" s="111">
        <v>0.20200000000000001</v>
      </c>
      <c r="R381">
        <v>0.46400000000000002</v>
      </c>
      <c r="S381" s="65">
        <v>24</v>
      </c>
      <c r="T381">
        <v>104</v>
      </c>
      <c r="U381" t="s">
        <v>72</v>
      </c>
      <c r="V381" t="s">
        <v>32</v>
      </c>
    </row>
    <row r="382" spans="1:23" x14ac:dyDescent="0.2">
      <c r="A382" s="5" t="s">
        <v>469</v>
      </c>
      <c r="B382" s="6" t="s">
        <v>36</v>
      </c>
      <c r="C382" s="6" t="s">
        <v>45</v>
      </c>
      <c r="D382" s="65" t="str">
        <f t="shared" si="17"/>
        <v>033_O_c</v>
      </c>
      <c r="E382">
        <v>98</v>
      </c>
      <c r="F382" t="s">
        <v>43</v>
      </c>
      <c r="G382" t="s">
        <v>478</v>
      </c>
      <c r="I382">
        <v>1.7483924379093001</v>
      </c>
      <c r="J382" s="82">
        <v>14.9</v>
      </c>
      <c r="K382" s="82">
        <v>26.5</v>
      </c>
      <c r="L382" s="82">
        <v>33.6</v>
      </c>
      <c r="M382">
        <v>38.6</v>
      </c>
      <c r="N382" s="82">
        <v>27.1</v>
      </c>
      <c r="O382" s="44">
        <f t="shared" si="19"/>
        <v>3.7199530516431984</v>
      </c>
      <c r="P382">
        <f t="shared" si="18"/>
        <v>28.139999999999997</v>
      </c>
      <c r="Q382" s="111">
        <v>0.10299999999999999</v>
      </c>
      <c r="R382">
        <v>0.28299999999999997</v>
      </c>
      <c r="S382" s="65">
        <v>8</v>
      </c>
      <c r="T382">
        <v>21</v>
      </c>
      <c r="U382" t="s">
        <v>31</v>
      </c>
      <c r="V382" t="s">
        <v>32</v>
      </c>
    </row>
    <row r="383" spans="1:23" ht="16" x14ac:dyDescent="0.2">
      <c r="A383" s="5" t="s">
        <v>469</v>
      </c>
      <c r="B383" s="6" t="s">
        <v>36</v>
      </c>
      <c r="C383" s="6" t="s">
        <v>52</v>
      </c>
      <c r="D383" s="65" t="str">
        <f t="shared" si="17"/>
        <v>033_O_d</v>
      </c>
      <c r="E383">
        <v>133</v>
      </c>
      <c r="F383" t="s">
        <v>70</v>
      </c>
      <c r="G383" t="s">
        <v>479</v>
      </c>
      <c r="I383">
        <v>3.5173781867551699</v>
      </c>
      <c r="J383" s="82">
        <v>22.7</v>
      </c>
      <c r="K383" s="82">
        <v>24.3</v>
      </c>
      <c r="L383" s="84">
        <v>33.299999999999997</v>
      </c>
      <c r="M383">
        <v>3.3</v>
      </c>
      <c r="N383" s="82">
        <v>35.299999999999997</v>
      </c>
      <c r="O383" s="44">
        <f t="shared" si="19"/>
        <v>7.628708133971295</v>
      </c>
      <c r="P383">
        <f t="shared" si="18"/>
        <v>23.779999999999998</v>
      </c>
      <c r="Q383" s="111">
        <v>0.19500000000000001</v>
      </c>
      <c r="R383">
        <v>0.54900000000000004</v>
      </c>
      <c r="S383" s="65">
        <v>46</v>
      </c>
      <c r="T383">
        <v>26</v>
      </c>
      <c r="U383" t="s">
        <v>51</v>
      </c>
      <c r="V383" t="s">
        <v>32</v>
      </c>
    </row>
    <row r="384" spans="1:23" ht="16" x14ac:dyDescent="0.2">
      <c r="A384" s="5" t="s">
        <v>469</v>
      </c>
      <c r="B384" s="6" t="s">
        <v>27</v>
      </c>
      <c r="C384" s="6" t="s">
        <v>52</v>
      </c>
      <c r="D384" s="65" t="str">
        <f t="shared" si="17"/>
        <v>033_S_d</v>
      </c>
      <c r="E384">
        <v>136</v>
      </c>
      <c r="F384" t="s">
        <v>70</v>
      </c>
      <c r="G384" t="s">
        <v>480</v>
      </c>
      <c r="H384" t="s">
        <v>56</v>
      </c>
      <c r="I384">
        <v>0</v>
      </c>
      <c r="J384" s="82">
        <v>1.1000000000000001</v>
      </c>
      <c r="K384" s="82">
        <v>1</v>
      </c>
      <c r="L384" s="84">
        <v>1</v>
      </c>
      <c r="M384" s="82">
        <v>1</v>
      </c>
      <c r="N384" s="82">
        <v>1</v>
      </c>
      <c r="O384" s="44">
        <f t="shared" si="19"/>
        <v>2.4390243902439068E-3</v>
      </c>
      <c r="P384">
        <f t="shared" si="18"/>
        <v>1.02</v>
      </c>
      <c r="Q384" s="111" t="s">
        <v>57</v>
      </c>
      <c r="R384" t="s">
        <v>57</v>
      </c>
      <c r="S384" s="65" t="s">
        <v>57</v>
      </c>
      <c r="T384" t="s">
        <v>57</v>
      </c>
      <c r="V384" t="s">
        <v>32</v>
      </c>
      <c r="W384" t="s">
        <v>67</v>
      </c>
    </row>
    <row r="385" spans="1:23" ht="16" x14ac:dyDescent="0.2">
      <c r="A385" s="5" t="s">
        <v>469</v>
      </c>
      <c r="B385" s="6" t="s">
        <v>33</v>
      </c>
      <c r="C385" s="6" t="s">
        <v>52</v>
      </c>
      <c r="D385" s="65" t="str">
        <f t="shared" si="17"/>
        <v>033_V_d</v>
      </c>
      <c r="E385">
        <v>144</v>
      </c>
      <c r="F385" t="s">
        <v>29</v>
      </c>
      <c r="G385" t="s">
        <v>481</v>
      </c>
      <c r="I385">
        <v>1.1471258134490201</v>
      </c>
      <c r="J385" s="82">
        <v>5.4</v>
      </c>
      <c r="K385" s="82">
        <v>3</v>
      </c>
      <c r="L385" s="84">
        <v>24.1</v>
      </c>
      <c r="M385" s="82">
        <v>16.899999999999999</v>
      </c>
      <c r="N385" s="82">
        <v>20.6</v>
      </c>
      <c r="O385" s="44">
        <f t="shared" si="19"/>
        <v>7.9484480431848858</v>
      </c>
      <c r="P385">
        <f t="shared" si="18"/>
        <v>14</v>
      </c>
      <c r="Q385" s="111">
        <v>0.20200000000000001</v>
      </c>
      <c r="R385">
        <v>0.34499999999999997</v>
      </c>
      <c r="S385" s="65">
        <v>21</v>
      </c>
      <c r="T385">
        <v>41</v>
      </c>
      <c r="U385" t="s">
        <v>72</v>
      </c>
      <c r="V385" t="s">
        <v>32</v>
      </c>
    </row>
    <row r="386" spans="1:23" ht="16" x14ac:dyDescent="0.2">
      <c r="A386" s="5" t="s">
        <v>482</v>
      </c>
      <c r="B386" s="6" t="s">
        <v>36</v>
      </c>
      <c r="C386" s="6" t="s">
        <v>28</v>
      </c>
      <c r="D386" s="65" t="str">
        <f t="shared" ref="D386:D449" si="20">A386&amp;"_"&amp;B386&amp;"_"&amp;C386</f>
        <v>034_O_a</v>
      </c>
      <c r="E386">
        <v>2</v>
      </c>
      <c r="F386" t="s">
        <v>34</v>
      </c>
      <c r="G386" t="s">
        <v>483</v>
      </c>
      <c r="I386">
        <v>2.9733949733038201</v>
      </c>
      <c r="J386" s="84">
        <v>17.2</v>
      </c>
      <c r="K386" s="82">
        <v>21.3</v>
      </c>
      <c r="L386" s="82">
        <v>23</v>
      </c>
      <c r="M386" s="82">
        <v>25</v>
      </c>
      <c r="N386" s="82">
        <v>36.4</v>
      </c>
      <c r="O386" s="44">
        <f t="shared" si="19"/>
        <v>0.50816955684007659</v>
      </c>
      <c r="P386">
        <f t="shared" ref="P386:P449" si="21">AVERAGE(J386:N386)</f>
        <v>24.580000000000002</v>
      </c>
      <c r="Q386" s="111">
        <v>0.23599999999999999</v>
      </c>
      <c r="R386">
        <v>0.53100000000000003</v>
      </c>
      <c r="S386" s="65">
        <v>18</v>
      </c>
      <c r="T386">
        <v>37</v>
      </c>
      <c r="U386" t="s">
        <v>54</v>
      </c>
      <c r="V386" t="s">
        <v>32</v>
      </c>
    </row>
    <row r="387" spans="1:23" x14ac:dyDescent="0.2">
      <c r="A387" s="1" t="s">
        <v>482</v>
      </c>
      <c r="B387" t="s">
        <v>33</v>
      </c>
      <c r="C387" t="s">
        <v>28</v>
      </c>
      <c r="D387" s="65" t="str">
        <f t="shared" si="20"/>
        <v>034_V_a</v>
      </c>
      <c r="E387">
        <v>28</v>
      </c>
      <c r="F387" t="s">
        <v>43</v>
      </c>
      <c r="G387" t="s">
        <v>484</v>
      </c>
      <c r="I387">
        <v>4.5540983606557397</v>
      </c>
      <c r="J387" s="82">
        <v>29.8</v>
      </c>
      <c r="K387" t="s">
        <v>57</v>
      </c>
      <c r="L387" s="82">
        <v>6.8</v>
      </c>
      <c r="M387" s="82">
        <v>2.6</v>
      </c>
      <c r="N387" s="82">
        <v>34.299999999999997</v>
      </c>
      <c r="O387" s="44">
        <f t="shared" si="19"/>
        <v>16.409183673469382</v>
      </c>
      <c r="P387">
        <f t="shared" si="21"/>
        <v>18.375</v>
      </c>
      <c r="Q387" s="111">
        <v>0.42399999999999999</v>
      </c>
      <c r="R387">
        <v>0.63600000000000001</v>
      </c>
      <c r="S387" s="65">
        <v>20</v>
      </c>
      <c r="T387">
        <v>27</v>
      </c>
      <c r="U387" t="s">
        <v>31</v>
      </c>
      <c r="V387" t="s">
        <v>32</v>
      </c>
    </row>
    <row r="388" spans="1:23" s="62" customFormat="1" x14ac:dyDescent="0.2">
      <c r="A388" s="5" t="s">
        <v>482</v>
      </c>
      <c r="B388" s="6" t="s">
        <v>27</v>
      </c>
      <c r="C388" s="6" t="s">
        <v>28</v>
      </c>
      <c r="D388" s="65" t="str">
        <f t="shared" si="20"/>
        <v>034_S_a</v>
      </c>
      <c r="E388">
        <v>36</v>
      </c>
      <c r="F388" t="s">
        <v>43</v>
      </c>
      <c r="G388" t="s">
        <v>485</v>
      </c>
      <c r="H388"/>
      <c r="I388">
        <v>3.68409032720569</v>
      </c>
      <c r="J388" s="43">
        <v>1</v>
      </c>
      <c r="K388" s="82">
        <v>30.5</v>
      </c>
      <c r="L388" s="82">
        <v>39</v>
      </c>
      <c r="M388" s="82">
        <v>34.299999999999997</v>
      </c>
      <c r="N388" s="82">
        <v>24.4</v>
      </c>
      <c r="O388" s="44">
        <f t="shared" si="19"/>
        <v>11.233842239185751</v>
      </c>
      <c r="P388">
        <f t="shared" si="21"/>
        <v>25.839999999999996</v>
      </c>
      <c r="Q388" s="111">
        <v>0.25600000000000001</v>
      </c>
      <c r="R388">
        <v>0.40400000000000003</v>
      </c>
      <c r="S388" s="65">
        <v>18</v>
      </c>
      <c r="T388">
        <v>11</v>
      </c>
      <c r="U388" t="s">
        <v>31</v>
      </c>
      <c r="V388" t="s">
        <v>32</v>
      </c>
      <c r="W388"/>
    </row>
    <row r="389" spans="1:23" x14ac:dyDescent="0.2">
      <c r="A389" s="5" t="s">
        <v>482</v>
      </c>
      <c r="B389" s="6" t="s">
        <v>36</v>
      </c>
      <c r="C389" s="6" t="s">
        <v>38</v>
      </c>
      <c r="D389" s="65" t="str">
        <f t="shared" si="20"/>
        <v>034_O_b</v>
      </c>
      <c r="E389">
        <v>46</v>
      </c>
      <c r="F389" t="s">
        <v>63</v>
      </c>
      <c r="G389" t="s">
        <v>486</v>
      </c>
      <c r="I389">
        <v>2.50153139356815</v>
      </c>
      <c r="J389" s="82">
        <v>20.399999999999999</v>
      </c>
      <c r="K389" s="82">
        <v>34.5</v>
      </c>
      <c r="L389" s="82">
        <v>30.5</v>
      </c>
      <c r="M389" s="82">
        <v>31.7</v>
      </c>
      <c r="N389" s="82">
        <v>44.7</v>
      </c>
      <c r="O389" s="44">
        <f t="shared" si="19"/>
        <v>1.2917449473384492</v>
      </c>
      <c r="P389">
        <f t="shared" si="21"/>
        <v>32.36</v>
      </c>
      <c r="Q389" s="111">
        <v>0.249</v>
      </c>
      <c r="R389">
        <v>0.39200000000000002</v>
      </c>
      <c r="S389" s="65">
        <v>17</v>
      </c>
      <c r="T389" s="43">
        <v>6</v>
      </c>
      <c r="U389" t="s">
        <v>31</v>
      </c>
      <c r="V389" t="s">
        <v>32</v>
      </c>
    </row>
    <row r="390" spans="1:23" x14ac:dyDescent="0.2">
      <c r="A390" s="1" t="s">
        <v>482</v>
      </c>
      <c r="B390" t="s">
        <v>33</v>
      </c>
      <c r="C390" t="s">
        <v>38</v>
      </c>
      <c r="D390" s="65" t="str">
        <f t="shared" si="20"/>
        <v>034_V_b</v>
      </c>
      <c r="E390">
        <v>50</v>
      </c>
      <c r="F390" t="s">
        <v>49</v>
      </c>
      <c r="G390" t="s">
        <v>487</v>
      </c>
      <c r="I390">
        <v>2.88228506846795</v>
      </c>
      <c r="J390" s="82">
        <v>34.4</v>
      </c>
      <c r="K390" s="82">
        <v>6.7</v>
      </c>
      <c r="L390" s="82">
        <v>22</v>
      </c>
      <c r="M390" s="82">
        <v>20.2</v>
      </c>
      <c r="N390" s="82">
        <v>9.6999999999999993</v>
      </c>
      <c r="O390" s="44">
        <f t="shared" si="19"/>
        <v>6.1715486194477807</v>
      </c>
      <c r="P390">
        <f t="shared" si="21"/>
        <v>18.600000000000001</v>
      </c>
      <c r="Q390" s="111">
        <v>0.18</v>
      </c>
      <c r="R390">
        <v>0.40100000000000002</v>
      </c>
      <c r="S390" s="65">
        <v>13</v>
      </c>
      <c r="T390" s="43">
        <v>4</v>
      </c>
      <c r="U390" t="s">
        <v>31</v>
      </c>
      <c r="V390" t="s">
        <v>32</v>
      </c>
    </row>
    <row r="391" spans="1:23" x14ac:dyDescent="0.2">
      <c r="A391" s="5" t="s">
        <v>482</v>
      </c>
      <c r="B391" s="6" t="s">
        <v>27</v>
      </c>
      <c r="C391" s="6" t="s">
        <v>38</v>
      </c>
      <c r="D391" s="65" t="str">
        <f t="shared" si="20"/>
        <v>034_S_b</v>
      </c>
      <c r="E391">
        <v>56</v>
      </c>
      <c r="F391" t="s">
        <v>34</v>
      </c>
      <c r="G391" t="s">
        <v>488</v>
      </c>
      <c r="I391">
        <v>3.71286848635236</v>
      </c>
      <c r="J391" s="82">
        <v>25.2</v>
      </c>
      <c r="K391" s="82">
        <v>31</v>
      </c>
      <c r="L391" s="82">
        <v>47.1</v>
      </c>
      <c r="M391" s="82">
        <v>51.7</v>
      </c>
      <c r="N391" s="82">
        <v>44.6</v>
      </c>
      <c r="O391" s="44">
        <f t="shared" si="19"/>
        <v>4.1384086021505384</v>
      </c>
      <c r="P391">
        <f t="shared" si="21"/>
        <v>39.92</v>
      </c>
      <c r="Q391" s="111">
        <v>0.40300000000000002</v>
      </c>
      <c r="R391">
        <v>0.57399999999999995</v>
      </c>
      <c r="S391" s="65">
        <v>26</v>
      </c>
      <c r="T391">
        <v>21</v>
      </c>
      <c r="U391" t="s">
        <v>31</v>
      </c>
      <c r="V391" t="s">
        <v>32</v>
      </c>
    </row>
    <row r="392" spans="1:23" x14ac:dyDescent="0.2">
      <c r="A392" s="5" t="s">
        <v>482</v>
      </c>
      <c r="B392" s="6" t="s">
        <v>33</v>
      </c>
      <c r="C392" s="6" t="s">
        <v>45</v>
      </c>
      <c r="D392" s="65" t="str">
        <f t="shared" si="20"/>
        <v>034_V_c</v>
      </c>
      <c r="E392">
        <v>98</v>
      </c>
      <c r="F392" t="s">
        <v>49</v>
      </c>
      <c r="G392" t="s">
        <v>489</v>
      </c>
      <c r="I392">
        <v>2.5701099715803801</v>
      </c>
      <c r="J392" s="82">
        <v>47.3</v>
      </c>
      <c r="K392" s="82">
        <v>2.7</v>
      </c>
      <c r="L392" s="82">
        <v>47.3</v>
      </c>
      <c r="M392">
        <v>6</v>
      </c>
      <c r="N392" s="82">
        <v>21.2</v>
      </c>
      <c r="O392" s="44">
        <f t="shared" si="19"/>
        <v>23.880574378831874</v>
      </c>
      <c r="P392">
        <f t="shared" si="21"/>
        <v>24.9</v>
      </c>
      <c r="Q392" s="111">
        <v>0.39200000000000002</v>
      </c>
      <c r="R392">
        <v>0.55100000000000005</v>
      </c>
      <c r="S392" s="65">
        <v>10</v>
      </c>
      <c r="T392">
        <v>46</v>
      </c>
      <c r="U392" t="s">
        <v>31</v>
      </c>
      <c r="V392" t="s">
        <v>32</v>
      </c>
    </row>
    <row r="393" spans="1:23" x14ac:dyDescent="0.2">
      <c r="A393" s="5" t="s">
        <v>482</v>
      </c>
      <c r="B393" s="6" t="s">
        <v>36</v>
      </c>
      <c r="C393" s="6" t="s">
        <v>45</v>
      </c>
      <c r="D393" s="65" t="str">
        <f t="shared" si="20"/>
        <v>034_O_c</v>
      </c>
      <c r="E393">
        <v>100</v>
      </c>
      <c r="F393" t="s">
        <v>29</v>
      </c>
      <c r="G393" t="s">
        <v>490</v>
      </c>
      <c r="I393">
        <v>2.85282502800281</v>
      </c>
      <c r="J393" s="82">
        <v>37.200000000000003</v>
      </c>
      <c r="K393" s="82">
        <v>28.5</v>
      </c>
      <c r="L393" s="82">
        <v>40.6</v>
      </c>
      <c r="M393">
        <v>28.1</v>
      </c>
      <c r="N393" s="82">
        <v>25.9</v>
      </c>
      <c r="O393" s="44">
        <f t="shared" si="19"/>
        <v>1.1728174603174628</v>
      </c>
      <c r="P393">
        <f t="shared" si="21"/>
        <v>32.06</v>
      </c>
      <c r="Q393" s="111">
        <v>0.42299999999999999</v>
      </c>
      <c r="R393">
        <v>0.56100000000000005</v>
      </c>
      <c r="S393" s="65">
        <v>15</v>
      </c>
      <c r="T393">
        <v>13</v>
      </c>
      <c r="U393" t="s">
        <v>47</v>
      </c>
      <c r="V393" t="s">
        <v>32</v>
      </c>
    </row>
    <row r="394" spans="1:23" x14ac:dyDescent="0.2">
      <c r="A394" s="5" t="s">
        <v>482</v>
      </c>
      <c r="B394" s="6" t="s">
        <v>27</v>
      </c>
      <c r="C394" s="6" t="s">
        <v>45</v>
      </c>
      <c r="D394" s="65" t="str">
        <f t="shared" si="20"/>
        <v>034_S_c</v>
      </c>
      <c r="E394">
        <v>103</v>
      </c>
      <c r="F394" t="s">
        <v>68</v>
      </c>
      <c r="G394" t="s">
        <v>491</v>
      </c>
      <c r="I394">
        <v>5.91481576714407</v>
      </c>
      <c r="J394" s="82">
        <v>4.7</v>
      </c>
      <c r="K394" s="82">
        <v>3.9</v>
      </c>
      <c r="L394" s="82">
        <v>46.4</v>
      </c>
      <c r="M394">
        <v>5.4</v>
      </c>
      <c r="N394" s="82">
        <v>16</v>
      </c>
      <c r="O394" s="44">
        <f t="shared" si="19"/>
        <v>28.86048565121413</v>
      </c>
      <c r="P394">
        <f t="shared" si="21"/>
        <v>15.280000000000001</v>
      </c>
      <c r="Q394" s="111">
        <v>0.45900000000000002</v>
      </c>
      <c r="R394">
        <v>0.753</v>
      </c>
      <c r="S394" s="65">
        <v>17</v>
      </c>
      <c r="T394">
        <v>26</v>
      </c>
      <c r="U394" t="s">
        <v>72</v>
      </c>
      <c r="V394" t="s">
        <v>32</v>
      </c>
    </row>
    <row r="395" spans="1:23" x14ac:dyDescent="0.2">
      <c r="A395" s="5" t="s">
        <v>482</v>
      </c>
      <c r="B395" s="6" t="s">
        <v>33</v>
      </c>
      <c r="C395" s="6" t="s">
        <v>52</v>
      </c>
      <c r="D395" s="65" t="str">
        <f t="shared" si="20"/>
        <v>034_V_d</v>
      </c>
      <c r="E395">
        <v>109</v>
      </c>
      <c r="F395" t="s">
        <v>34</v>
      </c>
      <c r="G395" t="s">
        <v>492</v>
      </c>
      <c r="I395">
        <v>4.6663268246193397</v>
      </c>
      <c r="J395" s="82">
        <v>14.6</v>
      </c>
      <c r="K395" s="82">
        <v>43.3</v>
      </c>
      <c r="L395" s="82">
        <v>40.4</v>
      </c>
      <c r="M395">
        <v>39.1</v>
      </c>
      <c r="N395" s="82">
        <v>40.799999999999997</v>
      </c>
      <c r="O395" s="44">
        <f t="shared" si="19"/>
        <v>5.1366327025715579</v>
      </c>
      <c r="P395">
        <f t="shared" si="21"/>
        <v>35.64</v>
      </c>
      <c r="Q395" s="111">
        <v>0.38400000000000001</v>
      </c>
      <c r="R395">
        <v>0.621</v>
      </c>
      <c r="S395" s="65">
        <v>19</v>
      </c>
      <c r="T395">
        <v>27</v>
      </c>
      <c r="U395" t="s">
        <v>54</v>
      </c>
      <c r="V395" t="s">
        <v>32</v>
      </c>
    </row>
    <row r="396" spans="1:23" x14ac:dyDescent="0.2">
      <c r="A396" s="5" t="s">
        <v>482</v>
      </c>
      <c r="B396" s="6" t="s">
        <v>36</v>
      </c>
      <c r="C396" s="6" t="s">
        <v>52</v>
      </c>
      <c r="D396" s="65" t="str">
        <f t="shared" si="20"/>
        <v>034_O_d</v>
      </c>
      <c r="E396">
        <v>113</v>
      </c>
      <c r="F396" t="s">
        <v>70</v>
      </c>
      <c r="G396" t="s">
        <v>493</v>
      </c>
      <c r="I396">
        <v>2.9942276518266202</v>
      </c>
      <c r="J396" s="82">
        <v>21.1</v>
      </c>
      <c r="K396" s="82">
        <v>31.4</v>
      </c>
      <c r="L396" s="82">
        <v>36.5</v>
      </c>
      <c r="M396">
        <v>32.200000000000003</v>
      </c>
      <c r="N396" s="82">
        <v>38.9</v>
      </c>
      <c r="O396" s="44">
        <f t="shared" si="19"/>
        <v>1.4070407040704078</v>
      </c>
      <c r="P396">
        <f t="shared" si="21"/>
        <v>32.019999999999996</v>
      </c>
      <c r="Q396" s="111">
        <v>0.26900000000000002</v>
      </c>
      <c r="R396">
        <v>0.46899999999999997</v>
      </c>
      <c r="S396" s="65">
        <v>20</v>
      </c>
      <c r="T396">
        <v>50</v>
      </c>
      <c r="U396" t="s">
        <v>54</v>
      </c>
      <c r="V396" t="s">
        <v>32</v>
      </c>
    </row>
    <row r="397" spans="1:23" ht="16" x14ac:dyDescent="0.2">
      <c r="A397" s="5" t="s">
        <v>482</v>
      </c>
      <c r="B397" s="6" t="s">
        <v>27</v>
      </c>
      <c r="C397" s="6" t="s">
        <v>52</v>
      </c>
      <c r="D397" s="65" t="str">
        <f t="shared" si="20"/>
        <v>034_S_d</v>
      </c>
      <c r="E397">
        <v>140</v>
      </c>
      <c r="F397" t="s">
        <v>63</v>
      </c>
      <c r="G397" t="s">
        <v>494</v>
      </c>
      <c r="H397" t="s">
        <v>56</v>
      </c>
      <c r="I397">
        <v>0</v>
      </c>
      <c r="J397" s="82">
        <v>1.1000000000000001</v>
      </c>
      <c r="K397" s="82">
        <v>1</v>
      </c>
      <c r="L397" s="84">
        <v>1</v>
      </c>
      <c r="M397" s="82">
        <v>30.4</v>
      </c>
      <c r="N397" s="82">
        <v>37.700000000000003</v>
      </c>
      <c r="O397" s="44">
        <f t="shared" si="19"/>
        <v>25.743582089552238</v>
      </c>
      <c r="P397">
        <f t="shared" si="21"/>
        <v>14.24</v>
      </c>
      <c r="Q397" s="111" t="s">
        <v>57</v>
      </c>
      <c r="R397" t="s">
        <v>57</v>
      </c>
      <c r="S397" s="65" t="s">
        <v>57</v>
      </c>
      <c r="T397" t="s">
        <v>57</v>
      </c>
      <c r="V397" t="s">
        <v>32</v>
      </c>
      <c r="W397" t="s">
        <v>67</v>
      </c>
    </row>
    <row r="398" spans="1:23" ht="16" x14ac:dyDescent="0.2">
      <c r="A398" s="5" t="s">
        <v>495</v>
      </c>
      <c r="B398" s="6" t="s">
        <v>36</v>
      </c>
      <c r="C398" s="6" t="s">
        <v>28</v>
      </c>
      <c r="D398" s="65" t="str">
        <f t="shared" si="20"/>
        <v>035_O_a</v>
      </c>
      <c r="E398">
        <v>7</v>
      </c>
      <c r="F398" t="s">
        <v>43</v>
      </c>
      <c r="G398" t="s">
        <v>496</v>
      </c>
      <c r="I398">
        <v>2.6029242640192698</v>
      </c>
      <c r="J398" s="84">
        <v>10.1</v>
      </c>
      <c r="K398" s="82">
        <v>23.7</v>
      </c>
      <c r="L398" s="82">
        <v>28.6</v>
      </c>
      <c r="M398" s="82">
        <v>26.3</v>
      </c>
      <c r="N398" s="82">
        <v>36</v>
      </c>
      <c r="O398" s="44">
        <f t="shared" si="19"/>
        <v>3.1030063885757202</v>
      </c>
      <c r="P398">
        <f t="shared" si="21"/>
        <v>24.94</v>
      </c>
      <c r="Q398" s="111">
        <v>0.34399999999999997</v>
      </c>
      <c r="R398">
        <v>0.495</v>
      </c>
      <c r="S398" s="65">
        <v>23</v>
      </c>
      <c r="T398">
        <v>60</v>
      </c>
      <c r="U398" t="s">
        <v>31</v>
      </c>
      <c r="V398" t="s">
        <v>32</v>
      </c>
    </row>
    <row r="399" spans="1:23" ht="16" x14ac:dyDescent="0.2">
      <c r="A399" s="5" t="s">
        <v>495</v>
      </c>
      <c r="B399" s="6" t="s">
        <v>33</v>
      </c>
      <c r="C399" s="6" t="s">
        <v>28</v>
      </c>
      <c r="D399" s="65" t="str">
        <f t="shared" si="20"/>
        <v>035_V_a</v>
      </c>
      <c r="E399">
        <v>11</v>
      </c>
      <c r="F399" t="s">
        <v>82</v>
      </c>
      <c r="G399" t="s">
        <v>497</v>
      </c>
      <c r="I399">
        <v>3.7920331950207502</v>
      </c>
      <c r="J399" s="84">
        <v>22.3</v>
      </c>
      <c r="K399" s="82">
        <v>12.9</v>
      </c>
      <c r="L399" s="82">
        <v>24.6</v>
      </c>
      <c r="M399" s="82">
        <v>22.9</v>
      </c>
      <c r="N399" s="82">
        <v>28.1</v>
      </c>
      <c r="O399" s="44">
        <f t="shared" si="19"/>
        <v>1.3453849254332892</v>
      </c>
      <c r="P399">
        <f t="shared" si="21"/>
        <v>22.160000000000004</v>
      </c>
      <c r="Q399" s="111">
        <v>0.32300000000000001</v>
      </c>
      <c r="R399">
        <v>0.39100000000000001</v>
      </c>
      <c r="S399" s="65">
        <v>20</v>
      </c>
      <c r="T399" s="47">
        <v>22</v>
      </c>
      <c r="U399" s="47" t="s">
        <v>54</v>
      </c>
      <c r="V399" t="s">
        <v>32</v>
      </c>
    </row>
    <row r="400" spans="1:23" x14ac:dyDescent="0.2">
      <c r="A400" s="5" t="s">
        <v>495</v>
      </c>
      <c r="B400" s="6" t="s">
        <v>27</v>
      </c>
      <c r="C400" s="6" t="s">
        <v>28</v>
      </c>
      <c r="D400" s="65" t="str">
        <f t="shared" si="20"/>
        <v>035_S_a</v>
      </c>
      <c r="E400">
        <v>23</v>
      </c>
      <c r="F400" t="s">
        <v>63</v>
      </c>
      <c r="G400" t="s">
        <v>498</v>
      </c>
      <c r="I400">
        <v>5.1942848003412099</v>
      </c>
      <c r="J400" s="82">
        <v>6.4</v>
      </c>
      <c r="K400" s="82">
        <v>31.9</v>
      </c>
      <c r="L400" s="82">
        <v>19.2</v>
      </c>
      <c r="M400" s="82">
        <v>25.8</v>
      </c>
      <c r="N400" s="82">
        <v>28.7</v>
      </c>
      <c r="O400" s="44">
        <f t="shared" si="19"/>
        <v>5.7323329331732698</v>
      </c>
      <c r="P400">
        <f t="shared" si="21"/>
        <v>22.4</v>
      </c>
      <c r="Q400" s="111">
        <v>0.40400000000000003</v>
      </c>
      <c r="R400">
        <v>0.65300000000000002</v>
      </c>
      <c r="S400" s="65">
        <v>15</v>
      </c>
      <c r="T400" s="43">
        <v>33</v>
      </c>
      <c r="U400" t="s">
        <v>31</v>
      </c>
      <c r="V400" t="s">
        <v>32</v>
      </c>
    </row>
    <row r="401" spans="1:23" x14ac:dyDescent="0.2">
      <c r="A401" s="5" t="s">
        <v>495</v>
      </c>
      <c r="B401" s="6" t="s">
        <v>27</v>
      </c>
      <c r="C401" s="6" t="s">
        <v>38</v>
      </c>
      <c r="D401" s="65" t="str">
        <f t="shared" si="20"/>
        <v>035_S_b</v>
      </c>
      <c r="E401">
        <v>41</v>
      </c>
      <c r="F401" t="s">
        <v>68</v>
      </c>
      <c r="G401" t="s">
        <v>499</v>
      </c>
      <c r="I401">
        <v>4.0121720881427096</v>
      </c>
      <c r="J401" s="82">
        <v>12.8</v>
      </c>
      <c r="K401" s="82">
        <v>31.6</v>
      </c>
      <c r="L401" s="82">
        <v>29.9</v>
      </c>
      <c r="M401" s="82">
        <v>5.4</v>
      </c>
      <c r="N401" s="82">
        <v>41.3</v>
      </c>
      <c r="O401" s="44">
        <f t="shared" si="19"/>
        <v>8.3236721037222736</v>
      </c>
      <c r="P401">
        <f t="shared" si="21"/>
        <v>24.200000000000003</v>
      </c>
      <c r="Q401" s="111">
        <v>0.193</v>
      </c>
      <c r="R401">
        <v>0.52200000000000002</v>
      </c>
      <c r="S401" s="65">
        <v>16</v>
      </c>
      <c r="T401">
        <v>72</v>
      </c>
      <c r="U401" t="s">
        <v>31</v>
      </c>
      <c r="V401" t="s">
        <v>32</v>
      </c>
    </row>
    <row r="402" spans="1:23" x14ac:dyDescent="0.2">
      <c r="A402" s="55" t="s">
        <v>495</v>
      </c>
      <c r="B402" s="43" t="s">
        <v>33</v>
      </c>
      <c r="C402" s="43" t="s">
        <v>38</v>
      </c>
      <c r="D402" s="68" t="str">
        <f t="shared" si="20"/>
        <v>035_V_b</v>
      </c>
      <c r="E402" s="43">
        <v>42</v>
      </c>
      <c r="F402" s="43" t="s">
        <v>34</v>
      </c>
      <c r="G402" s="43" t="s">
        <v>500</v>
      </c>
      <c r="H402" s="43"/>
      <c r="I402">
        <v>3.1312073755998999</v>
      </c>
      <c r="J402" s="82">
        <v>31.9</v>
      </c>
      <c r="K402" s="82">
        <v>14.1</v>
      </c>
      <c r="L402" s="82">
        <v>33.799999999999997</v>
      </c>
      <c r="M402" s="82">
        <v>32.1</v>
      </c>
      <c r="N402" s="82">
        <v>36.4</v>
      </c>
      <c r="O402" s="56">
        <f t="shared" si="19"/>
        <v>3.0845099791480415</v>
      </c>
      <c r="P402" s="43">
        <f t="shared" si="21"/>
        <v>29.660000000000004</v>
      </c>
      <c r="Q402" s="114">
        <v>0.14499999999999999</v>
      </c>
      <c r="R402" s="43">
        <v>0.38700000000000001</v>
      </c>
      <c r="S402" s="68">
        <v>13</v>
      </c>
      <c r="T402" s="43">
        <v>60</v>
      </c>
      <c r="U402" s="43" t="s">
        <v>31</v>
      </c>
      <c r="V402" t="s">
        <v>32</v>
      </c>
      <c r="W402" s="43"/>
    </row>
    <row r="403" spans="1:23" x14ac:dyDescent="0.2">
      <c r="A403" s="5" t="s">
        <v>495</v>
      </c>
      <c r="B403" s="6" t="s">
        <v>36</v>
      </c>
      <c r="C403" s="6" t="s">
        <v>38</v>
      </c>
      <c r="D403" s="65" t="str">
        <f t="shared" si="20"/>
        <v>035_O_b</v>
      </c>
      <c r="E403">
        <v>44</v>
      </c>
      <c r="F403" t="s">
        <v>49</v>
      </c>
      <c r="G403" t="s">
        <v>501</v>
      </c>
      <c r="I403">
        <v>1.2755037593984999</v>
      </c>
      <c r="J403" s="82">
        <v>27.6</v>
      </c>
      <c r="K403" s="82">
        <v>28.8</v>
      </c>
      <c r="L403" s="82">
        <v>25.5</v>
      </c>
      <c r="M403" s="82">
        <v>29.7</v>
      </c>
      <c r="N403" s="82">
        <v>34</v>
      </c>
      <c r="O403" s="44">
        <f t="shared" si="19"/>
        <v>0.11827956989247308</v>
      </c>
      <c r="P403">
        <f t="shared" si="21"/>
        <v>29.120000000000005</v>
      </c>
      <c r="Q403" s="111">
        <v>0.106</v>
      </c>
      <c r="R403">
        <v>0.26</v>
      </c>
      <c r="S403" s="65">
        <v>11</v>
      </c>
      <c r="T403">
        <v>30</v>
      </c>
      <c r="U403" t="s">
        <v>31</v>
      </c>
      <c r="V403" t="s">
        <v>32</v>
      </c>
    </row>
    <row r="404" spans="1:23" s="43" customFormat="1" x14ac:dyDescent="0.2">
      <c r="A404" s="5" t="s">
        <v>495</v>
      </c>
      <c r="B404" s="6" t="s">
        <v>33</v>
      </c>
      <c r="C404" s="6" t="s">
        <v>45</v>
      </c>
      <c r="D404" s="65" t="str">
        <f t="shared" si="20"/>
        <v>035_V_c</v>
      </c>
      <c r="E404">
        <v>78</v>
      </c>
      <c r="F404" t="s">
        <v>34</v>
      </c>
      <c r="G404" t="s">
        <v>502</v>
      </c>
      <c r="H404"/>
      <c r="I404">
        <v>3.29012914253157</v>
      </c>
      <c r="J404" s="82">
        <v>38.1</v>
      </c>
      <c r="K404" s="82">
        <v>15.9</v>
      </c>
      <c r="L404" s="82">
        <v>33.5</v>
      </c>
      <c r="M404" s="82">
        <v>33.5</v>
      </c>
      <c r="N404" s="82">
        <v>38.700000000000003</v>
      </c>
      <c r="O404" s="44">
        <f t="shared" si="19"/>
        <v>3.1809366391184581</v>
      </c>
      <c r="P404">
        <f t="shared" si="21"/>
        <v>31.939999999999998</v>
      </c>
      <c r="Q404" s="111">
        <v>0.28599999999999998</v>
      </c>
      <c r="R404">
        <v>0.45500000000000002</v>
      </c>
      <c r="S404" s="65">
        <v>7</v>
      </c>
      <c r="T404">
        <v>73</v>
      </c>
      <c r="U404" t="s">
        <v>31</v>
      </c>
      <c r="V404" t="s">
        <v>32</v>
      </c>
      <c r="W404"/>
    </row>
    <row r="405" spans="1:23" x14ac:dyDescent="0.2">
      <c r="A405" s="5" t="s">
        <v>495</v>
      </c>
      <c r="B405" s="6" t="s">
        <v>36</v>
      </c>
      <c r="C405" s="6" t="s">
        <v>45</v>
      </c>
      <c r="D405" s="65" t="str">
        <f t="shared" si="20"/>
        <v>035_O_c</v>
      </c>
      <c r="E405">
        <v>80</v>
      </c>
      <c r="F405" t="s">
        <v>70</v>
      </c>
      <c r="G405" t="s">
        <v>503</v>
      </c>
      <c r="I405">
        <v>5.4269585904744</v>
      </c>
      <c r="J405" s="82">
        <v>31.3</v>
      </c>
      <c r="K405" s="82">
        <v>34.200000000000003</v>
      </c>
      <c r="L405" s="82">
        <v>36.299999999999997</v>
      </c>
      <c r="M405" s="82">
        <v>42.2</v>
      </c>
      <c r="N405" s="82">
        <v>38.6</v>
      </c>
      <c r="O405" s="44">
        <f t="shared" si="19"/>
        <v>0.59129629629629332</v>
      </c>
      <c r="P405">
        <f t="shared" si="21"/>
        <v>36.519999999999996</v>
      </c>
      <c r="Q405" s="111">
        <v>0.438</v>
      </c>
      <c r="R405">
        <v>0.70899999999999996</v>
      </c>
      <c r="S405" s="65">
        <v>7</v>
      </c>
      <c r="T405">
        <v>74</v>
      </c>
      <c r="U405" t="s">
        <v>31</v>
      </c>
      <c r="V405" t="s">
        <v>32</v>
      </c>
    </row>
    <row r="406" spans="1:23" x14ac:dyDescent="0.2">
      <c r="A406" s="5" t="s">
        <v>495</v>
      </c>
      <c r="B406" s="6" t="s">
        <v>27</v>
      </c>
      <c r="C406" s="6" t="s">
        <v>45</v>
      </c>
      <c r="D406" s="65" t="str">
        <f t="shared" si="20"/>
        <v>035_S_c</v>
      </c>
      <c r="E406">
        <v>89</v>
      </c>
      <c r="F406" t="s">
        <v>82</v>
      </c>
      <c r="G406" t="s">
        <v>504</v>
      </c>
      <c r="I406">
        <v>1.8787677856057501</v>
      </c>
      <c r="J406" s="82">
        <v>27.5</v>
      </c>
      <c r="K406" s="82">
        <v>4.7</v>
      </c>
      <c r="L406" s="82">
        <v>13.8</v>
      </c>
      <c r="M406" s="82">
        <v>10</v>
      </c>
      <c r="N406" s="82">
        <v>11.6</v>
      </c>
      <c r="O406" s="44">
        <f t="shared" si="19"/>
        <v>6.780476190476195</v>
      </c>
      <c r="P406">
        <f t="shared" si="21"/>
        <v>13.52</v>
      </c>
      <c r="Q406" s="111">
        <v>0.14199999999999999</v>
      </c>
      <c r="R406">
        <v>0.22700000000000001</v>
      </c>
      <c r="S406" s="65">
        <v>5</v>
      </c>
      <c r="T406">
        <v>93</v>
      </c>
      <c r="U406" t="s">
        <v>54</v>
      </c>
      <c r="V406" t="s">
        <v>32</v>
      </c>
    </row>
    <row r="407" spans="1:23" s="43" customFormat="1" x14ac:dyDescent="0.2">
      <c r="A407" s="5" t="s">
        <v>495</v>
      </c>
      <c r="B407" s="6" t="s">
        <v>27</v>
      </c>
      <c r="C407" s="6" t="s">
        <v>52</v>
      </c>
      <c r="D407" s="65" t="str">
        <f t="shared" si="20"/>
        <v>035_S_d</v>
      </c>
      <c r="E407">
        <v>109</v>
      </c>
      <c r="F407" t="s">
        <v>49</v>
      </c>
      <c r="G407" t="s">
        <v>505</v>
      </c>
      <c r="H407" t="s">
        <v>56</v>
      </c>
      <c r="I407">
        <v>0</v>
      </c>
      <c r="J407" s="82">
        <v>1.1000000000000001</v>
      </c>
      <c r="K407" s="82">
        <v>1</v>
      </c>
      <c r="L407" s="82">
        <v>0.9</v>
      </c>
      <c r="M407">
        <v>1</v>
      </c>
      <c r="N407" s="82">
        <v>1</v>
      </c>
      <c r="O407" s="44">
        <f t="shared" si="19"/>
        <v>6.6666666666666706E-3</v>
      </c>
      <c r="P407">
        <f t="shared" si="21"/>
        <v>1</v>
      </c>
      <c r="Q407" s="111"/>
      <c r="R407" t="s">
        <v>57</v>
      </c>
      <c r="S407" s="65" t="s">
        <v>57</v>
      </c>
      <c r="T407" t="s">
        <v>57</v>
      </c>
      <c r="U407" t="s">
        <v>57</v>
      </c>
      <c r="V407" t="s">
        <v>32</v>
      </c>
      <c r="W407" t="s">
        <v>67</v>
      </c>
    </row>
    <row r="408" spans="1:23" s="43" customFormat="1" ht="16" x14ac:dyDescent="0.2">
      <c r="A408" s="5" t="s">
        <v>495</v>
      </c>
      <c r="B408" s="6" t="s">
        <v>33</v>
      </c>
      <c r="C408" s="6" t="s">
        <v>52</v>
      </c>
      <c r="D408" s="65" t="str">
        <f t="shared" si="20"/>
        <v>035_V_d</v>
      </c>
      <c r="E408">
        <v>125</v>
      </c>
      <c r="F408" t="s">
        <v>70</v>
      </c>
      <c r="G408" t="s">
        <v>506</v>
      </c>
      <c r="H408"/>
      <c r="I408">
        <v>4.0564653865588696</v>
      </c>
      <c r="J408" s="82">
        <v>6.8</v>
      </c>
      <c r="K408" s="82">
        <v>23.8</v>
      </c>
      <c r="L408" s="84">
        <v>10.8</v>
      </c>
      <c r="M408">
        <v>23</v>
      </c>
      <c r="N408" s="82">
        <v>30.6</v>
      </c>
      <c r="O408" s="44">
        <f t="shared" si="19"/>
        <v>4.5855072463768112</v>
      </c>
      <c r="P408">
        <f t="shared" si="21"/>
        <v>19</v>
      </c>
      <c r="Q408" s="111">
        <v>0.251</v>
      </c>
      <c r="R408">
        <v>0.38100000000000001</v>
      </c>
      <c r="S408" s="65">
        <v>12</v>
      </c>
      <c r="T408">
        <v>9</v>
      </c>
      <c r="U408" t="s">
        <v>31</v>
      </c>
      <c r="V408" t="s">
        <v>32</v>
      </c>
      <c r="W408"/>
    </row>
    <row r="409" spans="1:23" ht="16" x14ac:dyDescent="0.2">
      <c r="A409" s="5" t="s">
        <v>495</v>
      </c>
      <c r="B409" s="6" t="s">
        <v>36</v>
      </c>
      <c r="C409" s="6" t="s">
        <v>52</v>
      </c>
      <c r="D409" s="65" t="str">
        <f t="shared" si="20"/>
        <v>035_O_d</v>
      </c>
      <c r="E409">
        <v>135</v>
      </c>
      <c r="F409" t="s">
        <v>39</v>
      </c>
      <c r="G409" t="s">
        <v>507</v>
      </c>
      <c r="I409">
        <v>3.3992680837810498</v>
      </c>
      <c r="J409" s="82">
        <v>26.6</v>
      </c>
      <c r="K409" s="82">
        <v>30.2</v>
      </c>
      <c r="L409" s="84">
        <v>31.1</v>
      </c>
      <c r="M409" s="82">
        <v>34.299999999999997</v>
      </c>
      <c r="N409" s="82">
        <v>37.6</v>
      </c>
      <c r="O409" s="44">
        <f t="shared" si="19"/>
        <v>0.32831423895253647</v>
      </c>
      <c r="P409">
        <f t="shared" si="21"/>
        <v>31.96</v>
      </c>
      <c r="Q409" s="111">
        <v>0.25800000000000001</v>
      </c>
      <c r="R409">
        <v>0.52300000000000002</v>
      </c>
      <c r="S409" s="65">
        <v>9</v>
      </c>
      <c r="T409">
        <v>63</v>
      </c>
      <c r="U409" t="s">
        <v>47</v>
      </c>
      <c r="V409" t="s">
        <v>32</v>
      </c>
    </row>
    <row r="410" spans="1:23" ht="16" x14ac:dyDescent="0.2">
      <c r="A410" s="1" t="s">
        <v>508</v>
      </c>
      <c r="B410" t="s">
        <v>33</v>
      </c>
      <c r="C410" t="s">
        <v>28</v>
      </c>
      <c r="D410" s="65" t="str">
        <f t="shared" si="20"/>
        <v>037_V_a</v>
      </c>
      <c r="E410">
        <v>2</v>
      </c>
      <c r="F410" t="s">
        <v>70</v>
      </c>
      <c r="G410" t="s">
        <v>509</v>
      </c>
      <c r="I410">
        <v>1.2772835004557901</v>
      </c>
      <c r="J410" s="84">
        <v>15.2</v>
      </c>
      <c r="K410" s="82">
        <v>33.9</v>
      </c>
      <c r="L410" s="82">
        <v>37.1</v>
      </c>
      <c r="M410" s="82">
        <v>41.9</v>
      </c>
      <c r="N410" s="82">
        <v>30.2</v>
      </c>
      <c r="O410" s="44">
        <f t="shared" si="19"/>
        <v>4.2661202185792382</v>
      </c>
      <c r="P410">
        <f t="shared" si="21"/>
        <v>31.659999999999997</v>
      </c>
      <c r="Q410" s="111">
        <v>0.109</v>
      </c>
      <c r="R410">
        <v>0.27</v>
      </c>
      <c r="S410" s="65">
        <v>9</v>
      </c>
      <c r="T410">
        <v>28</v>
      </c>
      <c r="U410" t="s">
        <v>54</v>
      </c>
      <c r="V410" t="s">
        <v>32</v>
      </c>
    </row>
    <row r="411" spans="1:23" ht="16" x14ac:dyDescent="0.2">
      <c r="A411" s="5" t="s">
        <v>508</v>
      </c>
      <c r="B411" s="6" t="s">
        <v>27</v>
      </c>
      <c r="C411" s="6" t="s">
        <v>28</v>
      </c>
      <c r="D411" s="65" t="str">
        <f t="shared" si="20"/>
        <v>037_S_a</v>
      </c>
      <c r="E411">
        <v>8</v>
      </c>
      <c r="F411" t="s">
        <v>39</v>
      </c>
      <c r="G411" t="s">
        <v>510</v>
      </c>
      <c r="I411">
        <v>4.1539370639327897</v>
      </c>
      <c r="J411" s="84">
        <v>15.5</v>
      </c>
      <c r="K411" s="82">
        <v>48</v>
      </c>
      <c r="L411" s="82">
        <v>43.2</v>
      </c>
      <c r="M411" s="82">
        <v>50.4</v>
      </c>
      <c r="N411" s="82">
        <v>44.7</v>
      </c>
      <c r="O411" s="44">
        <f t="shared" si="19"/>
        <v>6.6246339910884764</v>
      </c>
      <c r="P411">
        <f t="shared" si="21"/>
        <v>40.36</v>
      </c>
      <c r="Q411" s="111">
        <v>0.45</v>
      </c>
      <c r="R411">
        <v>0.59699999999999998</v>
      </c>
      <c r="S411" s="65">
        <v>14</v>
      </c>
      <c r="T411">
        <v>44</v>
      </c>
      <c r="U411" t="s">
        <v>31</v>
      </c>
      <c r="V411" t="s">
        <v>32</v>
      </c>
    </row>
    <row r="412" spans="1:23" x14ac:dyDescent="0.2">
      <c r="A412" s="5" t="s">
        <v>508</v>
      </c>
      <c r="B412" s="6" t="s">
        <v>36</v>
      </c>
      <c r="C412" s="6" t="s">
        <v>28</v>
      </c>
      <c r="D412" s="65" t="str">
        <f t="shared" si="20"/>
        <v>037_O_a</v>
      </c>
      <c r="E412">
        <v>35</v>
      </c>
      <c r="F412" t="s">
        <v>34</v>
      </c>
      <c r="G412" t="s">
        <v>511</v>
      </c>
      <c r="I412">
        <v>4.0361730423218303</v>
      </c>
      <c r="J412" s="82">
        <v>20</v>
      </c>
      <c r="K412" t="s">
        <v>57</v>
      </c>
      <c r="L412" s="82">
        <v>24.5</v>
      </c>
      <c r="M412" s="82">
        <v>32.200000000000003</v>
      </c>
      <c r="N412" s="82">
        <v>40.799999999999997</v>
      </c>
      <c r="O412" s="44">
        <f t="shared" si="19"/>
        <v>1.4887874837027402</v>
      </c>
      <c r="P412">
        <f t="shared" si="21"/>
        <v>29.375</v>
      </c>
      <c r="Q412" s="111">
        <v>0.26600000000000001</v>
      </c>
      <c r="R412">
        <v>0.49</v>
      </c>
      <c r="S412" s="65">
        <v>19</v>
      </c>
      <c r="T412">
        <v>39</v>
      </c>
      <c r="U412" t="s">
        <v>31</v>
      </c>
      <c r="V412" t="s">
        <v>32</v>
      </c>
    </row>
    <row r="413" spans="1:23" x14ac:dyDescent="0.2">
      <c r="A413" s="58" t="s">
        <v>508</v>
      </c>
      <c r="B413" s="59" t="s">
        <v>27</v>
      </c>
      <c r="C413" s="59" t="s">
        <v>38</v>
      </c>
      <c r="D413" s="68" t="str">
        <f t="shared" si="20"/>
        <v>037_S_b</v>
      </c>
      <c r="E413" s="43">
        <v>41</v>
      </c>
      <c r="F413" s="43" t="s">
        <v>82</v>
      </c>
      <c r="G413" s="43" t="s">
        <v>512</v>
      </c>
      <c r="H413" s="43"/>
      <c r="I413">
        <v>4.7585594363663599</v>
      </c>
      <c r="J413" s="82">
        <v>24.8</v>
      </c>
      <c r="K413" s="82">
        <v>30.2</v>
      </c>
      <c r="L413" s="82">
        <v>26.3</v>
      </c>
      <c r="M413" s="82">
        <v>33.299999999999997</v>
      </c>
      <c r="N413" s="82">
        <v>47.4</v>
      </c>
      <c r="O413" s="56">
        <f t="shared" si="19"/>
        <v>0.51623036649215059</v>
      </c>
      <c r="P413" s="43">
        <f t="shared" si="21"/>
        <v>32.4</v>
      </c>
      <c r="Q413" s="114">
        <v>0.372</v>
      </c>
      <c r="R413" s="116" t="s">
        <v>57</v>
      </c>
      <c r="S413" s="68">
        <v>20</v>
      </c>
      <c r="T413" s="43">
        <v>31</v>
      </c>
      <c r="U413" s="43" t="s">
        <v>31</v>
      </c>
      <c r="V413" t="s">
        <v>32</v>
      </c>
      <c r="W413" s="43" t="s">
        <v>513</v>
      </c>
    </row>
    <row r="414" spans="1:23" s="43" customFormat="1" x14ac:dyDescent="0.2">
      <c r="A414" s="5" t="s">
        <v>508</v>
      </c>
      <c r="B414" s="6" t="s">
        <v>36</v>
      </c>
      <c r="C414" s="6" t="s">
        <v>38</v>
      </c>
      <c r="D414" s="65" t="str">
        <f t="shared" si="20"/>
        <v>037_O_b</v>
      </c>
      <c r="E414">
        <v>47</v>
      </c>
      <c r="F414" t="s">
        <v>29</v>
      </c>
      <c r="G414" t="s">
        <v>514</v>
      </c>
      <c r="H414"/>
      <c r="I414">
        <v>2.3873509463529299</v>
      </c>
      <c r="J414" s="82">
        <v>12.3</v>
      </c>
      <c r="K414" s="82">
        <v>22.6</v>
      </c>
      <c r="L414" s="82">
        <v>34</v>
      </c>
      <c r="M414" s="82">
        <v>36</v>
      </c>
      <c r="N414" s="82">
        <v>48.2</v>
      </c>
      <c r="O414" s="44">
        <f t="shared" si="19"/>
        <v>4.6145217667619907</v>
      </c>
      <c r="P414">
        <f t="shared" si="21"/>
        <v>30.620000000000005</v>
      </c>
      <c r="Q414" s="111">
        <v>0.16900000000000001</v>
      </c>
      <c r="R414">
        <v>0.26700000000000002</v>
      </c>
      <c r="S414" s="65">
        <v>41</v>
      </c>
      <c r="T414" s="43">
        <v>42</v>
      </c>
      <c r="U414" t="s">
        <v>54</v>
      </c>
      <c r="V414" t="s">
        <v>32</v>
      </c>
      <c r="W414"/>
    </row>
    <row r="415" spans="1:23" x14ac:dyDescent="0.2">
      <c r="A415" s="1" t="s">
        <v>508</v>
      </c>
      <c r="B415" t="s">
        <v>33</v>
      </c>
      <c r="C415" t="s">
        <v>38</v>
      </c>
      <c r="D415" s="65" t="str">
        <f t="shared" si="20"/>
        <v>037_V_b</v>
      </c>
      <c r="E415">
        <v>60</v>
      </c>
      <c r="F415" t="s">
        <v>41</v>
      </c>
      <c r="G415" t="s">
        <v>515</v>
      </c>
      <c r="I415">
        <v>5.2711337099811697</v>
      </c>
      <c r="J415" s="82">
        <v>29.5</v>
      </c>
      <c r="K415" s="82">
        <v>24</v>
      </c>
      <c r="L415" s="82">
        <v>26.9</v>
      </c>
      <c r="M415" s="82">
        <v>11</v>
      </c>
      <c r="N415" s="82">
        <v>29.3</v>
      </c>
      <c r="O415" s="44">
        <f t="shared" si="19"/>
        <v>2.9521517140773073</v>
      </c>
      <c r="P415">
        <f t="shared" si="21"/>
        <v>24.14</v>
      </c>
      <c r="Q415" s="111">
        <v>0.27600000000000002</v>
      </c>
      <c r="R415">
        <v>0.78300000000000003</v>
      </c>
      <c r="S415" s="65">
        <v>17</v>
      </c>
      <c r="T415">
        <v>51</v>
      </c>
      <c r="U415" t="s">
        <v>31</v>
      </c>
      <c r="V415" t="s">
        <v>32</v>
      </c>
    </row>
    <row r="416" spans="1:23" x14ac:dyDescent="0.2">
      <c r="A416" s="5" t="s">
        <v>508</v>
      </c>
      <c r="B416" s="6" t="s">
        <v>27</v>
      </c>
      <c r="C416" s="6" t="s">
        <v>45</v>
      </c>
      <c r="D416" s="65" t="str">
        <f t="shared" si="20"/>
        <v>037_S_c</v>
      </c>
      <c r="E416">
        <v>84</v>
      </c>
      <c r="F416" t="s">
        <v>68</v>
      </c>
      <c r="G416" t="s">
        <v>516</v>
      </c>
      <c r="I416">
        <v>0</v>
      </c>
      <c r="J416" s="82">
        <v>1.1000000000000001</v>
      </c>
      <c r="K416" t="s">
        <v>57</v>
      </c>
      <c r="L416" s="82">
        <v>1</v>
      </c>
      <c r="M416" s="82">
        <v>1</v>
      </c>
      <c r="N416" s="82">
        <v>0.9</v>
      </c>
      <c r="O416" s="44">
        <f t="shared" si="19"/>
        <v>3.2258064516129089E-3</v>
      </c>
      <c r="P416">
        <f t="shared" si="21"/>
        <v>1</v>
      </c>
      <c r="Q416" s="111" t="s">
        <v>57</v>
      </c>
      <c r="R416" s="6" t="s">
        <v>57</v>
      </c>
      <c r="S416" s="65" t="s">
        <v>57</v>
      </c>
      <c r="T416" s="6" t="s">
        <v>57</v>
      </c>
      <c r="U416" s="6" t="s">
        <v>57</v>
      </c>
      <c r="V416" t="s">
        <v>32</v>
      </c>
      <c r="W416" t="s">
        <v>517</v>
      </c>
    </row>
    <row r="417" spans="1:22" x14ac:dyDescent="0.2">
      <c r="A417" s="5" t="s">
        <v>508</v>
      </c>
      <c r="B417" s="6" t="s">
        <v>33</v>
      </c>
      <c r="C417" s="6" t="s">
        <v>45</v>
      </c>
      <c r="D417" s="65" t="str">
        <f t="shared" si="20"/>
        <v>037_V_c</v>
      </c>
      <c r="E417">
        <v>96</v>
      </c>
      <c r="F417" t="s">
        <v>43</v>
      </c>
      <c r="G417" t="s">
        <v>518</v>
      </c>
      <c r="I417">
        <v>2.5100014817009901</v>
      </c>
      <c r="J417" s="82">
        <v>17.100000000000001</v>
      </c>
      <c r="K417" s="82">
        <v>6.5</v>
      </c>
      <c r="L417" s="82">
        <v>32.799999999999997</v>
      </c>
      <c r="M417">
        <v>12.6</v>
      </c>
      <c r="N417" s="82">
        <v>37.1</v>
      </c>
      <c r="O417" s="44">
        <f t="shared" si="19"/>
        <v>7.3238647342995167</v>
      </c>
      <c r="P417">
        <f t="shared" si="21"/>
        <v>21.22</v>
      </c>
      <c r="Q417" s="111">
        <v>0.39900000000000002</v>
      </c>
      <c r="R417">
        <v>0.53500000000000003</v>
      </c>
      <c r="S417" s="65">
        <v>13</v>
      </c>
      <c r="T417">
        <v>37</v>
      </c>
      <c r="U417" t="s">
        <v>47</v>
      </c>
      <c r="V417" t="s">
        <v>32</v>
      </c>
    </row>
    <row r="418" spans="1:22" x14ac:dyDescent="0.2">
      <c r="A418" s="5" t="s">
        <v>508</v>
      </c>
      <c r="B418" s="6" t="s">
        <v>36</v>
      </c>
      <c r="C418" s="6" t="s">
        <v>45</v>
      </c>
      <c r="D418" s="65" t="str">
        <f t="shared" si="20"/>
        <v>037_O_c</v>
      </c>
      <c r="E418">
        <v>98</v>
      </c>
      <c r="F418" t="s">
        <v>34</v>
      </c>
      <c r="G418" t="s">
        <v>519</v>
      </c>
      <c r="I418">
        <v>6.5369603360929203</v>
      </c>
      <c r="J418" s="82">
        <v>41</v>
      </c>
      <c r="K418" s="82">
        <v>40.4</v>
      </c>
      <c r="L418" s="82">
        <v>56.7</v>
      </c>
      <c r="M418">
        <v>28</v>
      </c>
      <c r="N418" s="82">
        <v>4.4000000000000004</v>
      </c>
      <c r="O418" s="44">
        <f t="shared" si="19"/>
        <v>3.3292996187035802</v>
      </c>
      <c r="P418">
        <f t="shared" si="21"/>
        <v>34.100000000000009</v>
      </c>
      <c r="Q418" s="111">
        <v>0.47</v>
      </c>
      <c r="R418">
        <v>0.55600000000000005</v>
      </c>
      <c r="S418" s="65">
        <v>16</v>
      </c>
      <c r="T418">
        <v>12</v>
      </c>
      <c r="U418" t="s">
        <v>31</v>
      </c>
      <c r="V418" t="s">
        <v>32</v>
      </c>
    </row>
    <row r="419" spans="1:22" ht="16" x14ac:dyDescent="0.2">
      <c r="A419" s="5" t="s">
        <v>508</v>
      </c>
      <c r="B419" s="6" t="s">
        <v>33</v>
      </c>
      <c r="C419" s="6" t="s">
        <v>52</v>
      </c>
      <c r="D419" s="65" t="str">
        <f t="shared" si="20"/>
        <v>037_V_d</v>
      </c>
      <c r="E419">
        <v>135</v>
      </c>
      <c r="F419" t="s">
        <v>63</v>
      </c>
      <c r="G419" t="s">
        <v>520</v>
      </c>
      <c r="I419">
        <v>5.3655298606244601</v>
      </c>
      <c r="J419" s="82">
        <v>34.6</v>
      </c>
      <c r="K419" s="82">
        <v>37.299999999999997</v>
      </c>
      <c r="L419" s="84">
        <v>25</v>
      </c>
      <c r="M419" s="82">
        <v>31.1</v>
      </c>
      <c r="N419" s="82">
        <v>33.6</v>
      </c>
      <c r="O419" s="44">
        <f t="shared" ref="O419:O482" si="22">VAR(J419:M419)/AVERAGE(J419:M419)</f>
        <v>0.88187499999999852</v>
      </c>
      <c r="P419">
        <f t="shared" si="21"/>
        <v>32.32</v>
      </c>
      <c r="Q419" s="111">
        <v>0.54600000000000004</v>
      </c>
      <c r="R419">
        <v>0.83799999999999997</v>
      </c>
      <c r="S419" s="65">
        <v>20</v>
      </c>
      <c r="T419">
        <v>29</v>
      </c>
      <c r="U419" t="s">
        <v>47</v>
      </c>
      <c r="V419" t="s">
        <v>32</v>
      </c>
    </row>
    <row r="420" spans="1:22" ht="16" x14ac:dyDescent="0.2">
      <c r="A420" s="5" t="s">
        <v>508</v>
      </c>
      <c r="B420" s="6" t="s">
        <v>36</v>
      </c>
      <c r="C420" s="6" t="s">
        <v>52</v>
      </c>
      <c r="D420" s="65" t="str">
        <f t="shared" si="20"/>
        <v>037_O_d</v>
      </c>
      <c r="E420">
        <v>136</v>
      </c>
      <c r="F420" t="s">
        <v>63</v>
      </c>
      <c r="G420" t="s">
        <v>521</v>
      </c>
      <c r="I420">
        <v>6.5809968228753002</v>
      </c>
      <c r="J420" s="82">
        <v>38.9</v>
      </c>
      <c r="K420" s="82">
        <v>33.6</v>
      </c>
      <c r="L420" s="84">
        <v>36.799999999999997</v>
      </c>
      <c r="M420" s="82">
        <v>35.9</v>
      </c>
      <c r="N420" s="82">
        <v>46.7</v>
      </c>
      <c r="O420" s="44">
        <f t="shared" si="22"/>
        <v>0.13278236914600536</v>
      </c>
      <c r="P420">
        <f t="shared" si="21"/>
        <v>38.379999999999995</v>
      </c>
      <c r="Q420" s="111">
        <v>0.52900000000000003</v>
      </c>
      <c r="R420">
        <v>0.57899999999999996</v>
      </c>
      <c r="S420" s="65">
        <v>13</v>
      </c>
      <c r="T420">
        <v>48</v>
      </c>
      <c r="U420" t="s">
        <v>72</v>
      </c>
      <c r="V420" t="s">
        <v>32</v>
      </c>
    </row>
    <row r="421" spans="1:22" ht="16" x14ac:dyDescent="0.2">
      <c r="A421" s="5" t="s">
        <v>508</v>
      </c>
      <c r="B421" s="6" t="s">
        <v>27</v>
      </c>
      <c r="C421" s="6" t="s">
        <v>52</v>
      </c>
      <c r="D421" s="65" t="str">
        <f t="shared" si="20"/>
        <v>037_S_d</v>
      </c>
      <c r="E421">
        <v>139</v>
      </c>
      <c r="F421" t="s">
        <v>63</v>
      </c>
      <c r="G421" t="s">
        <v>522</v>
      </c>
      <c r="I421">
        <v>1.7777087126137801</v>
      </c>
      <c r="J421" s="82">
        <v>27</v>
      </c>
      <c r="K421" s="82">
        <v>30.4</v>
      </c>
      <c r="L421" s="84">
        <v>34.5</v>
      </c>
      <c r="M421" s="82">
        <v>37.799999999999997</v>
      </c>
      <c r="N421" s="82">
        <v>46.7</v>
      </c>
      <c r="O421" s="44">
        <f t="shared" si="22"/>
        <v>0.68596761757903757</v>
      </c>
      <c r="P421">
        <f t="shared" si="21"/>
        <v>35.279999999999994</v>
      </c>
      <c r="Q421" s="111">
        <v>0.19700000000000001</v>
      </c>
      <c r="R421">
        <v>0.36199999999999999</v>
      </c>
      <c r="S421" s="65">
        <v>15</v>
      </c>
      <c r="T421">
        <v>62</v>
      </c>
      <c r="U421" t="s">
        <v>72</v>
      </c>
      <c r="V421" t="s">
        <v>32</v>
      </c>
    </row>
    <row r="422" spans="1:22" ht="16" x14ac:dyDescent="0.2">
      <c r="A422" s="1" t="s">
        <v>523</v>
      </c>
      <c r="B422" t="s">
        <v>33</v>
      </c>
      <c r="C422" t="s">
        <v>28</v>
      </c>
      <c r="D422" s="65" t="str">
        <f t="shared" si="20"/>
        <v>038_V_a</v>
      </c>
      <c r="E422">
        <v>5</v>
      </c>
      <c r="F422" t="s">
        <v>68</v>
      </c>
      <c r="G422" t="s">
        <v>524</v>
      </c>
      <c r="I422">
        <v>1.9422927865983199</v>
      </c>
      <c r="J422" s="108">
        <v>0.9</v>
      </c>
      <c r="K422" s="82">
        <v>15.3</v>
      </c>
      <c r="L422" s="82">
        <v>13.7</v>
      </c>
      <c r="M422" s="82">
        <v>10.6</v>
      </c>
      <c r="N422" s="82">
        <v>14.1</v>
      </c>
      <c r="O422" s="44">
        <f t="shared" si="22"/>
        <v>4.1115226337448574</v>
      </c>
      <c r="P422">
        <f t="shared" si="21"/>
        <v>10.92</v>
      </c>
      <c r="Q422" s="111">
        <v>0.14799999999999999</v>
      </c>
      <c r="R422">
        <v>0.35499999999999998</v>
      </c>
      <c r="S422" s="65">
        <v>24</v>
      </c>
      <c r="T422">
        <v>36</v>
      </c>
      <c r="U422" t="s">
        <v>31</v>
      </c>
      <c r="V422" t="s">
        <v>32</v>
      </c>
    </row>
    <row r="423" spans="1:22" ht="16" x14ac:dyDescent="0.2">
      <c r="A423" s="2" t="s">
        <v>523</v>
      </c>
      <c r="B423" t="s">
        <v>36</v>
      </c>
      <c r="C423" t="s">
        <v>28</v>
      </c>
      <c r="D423" s="65" t="str">
        <f t="shared" si="20"/>
        <v>038_O_a</v>
      </c>
      <c r="E423">
        <v>10</v>
      </c>
      <c r="F423" t="s">
        <v>41</v>
      </c>
      <c r="G423" t="s">
        <v>525</v>
      </c>
      <c r="I423">
        <v>2.00898300117233</v>
      </c>
      <c r="J423" s="84">
        <v>3.3</v>
      </c>
      <c r="K423" s="82">
        <v>20.2</v>
      </c>
      <c r="L423" s="82">
        <v>26.3</v>
      </c>
      <c r="M423" s="82">
        <v>31.4</v>
      </c>
      <c r="N423" s="82">
        <v>36.799999999999997</v>
      </c>
      <c r="O423" s="44">
        <f t="shared" si="22"/>
        <v>7.3599343185550179</v>
      </c>
      <c r="P423">
        <f t="shared" si="21"/>
        <v>23.599999999999998</v>
      </c>
      <c r="Q423" s="111">
        <v>0.182</v>
      </c>
      <c r="R423">
        <v>0.311</v>
      </c>
      <c r="S423" s="65">
        <v>14</v>
      </c>
      <c r="T423" s="47">
        <v>15</v>
      </c>
      <c r="U423" s="47" t="s">
        <v>54</v>
      </c>
      <c r="V423" t="s">
        <v>32</v>
      </c>
    </row>
    <row r="424" spans="1:22" ht="16" x14ac:dyDescent="0.2">
      <c r="A424" s="5" t="s">
        <v>523</v>
      </c>
      <c r="B424" s="6" t="s">
        <v>27</v>
      </c>
      <c r="C424" s="6" t="s">
        <v>28</v>
      </c>
      <c r="D424" s="65" t="str">
        <f t="shared" si="20"/>
        <v>038_S_a</v>
      </c>
      <c r="E424">
        <v>15</v>
      </c>
      <c r="F424" t="s">
        <v>68</v>
      </c>
      <c r="G424" t="s">
        <v>526</v>
      </c>
      <c r="I424">
        <v>3.94144449830344</v>
      </c>
      <c r="J424" s="84">
        <v>24.4</v>
      </c>
      <c r="K424" s="82">
        <v>41.9</v>
      </c>
      <c r="L424" s="82">
        <v>13.3</v>
      </c>
      <c r="M424" s="82">
        <v>50.1</v>
      </c>
      <c r="N424" s="82">
        <v>61.2</v>
      </c>
      <c r="O424" s="44">
        <f t="shared" si="22"/>
        <v>8.5566435363659821</v>
      </c>
      <c r="P424">
        <f t="shared" si="21"/>
        <v>38.179999999999993</v>
      </c>
      <c r="Q424" s="111">
        <v>0.25600000000000001</v>
      </c>
      <c r="R424">
        <v>0.51700000000000002</v>
      </c>
      <c r="S424" s="65">
        <v>42</v>
      </c>
      <c r="T424">
        <v>29</v>
      </c>
      <c r="U424" s="47" t="s">
        <v>51</v>
      </c>
      <c r="V424" t="s">
        <v>32</v>
      </c>
    </row>
    <row r="425" spans="1:22" x14ac:dyDescent="0.2">
      <c r="A425" s="5" t="s">
        <v>523</v>
      </c>
      <c r="B425" s="6" t="s">
        <v>36</v>
      </c>
      <c r="C425" s="6" t="s">
        <v>38</v>
      </c>
      <c r="D425" s="65" t="str">
        <f t="shared" si="20"/>
        <v>038_O_b</v>
      </c>
      <c r="E425">
        <v>50</v>
      </c>
      <c r="F425" t="s">
        <v>29</v>
      </c>
      <c r="G425" t="s">
        <v>527</v>
      </c>
      <c r="I425">
        <v>1.1763844718374601</v>
      </c>
      <c r="J425" s="82">
        <v>7</v>
      </c>
      <c r="K425" s="82">
        <v>7</v>
      </c>
      <c r="L425" s="82">
        <v>18.3</v>
      </c>
      <c r="M425" s="82">
        <v>18.899999999999999</v>
      </c>
      <c r="N425" s="82">
        <v>23.5</v>
      </c>
      <c r="O425" s="44">
        <f t="shared" si="22"/>
        <v>3.5088541666666671</v>
      </c>
      <c r="P425">
        <f t="shared" si="21"/>
        <v>14.939999999999998</v>
      </c>
      <c r="Q425" s="111">
        <v>7.4999999999999997E-2</v>
      </c>
      <c r="R425">
        <v>0.17599999999999999</v>
      </c>
      <c r="S425" s="65">
        <v>7</v>
      </c>
      <c r="T425" s="43">
        <v>15</v>
      </c>
      <c r="U425" t="s">
        <v>31</v>
      </c>
      <c r="V425" t="s">
        <v>32</v>
      </c>
    </row>
    <row r="426" spans="1:22" x14ac:dyDescent="0.2">
      <c r="A426" s="1" t="s">
        <v>523</v>
      </c>
      <c r="B426" t="s">
        <v>33</v>
      </c>
      <c r="C426" t="s">
        <v>38</v>
      </c>
      <c r="D426" s="65" t="str">
        <f t="shared" si="20"/>
        <v>038_V_b</v>
      </c>
      <c r="E426">
        <v>50</v>
      </c>
      <c r="F426" t="s">
        <v>34</v>
      </c>
      <c r="G426" t="s">
        <v>528</v>
      </c>
      <c r="I426">
        <v>3.1169895129707998</v>
      </c>
      <c r="J426" s="82">
        <v>47.3</v>
      </c>
      <c r="K426" s="82">
        <v>31.5</v>
      </c>
      <c r="L426" s="82">
        <v>20.3</v>
      </c>
      <c r="M426" s="82">
        <v>26.7</v>
      </c>
      <c r="N426" s="82">
        <v>27.8</v>
      </c>
      <c r="O426" s="44">
        <f t="shared" si="22"/>
        <v>4.2195018547959693</v>
      </c>
      <c r="P426">
        <f t="shared" si="21"/>
        <v>30.72</v>
      </c>
      <c r="Q426" s="111">
        <v>0.26700000000000002</v>
      </c>
      <c r="R426">
        <v>0.52400000000000002</v>
      </c>
      <c r="S426" s="65">
        <v>15</v>
      </c>
      <c r="T426" s="43">
        <v>29</v>
      </c>
      <c r="U426" t="s">
        <v>31</v>
      </c>
      <c r="V426" t="s">
        <v>32</v>
      </c>
    </row>
    <row r="427" spans="1:22" x14ac:dyDescent="0.2">
      <c r="A427" s="5" t="s">
        <v>523</v>
      </c>
      <c r="B427" s="6" t="s">
        <v>27</v>
      </c>
      <c r="C427" s="6" t="s">
        <v>38</v>
      </c>
      <c r="D427" s="65" t="str">
        <f t="shared" si="20"/>
        <v>038_S_b</v>
      </c>
      <c r="E427">
        <v>64</v>
      </c>
      <c r="F427" t="s">
        <v>43</v>
      </c>
      <c r="G427" t="s">
        <v>529</v>
      </c>
      <c r="I427">
        <v>5.2822484487163903</v>
      </c>
      <c r="J427" s="82">
        <v>34.5</v>
      </c>
      <c r="K427" s="82">
        <v>35.200000000000003</v>
      </c>
      <c r="L427" s="82">
        <v>5.6</v>
      </c>
      <c r="M427" s="82">
        <v>20.100000000000001</v>
      </c>
      <c r="N427" s="82">
        <v>32.4</v>
      </c>
      <c r="O427" s="44">
        <f t="shared" si="22"/>
        <v>8.2371767994409488</v>
      </c>
      <c r="P427">
        <f t="shared" si="21"/>
        <v>25.560000000000002</v>
      </c>
      <c r="Q427" s="111">
        <v>0.47099999999999997</v>
      </c>
      <c r="R427">
        <v>0.71299999999999997</v>
      </c>
      <c r="S427" s="65">
        <v>10</v>
      </c>
      <c r="T427">
        <v>13</v>
      </c>
      <c r="U427" t="s">
        <v>31</v>
      </c>
      <c r="V427" t="s">
        <v>32</v>
      </c>
    </row>
    <row r="428" spans="1:22" x14ac:dyDescent="0.2">
      <c r="A428" s="5" t="s">
        <v>523</v>
      </c>
      <c r="B428" s="6" t="s">
        <v>27</v>
      </c>
      <c r="C428" s="6" t="s">
        <v>45</v>
      </c>
      <c r="D428" s="65" t="str">
        <f t="shared" si="20"/>
        <v>038_S_c</v>
      </c>
      <c r="E428">
        <v>80</v>
      </c>
      <c r="F428" t="s">
        <v>41</v>
      </c>
      <c r="G428" t="s">
        <v>530</v>
      </c>
      <c r="I428">
        <v>4.5505394073585501</v>
      </c>
      <c r="J428" s="82">
        <v>19.3</v>
      </c>
      <c r="K428" s="82">
        <v>15.5</v>
      </c>
      <c r="L428" s="82">
        <v>27</v>
      </c>
      <c r="M428" s="82">
        <v>21.9</v>
      </c>
      <c r="N428" s="82">
        <v>14.2</v>
      </c>
      <c r="O428" s="44">
        <f t="shared" si="22"/>
        <v>1.1139386698526559</v>
      </c>
      <c r="P428">
        <f t="shared" si="21"/>
        <v>19.579999999999998</v>
      </c>
      <c r="Q428" s="111">
        <v>0.186</v>
      </c>
      <c r="R428">
        <v>0.49299999999999999</v>
      </c>
      <c r="S428" s="65">
        <v>22</v>
      </c>
      <c r="T428">
        <v>27</v>
      </c>
      <c r="U428" t="s">
        <v>31</v>
      </c>
      <c r="V428" t="s">
        <v>32</v>
      </c>
    </row>
    <row r="429" spans="1:22" x14ac:dyDescent="0.2">
      <c r="A429" s="5" t="s">
        <v>523</v>
      </c>
      <c r="B429" s="6" t="s">
        <v>36</v>
      </c>
      <c r="C429" s="6" t="s">
        <v>45</v>
      </c>
      <c r="D429" s="65" t="str">
        <f t="shared" si="20"/>
        <v>038_O_c</v>
      </c>
      <c r="E429">
        <v>98</v>
      </c>
      <c r="F429" t="s">
        <v>82</v>
      </c>
      <c r="G429" t="s">
        <v>531</v>
      </c>
      <c r="I429">
        <v>5.8399357469417996</v>
      </c>
      <c r="J429" s="82">
        <v>41.2</v>
      </c>
      <c r="K429" s="82">
        <v>49.4</v>
      </c>
      <c r="L429" s="82">
        <v>60.1</v>
      </c>
      <c r="M429">
        <v>39.799999999999997</v>
      </c>
      <c r="N429" s="82">
        <v>58.2</v>
      </c>
      <c r="O429" s="44">
        <f t="shared" si="22"/>
        <v>1.8287839020122512</v>
      </c>
      <c r="P429">
        <f t="shared" si="21"/>
        <v>49.739999999999995</v>
      </c>
      <c r="Q429" s="111">
        <v>0.33900000000000002</v>
      </c>
      <c r="R429">
        <v>0.50900000000000001</v>
      </c>
      <c r="S429" s="65">
        <v>9</v>
      </c>
      <c r="T429">
        <v>26</v>
      </c>
      <c r="U429" t="s">
        <v>31</v>
      </c>
      <c r="V429" t="s">
        <v>32</v>
      </c>
    </row>
    <row r="430" spans="1:22" x14ac:dyDescent="0.2">
      <c r="A430" s="5" t="s">
        <v>523</v>
      </c>
      <c r="B430" s="6" t="s">
        <v>33</v>
      </c>
      <c r="C430" s="6" t="s">
        <v>45</v>
      </c>
      <c r="D430" s="65" t="str">
        <f t="shared" si="20"/>
        <v>038_V_c</v>
      </c>
      <c r="E430">
        <v>108</v>
      </c>
      <c r="F430" t="s">
        <v>39</v>
      </c>
      <c r="G430" t="s">
        <v>532</v>
      </c>
      <c r="I430">
        <v>4.6748970268853398</v>
      </c>
      <c r="J430" s="82">
        <v>32.200000000000003</v>
      </c>
      <c r="K430" s="82">
        <v>35</v>
      </c>
      <c r="L430" s="82">
        <v>40.4</v>
      </c>
      <c r="M430">
        <v>39.6</v>
      </c>
      <c r="N430" s="82">
        <v>39.5</v>
      </c>
      <c r="O430" s="44">
        <f t="shared" si="22"/>
        <v>0.40942028985507217</v>
      </c>
      <c r="P430">
        <f t="shared" si="21"/>
        <v>37.339999999999996</v>
      </c>
      <c r="Q430" s="111">
        <v>0.41599999999999998</v>
      </c>
      <c r="R430">
        <v>0.57499999999999996</v>
      </c>
      <c r="S430" s="65">
        <v>18</v>
      </c>
      <c r="T430">
        <v>29</v>
      </c>
      <c r="U430" t="s">
        <v>47</v>
      </c>
      <c r="V430" t="s">
        <v>32</v>
      </c>
    </row>
    <row r="431" spans="1:22" x14ac:dyDescent="0.2">
      <c r="A431" s="5" t="s">
        <v>523</v>
      </c>
      <c r="B431" s="6" t="s">
        <v>33</v>
      </c>
      <c r="C431" s="6" t="s">
        <v>52</v>
      </c>
      <c r="D431" s="65" t="str">
        <f t="shared" si="20"/>
        <v>038_V_d</v>
      </c>
      <c r="E431">
        <v>114</v>
      </c>
      <c r="F431" t="s">
        <v>63</v>
      </c>
      <c r="G431" t="s">
        <v>533</v>
      </c>
      <c r="I431">
        <v>5.0747362394700204</v>
      </c>
      <c r="J431" s="82">
        <v>25.1</v>
      </c>
      <c r="K431" s="82">
        <v>27.9</v>
      </c>
      <c r="L431" s="82">
        <v>32.799999999999997</v>
      </c>
      <c r="M431">
        <v>33</v>
      </c>
      <c r="N431" s="82">
        <v>35.4</v>
      </c>
      <c r="O431" s="44">
        <f t="shared" si="22"/>
        <v>0.50392817059484341</v>
      </c>
      <c r="P431">
        <f t="shared" si="21"/>
        <v>30.839999999999996</v>
      </c>
      <c r="Q431" s="111">
        <v>0.498</v>
      </c>
      <c r="R431">
        <v>0.65700000000000003</v>
      </c>
      <c r="S431" s="65">
        <v>20</v>
      </c>
      <c r="T431">
        <v>11</v>
      </c>
      <c r="U431" t="s">
        <v>54</v>
      </c>
      <c r="V431" t="s">
        <v>32</v>
      </c>
    </row>
    <row r="432" spans="1:22" x14ac:dyDescent="0.2">
      <c r="A432" s="5" t="s">
        <v>523</v>
      </c>
      <c r="B432" s="6" t="s">
        <v>27</v>
      </c>
      <c r="C432" s="6" t="s">
        <v>52</v>
      </c>
      <c r="D432" s="65" t="str">
        <f t="shared" si="20"/>
        <v>038_S_d</v>
      </c>
      <c r="E432">
        <v>117</v>
      </c>
      <c r="F432" t="s">
        <v>41</v>
      </c>
      <c r="G432" t="s">
        <v>534</v>
      </c>
      <c r="H432" t="s">
        <v>56</v>
      </c>
      <c r="I432">
        <v>0</v>
      </c>
      <c r="J432" s="82">
        <v>1.1000000000000001</v>
      </c>
      <c r="K432" s="82">
        <v>1</v>
      </c>
      <c r="L432" s="82">
        <v>1</v>
      </c>
      <c r="M432">
        <v>1</v>
      </c>
      <c r="N432" s="82">
        <v>0.9</v>
      </c>
      <c r="O432" s="44">
        <f t="shared" si="22"/>
        <v>2.4390243902439068E-3</v>
      </c>
      <c r="P432">
        <f t="shared" si="21"/>
        <v>1</v>
      </c>
      <c r="Q432" s="111" t="s">
        <v>57</v>
      </c>
      <c r="R432" t="s">
        <v>57</v>
      </c>
      <c r="S432" s="65" t="s">
        <v>57</v>
      </c>
      <c r="T432" t="s">
        <v>57</v>
      </c>
      <c r="V432" t="s">
        <v>32</v>
      </c>
    </row>
    <row r="433" spans="1:23" ht="16" x14ac:dyDescent="0.2">
      <c r="A433" s="5" t="s">
        <v>523</v>
      </c>
      <c r="B433" s="6" t="s">
        <v>36</v>
      </c>
      <c r="C433" s="6" t="s">
        <v>52</v>
      </c>
      <c r="D433" s="65" t="str">
        <f t="shared" si="20"/>
        <v>038_O_d</v>
      </c>
      <c r="E433">
        <v>142</v>
      </c>
      <c r="F433" t="s">
        <v>29</v>
      </c>
      <c r="G433" t="s">
        <v>535</v>
      </c>
      <c r="I433">
        <v>2.7954087685201499</v>
      </c>
      <c r="J433" s="82">
        <v>45.2</v>
      </c>
      <c r="K433" s="82">
        <v>33.1</v>
      </c>
      <c r="L433" s="84">
        <v>42.1</v>
      </c>
      <c r="M433" s="82">
        <v>44.4</v>
      </c>
      <c r="N433" s="82">
        <v>47.7</v>
      </c>
      <c r="O433" s="44">
        <f t="shared" si="22"/>
        <v>0.74967637540452214</v>
      </c>
      <c r="P433">
        <f t="shared" si="21"/>
        <v>42.5</v>
      </c>
      <c r="Q433" s="111">
        <v>0.26100000000000001</v>
      </c>
      <c r="R433">
        <v>0.44800000000000001</v>
      </c>
      <c r="S433" s="65">
        <v>21</v>
      </c>
      <c r="T433">
        <v>28</v>
      </c>
      <c r="U433" t="s">
        <v>51</v>
      </c>
      <c r="V433" t="s">
        <v>32</v>
      </c>
    </row>
    <row r="434" spans="1:23" ht="16" x14ac:dyDescent="0.2">
      <c r="A434" s="1" t="s">
        <v>536</v>
      </c>
      <c r="B434" t="s">
        <v>33</v>
      </c>
      <c r="C434" t="s">
        <v>28</v>
      </c>
      <c r="D434" s="65" t="str">
        <f t="shared" si="20"/>
        <v>039_V_a</v>
      </c>
      <c r="E434">
        <v>5</v>
      </c>
      <c r="F434" t="s">
        <v>82</v>
      </c>
      <c r="G434" t="s">
        <v>537</v>
      </c>
      <c r="I434">
        <v>3.6431603950493798</v>
      </c>
      <c r="J434" s="84">
        <v>34.9</v>
      </c>
      <c r="K434" s="82">
        <v>38.9</v>
      </c>
      <c r="L434" s="82">
        <v>25.4</v>
      </c>
      <c r="M434" s="82">
        <v>30.4</v>
      </c>
      <c r="N434" s="82">
        <v>21</v>
      </c>
      <c r="O434" s="44">
        <f t="shared" si="22"/>
        <v>1.0442386831275721</v>
      </c>
      <c r="P434">
        <f t="shared" si="21"/>
        <v>30.119999999999997</v>
      </c>
      <c r="Q434" s="111">
        <v>0.308</v>
      </c>
      <c r="R434">
        <v>0.48599999999999999</v>
      </c>
      <c r="S434" s="65">
        <v>11</v>
      </c>
      <c r="T434">
        <v>19</v>
      </c>
      <c r="U434" t="s">
        <v>31</v>
      </c>
      <c r="V434" t="s">
        <v>32</v>
      </c>
    </row>
    <row r="435" spans="1:23" ht="16" x14ac:dyDescent="0.2">
      <c r="A435" s="45" t="s">
        <v>536</v>
      </c>
      <c r="B435" s="46" t="s">
        <v>36</v>
      </c>
      <c r="C435" s="46" t="s">
        <v>28</v>
      </c>
      <c r="D435" s="67" t="str">
        <f t="shared" si="20"/>
        <v>039_O_a</v>
      </c>
      <c r="E435" s="47">
        <v>10</v>
      </c>
      <c r="F435" s="47" t="s">
        <v>29</v>
      </c>
      <c r="G435" s="47" t="s">
        <v>538</v>
      </c>
      <c r="H435" s="47"/>
      <c r="I435">
        <v>3.6243259085580299</v>
      </c>
      <c r="J435" s="84">
        <v>3.1</v>
      </c>
      <c r="K435" s="82">
        <v>3.9</v>
      </c>
      <c r="L435" s="82">
        <v>31</v>
      </c>
      <c r="M435" s="82">
        <v>32.700000000000003</v>
      </c>
      <c r="N435" s="82">
        <v>41.3</v>
      </c>
      <c r="O435" s="48">
        <f t="shared" si="22"/>
        <v>15.19071192833569</v>
      </c>
      <c r="P435">
        <f t="shared" si="21"/>
        <v>22.4</v>
      </c>
      <c r="Q435" s="113">
        <v>0.42899999999999999</v>
      </c>
      <c r="R435" s="47">
        <v>0.60399999999999998</v>
      </c>
      <c r="S435" s="67">
        <v>26</v>
      </c>
      <c r="T435" s="47">
        <v>17</v>
      </c>
      <c r="U435" s="47" t="s">
        <v>54</v>
      </c>
      <c r="V435" t="s">
        <v>32</v>
      </c>
      <c r="W435" s="47"/>
    </row>
    <row r="436" spans="1:23" x14ac:dyDescent="0.2">
      <c r="A436" s="5" t="s">
        <v>536</v>
      </c>
      <c r="B436" s="6" t="s">
        <v>27</v>
      </c>
      <c r="C436" s="6" t="s">
        <v>28</v>
      </c>
      <c r="D436" s="65" t="str">
        <f t="shared" si="20"/>
        <v>039_S_a</v>
      </c>
      <c r="E436">
        <v>27</v>
      </c>
      <c r="F436" t="s">
        <v>63</v>
      </c>
      <c r="G436" t="s">
        <v>539</v>
      </c>
      <c r="I436">
        <v>4.0752316607471899</v>
      </c>
      <c r="J436" s="82">
        <v>33.1</v>
      </c>
      <c r="K436" t="s">
        <v>57</v>
      </c>
      <c r="L436" s="82">
        <v>38.9</v>
      </c>
      <c r="M436" s="82">
        <v>26.1</v>
      </c>
      <c r="N436" s="82">
        <v>16.100000000000001</v>
      </c>
      <c r="O436" s="44">
        <f t="shared" si="22"/>
        <v>1.256269113149852</v>
      </c>
      <c r="P436">
        <f t="shared" si="21"/>
        <v>28.549999999999997</v>
      </c>
      <c r="Q436" s="111">
        <v>0.36899999999999999</v>
      </c>
      <c r="R436">
        <v>0.47</v>
      </c>
      <c r="S436" s="65">
        <v>20</v>
      </c>
      <c r="T436">
        <v>3</v>
      </c>
      <c r="U436" t="s">
        <v>31</v>
      </c>
      <c r="V436" t="s">
        <v>32</v>
      </c>
    </row>
    <row r="437" spans="1:23" x14ac:dyDescent="0.2">
      <c r="A437" s="60" t="s">
        <v>536</v>
      </c>
      <c r="B437" s="61" t="s">
        <v>36</v>
      </c>
      <c r="C437" s="61" t="s">
        <v>38</v>
      </c>
      <c r="D437" s="69" t="str">
        <f t="shared" si="20"/>
        <v>039_O_b</v>
      </c>
      <c r="E437" s="62">
        <v>39</v>
      </c>
      <c r="F437" s="62" t="s">
        <v>82</v>
      </c>
      <c r="G437" s="62" t="s">
        <v>540</v>
      </c>
      <c r="H437" s="62"/>
      <c r="I437">
        <v>4.2624111438213497</v>
      </c>
      <c r="J437" s="82">
        <v>7.3</v>
      </c>
      <c r="K437" s="82">
        <v>33.299999999999997</v>
      </c>
      <c r="L437" s="82">
        <v>20</v>
      </c>
      <c r="M437" s="82">
        <v>26.9</v>
      </c>
      <c r="N437" s="82">
        <v>8.1999999999999993</v>
      </c>
      <c r="O437" s="63">
        <f t="shared" si="22"/>
        <v>5.664419047619047</v>
      </c>
      <c r="P437" s="62">
        <f t="shared" si="21"/>
        <v>19.14</v>
      </c>
      <c r="Q437" s="111">
        <v>0.26700000000000002</v>
      </c>
      <c r="R437" s="62">
        <v>0.4</v>
      </c>
      <c r="S437" s="69">
        <v>13</v>
      </c>
      <c r="T437" s="62">
        <v>47</v>
      </c>
      <c r="U437" s="62" t="s">
        <v>31</v>
      </c>
      <c r="V437" t="s">
        <v>32</v>
      </c>
      <c r="W437" s="62"/>
    </row>
    <row r="438" spans="1:23" x14ac:dyDescent="0.2">
      <c r="A438" s="5" t="s">
        <v>536</v>
      </c>
      <c r="B438" s="6" t="s">
        <v>27</v>
      </c>
      <c r="C438" s="6" t="s">
        <v>38</v>
      </c>
      <c r="D438" s="65" t="str">
        <f t="shared" si="20"/>
        <v>039_S_b</v>
      </c>
      <c r="E438">
        <v>65</v>
      </c>
      <c r="F438" t="s">
        <v>29</v>
      </c>
      <c r="G438" t="s">
        <v>541</v>
      </c>
      <c r="I438">
        <v>2.2995682472352699</v>
      </c>
      <c r="J438" s="82">
        <v>4.0999999999999996</v>
      </c>
      <c r="K438" s="82">
        <v>26.3</v>
      </c>
      <c r="L438" t="s">
        <v>57</v>
      </c>
      <c r="M438" s="82">
        <v>36.700000000000003</v>
      </c>
      <c r="N438" s="82">
        <v>24.6</v>
      </c>
      <c r="O438" s="44">
        <f t="shared" si="22"/>
        <v>12.397615499254858</v>
      </c>
      <c r="P438">
        <f t="shared" si="21"/>
        <v>22.924999999999997</v>
      </c>
      <c r="Q438" s="111">
        <v>0.161</v>
      </c>
      <c r="R438">
        <v>0.29099999999999998</v>
      </c>
      <c r="S438" s="65">
        <v>9</v>
      </c>
      <c r="T438">
        <v>17</v>
      </c>
      <c r="U438" t="s">
        <v>31</v>
      </c>
      <c r="V438" t="s">
        <v>32</v>
      </c>
    </row>
    <row r="439" spans="1:23" x14ac:dyDescent="0.2">
      <c r="A439" s="1" t="s">
        <v>536</v>
      </c>
      <c r="B439" t="s">
        <v>33</v>
      </c>
      <c r="C439" t="s">
        <v>38</v>
      </c>
      <c r="D439" s="65" t="str">
        <f t="shared" si="20"/>
        <v>039_V_b</v>
      </c>
      <c r="E439">
        <v>70</v>
      </c>
      <c r="F439" t="s">
        <v>34</v>
      </c>
      <c r="G439" t="s">
        <v>542</v>
      </c>
      <c r="I439">
        <v>1.5432152011041</v>
      </c>
      <c r="J439" s="82">
        <v>45.3</v>
      </c>
      <c r="K439" s="82">
        <v>44.6</v>
      </c>
      <c r="L439" s="82">
        <v>49.7</v>
      </c>
      <c r="M439" s="82">
        <v>43.1</v>
      </c>
      <c r="N439" s="82">
        <v>4.2</v>
      </c>
      <c r="O439" s="44">
        <f t="shared" si="22"/>
        <v>0.17608100711548993</v>
      </c>
      <c r="P439">
        <f t="shared" si="21"/>
        <v>37.380000000000003</v>
      </c>
      <c r="Q439" s="111">
        <v>0.16400000000000001</v>
      </c>
      <c r="R439">
        <v>0.44400000000000001</v>
      </c>
      <c r="S439" s="65">
        <v>10</v>
      </c>
      <c r="T439">
        <v>18</v>
      </c>
      <c r="U439" t="s">
        <v>31</v>
      </c>
      <c r="V439" t="s">
        <v>32</v>
      </c>
    </row>
    <row r="440" spans="1:23" x14ac:dyDescent="0.2">
      <c r="A440" s="5" t="s">
        <v>536</v>
      </c>
      <c r="B440" s="6" t="s">
        <v>27</v>
      </c>
      <c r="C440" s="6" t="s">
        <v>45</v>
      </c>
      <c r="D440" s="65" t="str">
        <f t="shared" si="20"/>
        <v>039_S_c</v>
      </c>
      <c r="E440">
        <v>81</v>
      </c>
      <c r="F440" t="s">
        <v>43</v>
      </c>
      <c r="G440" t="s">
        <v>543</v>
      </c>
      <c r="I440">
        <v>5.3992897283796397</v>
      </c>
      <c r="J440" s="82">
        <v>41.9</v>
      </c>
      <c r="K440" s="82">
        <v>26.3</v>
      </c>
      <c r="L440" s="82">
        <v>21.3</v>
      </c>
      <c r="M440" s="82">
        <v>32.1</v>
      </c>
      <c r="N440" s="82">
        <v>30.6</v>
      </c>
      <c r="O440" s="44">
        <f t="shared" si="22"/>
        <v>2.5741228070175515</v>
      </c>
      <c r="P440">
        <f t="shared" si="21"/>
        <v>30.439999999999998</v>
      </c>
      <c r="Q440" s="111">
        <v>0.72299999999999998</v>
      </c>
      <c r="R440">
        <v>0.71399999999999997</v>
      </c>
      <c r="S440" s="65">
        <v>21</v>
      </c>
      <c r="T440">
        <v>75</v>
      </c>
      <c r="U440" t="s">
        <v>72</v>
      </c>
      <c r="V440" t="s">
        <v>32</v>
      </c>
    </row>
    <row r="441" spans="1:23" x14ac:dyDescent="0.2">
      <c r="A441" s="5" t="s">
        <v>536</v>
      </c>
      <c r="B441" s="6" t="s">
        <v>33</v>
      </c>
      <c r="C441" s="6" t="s">
        <v>45</v>
      </c>
      <c r="D441" s="65" t="str">
        <f t="shared" si="20"/>
        <v>039_V_c</v>
      </c>
      <c r="E441">
        <v>88</v>
      </c>
      <c r="F441" t="s">
        <v>43</v>
      </c>
      <c r="G441" t="s">
        <v>544</v>
      </c>
      <c r="I441">
        <v>5.8732941950257</v>
      </c>
      <c r="J441" s="82">
        <v>17</v>
      </c>
      <c r="L441" s="82">
        <v>38.4</v>
      </c>
      <c r="M441" s="82">
        <v>9.6999999999999993</v>
      </c>
      <c r="N441" s="82">
        <v>34.6</v>
      </c>
      <c r="O441" s="44">
        <f t="shared" si="22"/>
        <v>10.25299539170507</v>
      </c>
      <c r="P441">
        <f t="shared" si="21"/>
        <v>24.924999999999997</v>
      </c>
      <c r="Q441" s="111">
        <v>0.46700000000000003</v>
      </c>
      <c r="R441">
        <v>0.39600000000000002</v>
      </c>
      <c r="S441" s="65">
        <v>17</v>
      </c>
      <c r="T441">
        <v>10</v>
      </c>
      <c r="U441" t="s">
        <v>72</v>
      </c>
      <c r="V441" t="s">
        <v>32</v>
      </c>
    </row>
    <row r="442" spans="1:23" x14ac:dyDescent="0.2">
      <c r="A442" s="5" t="s">
        <v>536</v>
      </c>
      <c r="B442" s="6" t="s">
        <v>36</v>
      </c>
      <c r="C442" s="6" t="s">
        <v>45</v>
      </c>
      <c r="D442" s="65" t="str">
        <f t="shared" si="20"/>
        <v>039_O_c</v>
      </c>
      <c r="E442">
        <v>105</v>
      </c>
      <c r="F442" t="s">
        <v>41</v>
      </c>
      <c r="G442" t="s">
        <v>545</v>
      </c>
      <c r="I442">
        <v>0</v>
      </c>
      <c r="J442" s="82">
        <v>1.1000000000000001</v>
      </c>
      <c r="K442" s="82">
        <v>1</v>
      </c>
      <c r="L442" s="82">
        <v>1</v>
      </c>
      <c r="M442">
        <v>1</v>
      </c>
      <c r="N442" s="82">
        <v>0.9</v>
      </c>
      <c r="O442" s="44">
        <f t="shared" si="22"/>
        <v>2.4390243902439068E-3</v>
      </c>
      <c r="P442">
        <f t="shared" si="21"/>
        <v>1</v>
      </c>
      <c r="Q442" s="111">
        <v>0</v>
      </c>
      <c r="R442">
        <v>1E-3</v>
      </c>
      <c r="S442" s="65">
        <v>1</v>
      </c>
      <c r="T442">
        <v>0</v>
      </c>
      <c r="U442" t="s">
        <v>72</v>
      </c>
      <c r="V442" t="s">
        <v>32</v>
      </c>
      <c r="W442" t="s">
        <v>546</v>
      </c>
    </row>
    <row r="443" spans="1:23" x14ac:dyDescent="0.2">
      <c r="A443" s="5" t="s">
        <v>536</v>
      </c>
      <c r="B443" s="6" t="s">
        <v>27</v>
      </c>
      <c r="C443" s="6" t="s">
        <v>52</v>
      </c>
      <c r="D443" s="65" t="str">
        <f t="shared" si="20"/>
        <v>039_S_d</v>
      </c>
      <c r="E443">
        <v>117</v>
      </c>
      <c r="F443" t="s">
        <v>39</v>
      </c>
      <c r="G443" t="s">
        <v>547</v>
      </c>
      <c r="H443" t="s">
        <v>56</v>
      </c>
      <c r="I443">
        <v>0</v>
      </c>
      <c r="J443" s="82">
        <v>1.1000000000000001</v>
      </c>
      <c r="K443" s="82">
        <v>1</v>
      </c>
      <c r="L443" s="82">
        <v>1</v>
      </c>
      <c r="M443">
        <v>1</v>
      </c>
      <c r="N443" s="82">
        <v>0.9</v>
      </c>
      <c r="O443" s="44">
        <f t="shared" si="22"/>
        <v>2.4390243902439068E-3</v>
      </c>
      <c r="P443">
        <f t="shared" si="21"/>
        <v>1</v>
      </c>
      <c r="Q443" s="111" t="s">
        <v>57</v>
      </c>
      <c r="R443" t="s">
        <v>57</v>
      </c>
      <c r="S443" s="65" t="s">
        <v>57</v>
      </c>
      <c r="T443" t="s">
        <v>57</v>
      </c>
      <c r="V443" t="s">
        <v>32</v>
      </c>
    </row>
    <row r="444" spans="1:23" x14ac:dyDescent="0.2">
      <c r="A444" s="5" t="s">
        <v>536</v>
      </c>
      <c r="B444" s="6" t="s">
        <v>33</v>
      </c>
      <c r="C444" s="6" t="s">
        <v>52</v>
      </c>
      <c r="D444" s="65" t="str">
        <f t="shared" si="20"/>
        <v>039_V_d</v>
      </c>
      <c r="E444">
        <v>117</v>
      </c>
      <c r="F444" t="s">
        <v>43</v>
      </c>
      <c r="G444" t="s">
        <v>548</v>
      </c>
      <c r="I444">
        <v>4.2751405678942902</v>
      </c>
      <c r="J444" s="82">
        <v>2.4</v>
      </c>
      <c r="K444" s="82">
        <v>31.9</v>
      </c>
      <c r="L444" s="82">
        <v>6.8</v>
      </c>
      <c r="M444">
        <v>21</v>
      </c>
      <c r="N444" s="82">
        <v>19.399999999999999</v>
      </c>
      <c r="O444" s="44">
        <f t="shared" si="22"/>
        <v>11.733923778851317</v>
      </c>
      <c r="P444">
        <f t="shared" si="21"/>
        <v>16.3</v>
      </c>
      <c r="Q444" s="111">
        <v>0.47899999999999998</v>
      </c>
      <c r="R444">
        <v>0.65200000000000002</v>
      </c>
      <c r="S444" s="65">
        <v>36</v>
      </c>
      <c r="T444">
        <v>54</v>
      </c>
      <c r="U444" t="s">
        <v>72</v>
      </c>
      <c r="V444" t="s">
        <v>32</v>
      </c>
    </row>
    <row r="445" spans="1:23" ht="16" x14ac:dyDescent="0.2">
      <c r="A445" s="5" t="s">
        <v>536</v>
      </c>
      <c r="B445" s="6" t="s">
        <v>36</v>
      </c>
      <c r="C445" s="6" t="s">
        <v>52</v>
      </c>
      <c r="D445" s="65" t="str">
        <f t="shared" si="20"/>
        <v>039_O_d</v>
      </c>
      <c r="E445">
        <v>133</v>
      </c>
      <c r="F445" t="s">
        <v>41</v>
      </c>
      <c r="G445" t="s">
        <v>549</v>
      </c>
      <c r="I445">
        <v>4.0941771006184897</v>
      </c>
      <c r="J445" s="82">
        <v>27.6</v>
      </c>
      <c r="K445" s="82">
        <v>30.4</v>
      </c>
      <c r="L445" s="84">
        <v>35.799999999999997</v>
      </c>
      <c r="M445" s="82">
        <v>35.799999999999997</v>
      </c>
      <c r="N445" s="82">
        <v>35.299999999999997</v>
      </c>
      <c r="O445" s="44">
        <f t="shared" si="22"/>
        <v>0.51604938271604794</v>
      </c>
      <c r="P445">
        <f t="shared" si="21"/>
        <v>32.979999999999997</v>
      </c>
      <c r="Q445" s="111">
        <v>0.19600000000000001</v>
      </c>
      <c r="R445">
        <v>0.46700000000000003</v>
      </c>
      <c r="S445" s="65">
        <v>27</v>
      </c>
      <c r="T445">
        <v>32</v>
      </c>
      <c r="U445" t="s">
        <v>51</v>
      </c>
      <c r="V445" t="s">
        <v>32</v>
      </c>
    </row>
    <row r="446" spans="1:23" ht="16" x14ac:dyDescent="0.2">
      <c r="A446" s="5" t="s">
        <v>550</v>
      </c>
      <c r="B446" s="6" t="s">
        <v>27</v>
      </c>
      <c r="C446" s="6" t="s">
        <v>28</v>
      </c>
      <c r="D446" s="65" t="str">
        <f t="shared" si="20"/>
        <v>041_S_a</v>
      </c>
      <c r="E446">
        <v>3</v>
      </c>
      <c r="F446" t="s">
        <v>70</v>
      </c>
      <c r="G446" t="s">
        <v>551</v>
      </c>
      <c r="I446">
        <v>3.6565113408424601</v>
      </c>
      <c r="J446" s="84">
        <v>3.9</v>
      </c>
      <c r="K446" s="82">
        <v>22.1</v>
      </c>
      <c r="L446" s="82">
        <v>18.100000000000001</v>
      </c>
      <c r="M446" s="82">
        <v>31</v>
      </c>
      <c r="N446" s="82">
        <v>42.7</v>
      </c>
      <c r="O446" s="44">
        <f t="shared" si="22"/>
        <v>6.7861074123391072</v>
      </c>
      <c r="P446">
        <f t="shared" si="21"/>
        <v>23.56</v>
      </c>
      <c r="Q446" s="111">
        <v>0.48199999999999998</v>
      </c>
      <c r="R446">
        <v>0.41499999999999998</v>
      </c>
      <c r="S446" s="65">
        <v>11</v>
      </c>
      <c r="T446">
        <v>13</v>
      </c>
      <c r="U446" t="s">
        <v>260</v>
      </c>
      <c r="V446" t="s">
        <v>32</v>
      </c>
    </row>
    <row r="447" spans="1:23" x14ac:dyDescent="0.2">
      <c r="A447" s="1" t="s">
        <v>550</v>
      </c>
      <c r="B447" t="s">
        <v>33</v>
      </c>
      <c r="C447" t="s">
        <v>28</v>
      </c>
      <c r="D447" s="65" t="str">
        <f t="shared" si="20"/>
        <v>041_V_a</v>
      </c>
      <c r="E447">
        <v>23</v>
      </c>
      <c r="F447" t="s">
        <v>29</v>
      </c>
      <c r="G447" t="s">
        <v>552</v>
      </c>
      <c r="I447">
        <v>3.3509329850189302</v>
      </c>
      <c r="J447" s="82">
        <v>5.3</v>
      </c>
      <c r="K447" s="82">
        <v>5.5</v>
      </c>
      <c r="L447" s="82">
        <v>31.4</v>
      </c>
      <c r="M447" s="82">
        <v>2</v>
      </c>
      <c r="N447" s="82">
        <v>27.9</v>
      </c>
      <c r="O447" s="44">
        <f t="shared" si="22"/>
        <v>16.889592760180992</v>
      </c>
      <c r="P447">
        <f t="shared" si="21"/>
        <v>14.419999999999998</v>
      </c>
      <c r="Q447" s="111">
        <v>0.108</v>
      </c>
      <c r="R447">
        <v>0.22500000000000001</v>
      </c>
      <c r="S447" s="65">
        <v>5</v>
      </c>
      <c r="T447">
        <v>16</v>
      </c>
      <c r="U447" t="s">
        <v>31</v>
      </c>
      <c r="V447" t="s">
        <v>32</v>
      </c>
      <c r="W447" t="s">
        <v>553</v>
      </c>
    </row>
    <row r="448" spans="1:23" x14ac:dyDescent="0.2">
      <c r="A448" s="5" t="s">
        <v>550</v>
      </c>
      <c r="B448" s="6" t="s">
        <v>36</v>
      </c>
      <c r="C448" s="6" t="s">
        <v>28</v>
      </c>
      <c r="D448" s="65" t="str">
        <f t="shared" si="20"/>
        <v>041_O_a</v>
      </c>
      <c r="E448">
        <v>28</v>
      </c>
      <c r="F448" t="s">
        <v>63</v>
      </c>
      <c r="G448" t="s">
        <v>554</v>
      </c>
      <c r="I448">
        <v>3.7377049180327901</v>
      </c>
      <c r="J448" s="82">
        <v>15.6</v>
      </c>
      <c r="K448" t="s">
        <v>57</v>
      </c>
      <c r="L448" s="82">
        <v>31.7</v>
      </c>
      <c r="M448" s="82">
        <v>30.7</v>
      </c>
      <c r="N448" s="82">
        <v>34.799999999999997</v>
      </c>
      <c r="O448" s="44">
        <f t="shared" si="22"/>
        <v>3.1296153846153802</v>
      </c>
      <c r="P448">
        <f t="shared" si="21"/>
        <v>28.2</v>
      </c>
      <c r="Q448" s="111">
        <v>0.28899999999999998</v>
      </c>
      <c r="R448">
        <v>0.39500000000000002</v>
      </c>
      <c r="S448" s="65">
        <v>7</v>
      </c>
      <c r="T448">
        <v>17</v>
      </c>
      <c r="U448" t="s">
        <v>31</v>
      </c>
      <c r="V448" t="s">
        <v>32</v>
      </c>
    </row>
    <row r="449" spans="1:23" x14ac:dyDescent="0.2">
      <c r="A449" s="1" t="s">
        <v>550</v>
      </c>
      <c r="B449" t="s">
        <v>33</v>
      </c>
      <c r="C449" t="s">
        <v>38</v>
      </c>
      <c r="D449" s="65" t="str">
        <f t="shared" si="20"/>
        <v>041_V_b</v>
      </c>
      <c r="E449">
        <v>38</v>
      </c>
      <c r="F449" t="s">
        <v>82</v>
      </c>
      <c r="G449" t="s">
        <v>555</v>
      </c>
      <c r="I449">
        <v>1.4147366694908301</v>
      </c>
      <c r="J449" s="82">
        <v>33.799999999999997</v>
      </c>
      <c r="K449" s="82">
        <v>35.9</v>
      </c>
      <c r="L449" s="82">
        <v>2.2999999999999998</v>
      </c>
      <c r="M449" s="82">
        <v>32.200000000000003</v>
      </c>
      <c r="N449" s="82">
        <v>39.4</v>
      </c>
      <c r="O449" s="44">
        <f t="shared" si="22"/>
        <v>9.7117082533589354</v>
      </c>
      <c r="P449">
        <f t="shared" si="21"/>
        <v>28.72</v>
      </c>
      <c r="Q449" s="111">
        <v>0.17399999999999999</v>
      </c>
      <c r="R449">
        <v>0.27400000000000002</v>
      </c>
      <c r="S449" s="65">
        <v>13</v>
      </c>
      <c r="T449">
        <v>13</v>
      </c>
      <c r="U449" t="s">
        <v>31</v>
      </c>
      <c r="V449" t="s">
        <v>32</v>
      </c>
    </row>
    <row r="450" spans="1:23" x14ac:dyDescent="0.2">
      <c r="A450" s="5" t="s">
        <v>550</v>
      </c>
      <c r="B450" s="6" t="s">
        <v>36</v>
      </c>
      <c r="C450" s="6" t="s">
        <v>38</v>
      </c>
      <c r="D450" s="65" t="str">
        <f t="shared" ref="D450:D513" si="23">A450&amp;"_"&amp;B450&amp;"_"&amp;C450</f>
        <v>041_O_b</v>
      </c>
      <c r="E450">
        <v>62</v>
      </c>
      <c r="F450" t="s">
        <v>49</v>
      </c>
      <c r="G450" t="s">
        <v>556</v>
      </c>
      <c r="I450">
        <v>3.90761827200711</v>
      </c>
      <c r="J450" s="82">
        <v>39.700000000000003</v>
      </c>
      <c r="K450" s="82">
        <v>44.1</v>
      </c>
      <c r="L450" s="82">
        <v>24.7</v>
      </c>
      <c r="M450" s="82">
        <v>18.399999999999999</v>
      </c>
      <c r="N450" s="82">
        <v>37.4</v>
      </c>
      <c r="O450" s="44">
        <f t="shared" si="22"/>
        <v>4.6613869188337365</v>
      </c>
      <c r="P450">
        <f t="shared" ref="P450:P513" si="24">AVERAGE(J450:N450)</f>
        <v>32.86</v>
      </c>
      <c r="Q450" s="111">
        <v>0.27400000000000002</v>
      </c>
      <c r="R450">
        <v>0.38100000000000001</v>
      </c>
      <c r="S450" s="65">
        <v>18</v>
      </c>
      <c r="T450">
        <v>8</v>
      </c>
      <c r="U450" t="s">
        <v>31</v>
      </c>
      <c r="V450" t="s">
        <v>32</v>
      </c>
    </row>
    <row r="451" spans="1:23" x14ac:dyDescent="0.2">
      <c r="A451" s="5" t="s">
        <v>550</v>
      </c>
      <c r="B451" s="6" t="s">
        <v>27</v>
      </c>
      <c r="C451" s="6" t="s">
        <v>38</v>
      </c>
      <c r="D451" s="65" t="str">
        <f t="shared" si="23"/>
        <v>041_S_b</v>
      </c>
      <c r="E451">
        <v>69</v>
      </c>
      <c r="F451" t="s">
        <v>82</v>
      </c>
      <c r="G451" t="s">
        <v>557</v>
      </c>
      <c r="I451">
        <v>4.55254975124378</v>
      </c>
      <c r="J451" s="82">
        <v>35.5</v>
      </c>
      <c r="K451" s="82">
        <v>43.8</v>
      </c>
      <c r="L451" s="82">
        <v>27.5</v>
      </c>
      <c r="M451" s="82">
        <v>27.6</v>
      </c>
      <c r="N451" s="82">
        <v>31.5</v>
      </c>
      <c r="O451" s="44">
        <f t="shared" si="22"/>
        <v>1.7942460317460283</v>
      </c>
      <c r="P451">
        <f t="shared" si="24"/>
        <v>33.18</v>
      </c>
      <c r="Q451" s="111">
        <v>0.23400000000000001</v>
      </c>
      <c r="R451">
        <v>0.58299999999999996</v>
      </c>
      <c r="S451" s="65">
        <v>7</v>
      </c>
      <c r="T451">
        <v>68</v>
      </c>
      <c r="U451" t="s">
        <v>31</v>
      </c>
      <c r="V451" t="s">
        <v>32</v>
      </c>
    </row>
    <row r="452" spans="1:23" x14ac:dyDescent="0.2">
      <c r="A452" s="5" t="s">
        <v>550</v>
      </c>
      <c r="B452" s="6" t="s">
        <v>33</v>
      </c>
      <c r="C452" s="6" t="s">
        <v>45</v>
      </c>
      <c r="D452" s="65" t="str">
        <f t="shared" si="23"/>
        <v>041_V_c</v>
      </c>
      <c r="E452">
        <v>84</v>
      </c>
      <c r="F452" t="s">
        <v>82</v>
      </c>
      <c r="G452" t="s">
        <v>558</v>
      </c>
      <c r="I452">
        <v>2.9765546097244302</v>
      </c>
      <c r="J452" s="82">
        <v>31.9</v>
      </c>
      <c r="K452" t="s">
        <v>57</v>
      </c>
      <c r="L452" s="82">
        <v>43.2</v>
      </c>
      <c r="M452" s="82">
        <v>8.1999999999999993</v>
      </c>
      <c r="N452" s="82">
        <v>28.9</v>
      </c>
      <c r="O452" s="44">
        <f t="shared" si="22"/>
        <v>11.490876350540223</v>
      </c>
      <c r="P452">
        <f t="shared" si="24"/>
        <v>28.049999999999997</v>
      </c>
      <c r="Q452" s="111">
        <v>0.29499999999999998</v>
      </c>
      <c r="R452">
        <v>0.32300000000000001</v>
      </c>
      <c r="S452" s="65">
        <v>8</v>
      </c>
      <c r="T452">
        <v>18</v>
      </c>
      <c r="U452" t="s">
        <v>72</v>
      </c>
      <c r="V452" t="s">
        <v>32</v>
      </c>
    </row>
    <row r="453" spans="1:23" x14ac:dyDescent="0.2">
      <c r="A453" s="5" t="s">
        <v>550</v>
      </c>
      <c r="B453" s="6" t="s">
        <v>27</v>
      </c>
      <c r="C453" s="6" t="s">
        <v>45</v>
      </c>
      <c r="D453" s="65" t="str">
        <f t="shared" si="23"/>
        <v>041_S_c</v>
      </c>
      <c r="E453">
        <v>94</v>
      </c>
      <c r="F453" t="s">
        <v>82</v>
      </c>
      <c r="G453" t="s">
        <v>559</v>
      </c>
      <c r="I453">
        <v>5.43015415268456</v>
      </c>
      <c r="J453" s="82">
        <v>41.9</v>
      </c>
      <c r="K453" s="82">
        <v>44.3</v>
      </c>
      <c r="L453" s="82">
        <v>33.799999999999997</v>
      </c>
      <c r="M453">
        <v>14.9</v>
      </c>
      <c r="N453" s="82">
        <v>37.4</v>
      </c>
      <c r="O453" s="44">
        <f t="shared" si="22"/>
        <v>5.2685693106004514</v>
      </c>
      <c r="P453">
        <f t="shared" si="24"/>
        <v>34.459999999999994</v>
      </c>
      <c r="Q453" s="111">
        <v>0.498</v>
      </c>
      <c r="R453">
        <v>0.65500000000000003</v>
      </c>
      <c r="S453" s="65">
        <v>23</v>
      </c>
      <c r="T453">
        <v>25</v>
      </c>
      <c r="U453" t="s">
        <v>51</v>
      </c>
      <c r="V453" t="s">
        <v>32</v>
      </c>
    </row>
    <row r="454" spans="1:23" x14ac:dyDescent="0.2">
      <c r="A454" s="5" t="s">
        <v>550</v>
      </c>
      <c r="B454" s="6" t="s">
        <v>36</v>
      </c>
      <c r="C454" s="6" t="s">
        <v>45</v>
      </c>
      <c r="D454" s="65" t="str">
        <f t="shared" si="23"/>
        <v>041_O_c</v>
      </c>
      <c r="E454">
        <v>105</v>
      </c>
      <c r="F454" t="s">
        <v>43</v>
      </c>
      <c r="G454" t="s">
        <v>560</v>
      </c>
      <c r="I454">
        <v>4.8441971810342697</v>
      </c>
      <c r="J454" s="82">
        <v>44.9</v>
      </c>
      <c r="K454" s="82">
        <v>25.3</v>
      </c>
      <c r="L454" s="82">
        <v>13.5</v>
      </c>
      <c r="M454">
        <v>37.5</v>
      </c>
      <c r="N454" s="82">
        <v>40</v>
      </c>
      <c r="O454" s="44">
        <f t="shared" si="22"/>
        <v>6.2952695269526977</v>
      </c>
      <c r="P454">
        <f t="shared" si="24"/>
        <v>32.239999999999995</v>
      </c>
      <c r="Q454" s="111">
        <v>0.318</v>
      </c>
      <c r="R454">
        <v>0.66</v>
      </c>
      <c r="S454" s="65">
        <v>11</v>
      </c>
      <c r="T454">
        <v>21</v>
      </c>
      <c r="U454" t="s">
        <v>72</v>
      </c>
      <c r="V454" t="s">
        <v>32</v>
      </c>
    </row>
    <row r="455" spans="1:23" ht="16" x14ac:dyDescent="0.2">
      <c r="A455" s="5" t="s">
        <v>550</v>
      </c>
      <c r="B455" s="6" t="s">
        <v>33</v>
      </c>
      <c r="C455" s="6" t="s">
        <v>52</v>
      </c>
      <c r="D455" s="65" t="str">
        <f t="shared" si="23"/>
        <v>041_V_d</v>
      </c>
      <c r="E455">
        <v>122</v>
      </c>
      <c r="F455" t="s">
        <v>63</v>
      </c>
      <c r="G455" t="s">
        <v>561</v>
      </c>
      <c r="I455">
        <v>3.5917617144932801</v>
      </c>
      <c r="J455" s="82">
        <v>8.6</v>
      </c>
      <c r="K455" s="82">
        <v>29.8</v>
      </c>
      <c r="L455" s="84">
        <v>24.2</v>
      </c>
      <c r="M455">
        <v>8.1999999999999993</v>
      </c>
      <c r="N455" s="82">
        <v>41.2</v>
      </c>
      <c r="O455" s="44">
        <f t="shared" si="22"/>
        <v>6.8120527306968039</v>
      </c>
      <c r="P455">
        <f t="shared" si="24"/>
        <v>22.4</v>
      </c>
      <c r="Q455" s="111">
        <v>0.23799999999999999</v>
      </c>
      <c r="R455">
        <v>0.441</v>
      </c>
      <c r="S455" s="65">
        <v>12</v>
      </c>
      <c r="T455">
        <v>13</v>
      </c>
      <c r="U455" t="s">
        <v>31</v>
      </c>
      <c r="V455" t="s">
        <v>32</v>
      </c>
    </row>
    <row r="456" spans="1:23" ht="16" x14ac:dyDescent="0.2">
      <c r="A456" s="5" t="s">
        <v>550</v>
      </c>
      <c r="B456" s="6" t="s">
        <v>36</v>
      </c>
      <c r="C456" s="6" t="s">
        <v>52</v>
      </c>
      <c r="D456" s="65" t="str">
        <f t="shared" si="23"/>
        <v>041_O_d</v>
      </c>
      <c r="E456">
        <v>131</v>
      </c>
      <c r="F456" t="s">
        <v>63</v>
      </c>
      <c r="G456" t="s">
        <v>562</v>
      </c>
      <c r="I456">
        <v>3.04049576451186</v>
      </c>
      <c r="J456" s="82">
        <v>50.4</v>
      </c>
      <c r="K456" s="82">
        <v>44.1</v>
      </c>
      <c r="L456" s="84">
        <v>13.6</v>
      </c>
      <c r="M456" s="81">
        <v>1</v>
      </c>
      <c r="N456" s="82">
        <v>50.7</v>
      </c>
      <c r="O456" s="44">
        <f t="shared" si="22"/>
        <v>20.717720745493438</v>
      </c>
      <c r="P456">
        <f t="shared" si="24"/>
        <v>31.96</v>
      </c>
      <c r="Q456" s="111">
        <v>0.20200000000000001</v>
      </c>
      <c r="R456">
        <v>0.39200000000000002</v>
      </c>
      <c r="S456" s="65">
        <v>9</v>
      </c>
      <c r="T456">
        <v>7</v>
      </c>
      <c r="U456" t="s">
        <v>54</v>
      </c>
      <c r="V456" t="s">
        <v>32</v>
      </c>
    </row>
    <row r="457" spans="1:23" ht="16" x14ac:dyDescent="0.2">
      <c r="A457" s="5" t="s">
        <v>550</v>
      </c>
      <c r="B457" s="6" t="s">
        <v>27</v>
      </c>
      <c r="C457" s="6" t="s">
        <v>52</v>
      </c>
      <c r="D457" s="65" t="str">
        <f t="shared" si="23"/>
        <v>041_S_d</v>
      </c>
      <c r="E457">
        <v>138</v>
      </c>
      <c r="F457" t="s">
        <v>34</v>
      </c>
      <c r="G457" t="s">
        <v>563</v>
      </c>
      <c r="H457" t="s">
        <v>56</v>
      </c>
      <c r="I457">
        <v>0</v>
      </c>
      <c r="J457" s="81"/>
      <c r="K457" s="82">
        <v>1</v>
      </c>
      <c r="L457" s="84">
        <v>1</v>
      </c>
      <c r="M457" s="82">
        <v>1</v>
      </c>
      <c r="N457" s="82">
        <v>0.9</v>
      </c>
      <c r="O457" s="44">
        <f t="shared" si="22"/>
        <v>0</v>
      </c>
      <c r="P457">
        <f t="shared" si="24"/>
        <v>0.97499999999999998</v>
      </c>
      <c r="Q457" s="111" t="s">
        <v>57</v>
      </c>
      <c r="R457" t="s">
        <v>57</v>
      </c>
      <c r="S457" s="65" t="s">
        <v>57</v>
      </c>
      <c r="T457" t="s">
        <v>57</v>
      </c>
      <c r="V457" t="s">
        <v>32</v>
      </c>
      <c r="W457" t="s">
        <v>67</v>
      </c>
    </row>
    <row r="458" spans="1:23" ht="16" x14ac:dyDescent="0.2">
      <c r="A458" s="5" t="s">
        <v>564</v>
      </c>
      <c r="B458" s="6" t="s">
        <v>36</v>
      </c>
      <c r="C458" s="6" t="s">
        <v>28</v>
      </c>
      <c r="D458" s="65" t="str">
        <f t="shared" si="23"/>
        <v>042_O_a</v>
      </c>
      <c r="E458">
        <v>2</v>
      </c>
      <c r="F458" t="s">
        <v>43</v>
      </c>
      <c r="G458" t="s">
        <v>565</v>
      </c>
      <c r="I458">
        <v>1.86628988149499</v>
      </c>
      <c r="J458" s="84">
        <v>23</v>
      </c>
      <c r="K458" s="82">
        <v>24.6</v>
      </c>
      <c r="L458" s="82">
        <v>22.4</v>
      </c>
      <c r="M458" s="82">
        <v>12.2</v>
      </c>
      <c r="N458" s="82">
        <v>14.3</v>
      </c>
      <c r="O458" s="44">
        <f t="shared" si="22"/>
        <v>1.5498783454987826</v>
      </c>
      <c r="P458">
        <f t="shared" si="24"/>
        <v>19.3</v>
      </c>
      <c r="Q458" s="111">
        <v>0.157</v>
      </c>
      <c r="R458">
        <v>0.21099999999999999</v>
      </c>
      <c r="S458" s="65">
        <v>14</v>
      </c>
      <c r="T458">
        <v>22</v>
      </c>
      <c r="U458" t="s">
        <v>54</v>
      </c>
      <c r="V458" t="s">
        <v>32</v>
      </c>
    </row>
    <row r="459" spans="1:23" ht="16" x14ac:dyDescent="0.2">
      <c r="A459" s="45" t="s">
        <v>564</v>
      </c>
      <c r="B459" s="46" t="s">
        <v>33</v>
      </c>
      <c r="C459" s="46" t="s">
        <v>28</v>
      </c>
      <c r="D459" s="67" t="str">
        <f t="shared" si="23"/>
        <v>042_V_a</v>
      </c>
      <c r="E459" s="47">
        <v>14</v>
      </c>
      <c r="F459" s="47" t="s">
        <v>70</v>
      </c>
      <c r="G459" s="47" t="s">
        <v>566</v>
      </c>
      <c r="H459" s="47"/>
      <c r="I459">
        <v>3.41328106879436</v>
      </c>
      <c r="J459" s="84">
        <v>37.4</v>
      </c>
      <c r="K459" s="82">
        <v>5.4</v>
      </c>
      <c r="L459" s="82">
        <v>9</v>
      </c>
      <c r="M459" s="82">
        <v>6.3</v>
      </c>
      <c r="N459" s="82">
        <v>26.9</v>
      </c>
      <c r="O459" s="48">
        <f t="shared" si="22"/>
        <v>16.172289156626515</v>
      </c>
      <c r="P459">
        <f t="shared" si="24"/>
        <v>17</v>
      </c>
      <c r="Q459" s="113">
        <v>0.315</v>
      </c>
      <c r="R459" s="47">
        <v>0.41799999999999998</v>
      </c>
      <c r="S459" s="67">
        <v>3</v>
      </c>
      <c r="T459" s="47">
        <v>21</v>
      </c>
      <c r="U459" s="47" t="s">
        <v>72</v>
      </c>
      <c r="V459" t="s">
        <v>32</v>
      </c>
      <c r="W459" s="47"/>
    </row>
    <row r="460" spans="1:23" x14ac:dyDescent="0.2">
      <c r="A460" s="5" t="s">
        <v>564</v>
      </c>
      <c r="B460" s="6" t="s">
        <v>27</v>
      </c>
      <c r="C460" s="6" t="s">
        <v>28</v>
      </c>
      <c r="D460" s="65" t="str">
        <f t="shared" si="23"/>
        <v>042_S_a</v>
      </c>
      <c r="E460">
        <v>25</v>
      </c>
      <c r="F460" t="s">
        <v>82</v>
      </c>
      <c r="G460" t="s">
        <v>567</v>
      </c>
      <c r="I460">
        <v>5.7679528718704001</v>
      </c>
      <c r="J460" s="82">
        <v>34.700000000000003</v>
      </c>
      <c r="K460" t="s">
        <v>57</v>
      </c>
      <c r="L460" s="82">
        <v>37</v>
      </c>
      <c r="M460" s="82">
        <v>43.5</v>
      </c>
      <c r="N460" s="82">
        <v>39.1</v>
      </c>
      <c r="O460" s="44">
        <f t="shared" si="22"/>
        <v>0.54244791666666647</v>
      </c>
      <c r="P460">
        <f t="shared" si="24"/>
        <v>38.575000000000003</v>
      </c>
      <c r="Q460" s="111">
        <v>0.33500000000000002</v>
      </c>
      <c r="R460">
        <v>0.434</v>
      </c>
      <c r="S460" s="65">
        <v>14</v>
      </c>
      <c r="T460" s="43">
        <v>14</v>
      </c>
      <c r="U460" t="s">
        <v>31</v>
      </c>
      <c r="V460" t="s">
        <v>32</v>
      </c>
    </row>
    <row r="461" spans="1:23" x14ac:dyDescent="0.2">
      <c r="A461" s="5" t="s">
        <v>564</v>
      </c>
      <c r="B461" s="6" t="s">
        <v>27</v>
      </c>
      <c r="C461" s="6" t="s">
        <v>38</v>
      </c>
      <c r="D461" s="65" t="str">
        <f t="shared" si="23"/>
        <v>042_S_b</v>
      </c>
      <c r="E461">
        <v>49</v>
      </c>
      <c r="F461" t="s">
        <v>70</v>
      </c>
      <c r="G461" t="s">
        <v>568</v>
      </c>
      <c r="I461">
        <v>2.8947815262044099</v>
      </c>
      <c r="J461" s="82">
        <v>3.7</v>
      </c>
      <c r="K461" s="82">
        <v>40.200000000000003</v>
      </c>
      <c r="L461" s="82">
        <v>46.5</v>
      </c>
      <c r="M461" s="82">
        <v>7.6</v>
      </c>
      <c r="N461" s="82">
        <v>51.3</v>
      </c>
      <c r="O461" s="44">
        <f t="shared" si="22"/>
        <v>19.710748299319739</v>
      </c>
      <c r="P461">
        <f t="shared" si="24"/>
        <v>29.860000000000003</v>
      </c>
      <c r="Q461" s="111">
        <v>0.151</v>
      </c>
      <c r="R461">
        <v>0.39700000000000002</v>
      </c>
      <c r="S461" s="65">
        <v>29</v>
      </c>
      <c r="T461" s="43">
        <v>16</v>
      </c>
      <c r="U461" t="s">
        <v>54</v>
      </c>
      <c r="V461" t="s">
        <v>32</v>
      </c>
    </row>
    <row r="462" spans="1:23" x14ac:dyDescent="0.2">
      <c r="A462" s="5" t="s">
        <v>564</v>
      </c>
      <c r="B462" s="6" t="s">
        <v>36</v>
      </c>
      <c r="C462" s="6" t="s">
        <v>38</v>
      </c>
      <c r="D462" s="65" t="str">
        <f t="shared" si="23"/>
        <v>042_O_b</v>
      </c>
      <c r="E462">
        <v>57</v>
      </c>
      <c r="F462" t="s">
        <v>70</v>
      </c>
      <c r="G462" t="s">
        <v>569</v>
      </c>
      <c r="I462">
        <v>2.9971277088588</v>
      </c>
      <c r="J462" s="82">
        <v>23.7</v>
      </c>
      <c r="K462" s="82">
        <v>24.2</v>
      </c>
      <c r="L462" s="82">
        <v>4.4000000000000004</v>
      </c>
      <c r="M462" s="82">
        <v>33.299999999999997</v>
      </c>
      <c r="N462" s="82">
        <v>31.2</v>
      </c>
      <c r="O462" s="44">
        <f t="shared" si="22"/>
        <v>6.9118380062305338</v>
      </c>
      <c r="P462">
        <f t="shared" si="24"/>
        <v>23.36</v>
      </c>
      <c r="Q462" s="111">
        <v>0.18099999999999999</v>
      </c>
      <c r="R462">
        <v>0.23200000000000001</v>
      </c>
      <c r="S462" s="65">
        <v>11</v>
      </c>
      <c r="T462">
        <v>33</v>
      </c>
      <c r="U462" t="s">
        <v>31</v>
      </c>
      <c r="V462" t="s">
        <v>32</v>
      </c>
    </row>
    <row r="463" spans="1:23" x14ac:dyDescent="0.2">
      <c r="A463" s="1" t="s">
        <v>564</v>
      </c>
      <c r="B463" t="s">
        <v>33</v>
      </c>
      <c r="C463" t="s">
        <v>38</v>
      </c>
      <c r="D463" s="65" t="str">
        <f t="shared" si="23"/>
        <v>042_V_b</v>
      </c>
      <c r="E463">
        <v>66</v>
      </c>
      <c r="F463" t="s">
        <v>70</v>
      </c>
      <c r="G463" t="s">
        <v>570</v>
      </c>
      <c r="I463">
        <v>3.2197500363319298</v>
      </c>
      <c r="J463" s="82">
        <v>3.8</v>
      </c>
      <c r="K463" s="82">
        <v>47.3</v>
      </c>
      <c r="L463" t="s">
        <v>57</v>
      </c>
      <c r="M463" s="82">
        <v>10.199999999999999</v>
      </c>
      <c r="N463" s="82">
        <v>4.9000000000000004</v>
      </c>
      <c r="O463" s="44">
        <f t="shared" si="22"/>
        <v>26.995269168026091</v>
      </c>
      <c r="P463">
        <f t="shared" si="24"/>
        <v>16.55</v>
      </c>
      <c r="Q463" s="111">
        <v>0.17799999999999999</v>
      </c>
      <c r="R463">
        <v>0.315</v>
      </c>
      <c r="S463" s="65">
        <v>11</v>
      </c>
      <c r="T463">
        <v>22</v>
      </c>
      <c r="U463" t="s">
        <v>31</v>
      </c>
      <c r="V463" t="s">
        <v>32</v>
      </c>
    </row>
    <row r="464" spans="1:23" x14ac:dyDescent="0.2">
      <c r="A464" s="5" t="s">
        <v>564</v>
      </c>
      <c r="B464" s="6" t="s">
        <v>27</v>
      </c>
      <c r="C464" s="6" t="s">
        <v>45</v>
      </c>
      <c r="D464" s="65" t="str">
        <f t="shared" si="23"/>
        <v>042_S_c</v>
      </c>
      <c r="E464">
        <v>74</v>
      </c>
      <c r="F464" t="s">
        <v>34</v>
      </c>
      <c r="G464" t="s">
        <v>571</v>
      </c>
      <c r="H464" t="s">
        <v>56</v>
      </c>
      <c r="I464">
        <v>0</v>
      </c>
      <c r="J464" s="82">
        <v>0.9</v>
      </c>
      <c r="K464" s="82">
        <v>1</v>
      </c>
      <c r="L464" s="82">
        <v>1</v>
      </c>
      <c r="M464" s="82">
        <v>1</v>
      </c>
      <c r="N464" s="82">
        <v>0.9</v>
      </c>
      <c r="O464" s="44">
        <f t="shared" si="22"/>
        <v>2.5641025641025632E-3</v>
      </c>
      <c r="P464">
        <f t="shared" si="24"/>
        <v>0.96</v>
      </c>
      <c r="Q464" s="111" t="s">
        <v>57</v>
      </c>
      <c r="R464" t="s">
        <v>57</v>
      </c>
      <c r="S464" s="65" t="s">
        <v>57</v>
      </c>
      <c r="T464" t="s">
        <v>57</v>
      </c>
      <c r="U464" t="s">
        <v>208</v>
      </c>
      <c r="V464" t="s">
        <v>32</v>
      </c>
      <c r="W464" t="s">
        <v>67</v>
      </c>
    </row>
    <row r="465" spans="1:23" x14ac:dyDescent="0.2">
      <c r="A465" s="5" t="s">
        <v>564</v>
      </c>
      <c r="B465" s="6" t="s">
        <v>33</v>
      </c>
      <c r="C465" s="6" t="s">
        <v>45</v>
      </c>
      <c r="D465" s="65" t="str">
        <f t="shared" si="23"/>
        <v>042_V_c</v>
      </c>
      <c r="E465">
        <v>81</v>
      </c>
      <c r="F465" t="s">
        <v>82</v>
      </c>
      <c r="G465" t="s">
        <v>572</v>
      </c>
      <c r="I465">
        <v>4.6324149235092102</v>
      </c>
      <c r="J465" s="82">
        <v>36.1</v>
      </c>
      <c r="K465" s="82">
        <v>3.8</v>
      </c>
      <c r="L465" s="82">
        <v>17.899999999999999</v>
      </c>
      <c r="M465" s="82">
        <v>8.8000000000000007</v>
      </c>
      <c r="N465" s="82">
        <v>2.6</v>
      </c>
      <c r="O465" s="44">
        <f t="shared" si="22"/>
        <v>12.144344344344347</v>
      </c>
      <c r="P465">
        <f t="shared" si="24"/>
        <v>13.839999999999998</v>
      </c>
      <c r="Q465" s="111">
        <v>0.28499999999999998</v>
      </c>
      <c r="R465">
        <v>0.40899999999999997</v>
      </c>
      <c r="S465" s="65">
        <v>12</v>
      </c>
      <c r="T465">
        <v>16</v>
      </c>
      <c r="U465" t="s">
        <v>72</v>
      </c>
      <c r="V465" t="s">
        <v>32</v>
      </c>
    </row>
    <row r="466" spans="1:23" x14ac:dyDescent="0.2">
      <c r="A466" s="5" t="s">
        <v>564</v>
      </c>
      <c r="B466" s="6" t="s">
        <v>36</v>
      </c>
      <c r="C466" s="6" t="s">
        <v>45</v>
      </c>
      <c r="D466" s="65" t="str">
        <f t="shared" si="23"/>
        <v>042_O_c</v>
      </c>
      <c r="E466">
        <v>84</v>
      </c>
      <c r="F466" t="s">
        <v>41</v>
      </c>
      <c r="G466" t="s">
        <v>573</v>
      </c>
      <c r="I466">
        <v>1.3285384504400499</v>
      </c>
      <c r="J466" s="82">
        <v>18.8</v>
      </c>
      <c r="K466" t="s">
        <v>57</v>
      </c>
      <c r="L466" s="82">
        <v>2.7</v>
      </c>
      <c r="M466" s="82">
        <v>26.8</v>
      </c>
      <c r="N466" s="82">
        <v>33.299999999999997</v>
      </c>
      <c r="O466" s="44">
        <f t="shared" si="22"/>
        <v>9.3583850931677048</v>
      </c>
      <c r="P466">
        <f t="shared" si="24"/>
        <v>20.399999999999999</v>
      </c>
      <c r="Q466" s="111">
        <v>6.9000000000000006E-2</v>
      </c>
      <c r="R466">
        <v>0.13600000000000001</v>
      </c>
      <c r="S466" s="65">
        <v>7</v>
      </c>
      <c r="T466">
        <v>23</v>
      </c>
      <c r="U466" t="s">
        <v>72</v>
      </c>
      <c r="V466" t="s">
        <v>32</v>
      </c>
    </row>
    <row r="467" spans="1:23" x14ac:dyDescent="0.2">
      <c r="A467" s="5" t="s">
        <v>564</v>
      </c>
      <c r="B467" s="6" t="s">
        <v>33</v>
      </c>
      <c r="C467" s="6" t="s">
        <v>52</v>
      </c>
      <c r="D467" s="65" t="str">
        <f t="shared" si="23"/>
        <v>042_V_d</v>
      </c>
      <c r="E467">
        <v>113</v>
      </c>
      <c r="F467" t="s">
        <v>82</v>
      </c>
      <c r="G467" t="s">
        <v>574</v>
      </c>
      <c r="I467">
        <v>3.9382920239633501</v>
      </c>
      <c r="J467" s="82">
        <v>38.700000000000003</v>
      </c>
      <c r="K467" s="82">
        <v>37.799999999999997</v>
      </c>
      <c r="L467" s="82">
        <v>31</v>
      </c>
      <c r="M467">
        <v>35.700000000000003</v>
      </c>
      <c r="N467" s="82">
        <v>0.9</v>
      </c>
      <c r="O467" s="44">
        <f t="shared" si="22"/>
        <v>0.33016759776536314</v>
      </c>
      <c r="P467">
        <f t="shared" si="24"/>
        <v>28.82</v>
      </c>
      <c r="Q467" s="111">
        <v>0.35599999999999998</v>
      </c>
      <c r="R467">
        <v>0.39300000000000002</v>
      </c>
      <c r="S467" s="65">
        <v>10</v>
      </c>
      <c r="T467">
        <v>11</v>
      </c>
      <c r="U467" t="s">
        <v>54</v>
      </c>
      <c r="V467" t="s">
        <v>32</v>
      </c>
    </row>
    <row r="468" spans="1:23" ht="16" x14ac:dyDescent="0.2">
      <c r="A468" s="5" t="s">
        <v>564</v>
      </c>
      <c r="B468" s="6" t="s">
        <v>27</v>
      </c>
      <c r="C468" s="6" t="s">
        <v>52</v>
      </c>
      <c r="D468" s="65" t="str">
        <f t="shared" si="23"/>
        <v>042_S_d</v>
      </c>
      <c r="E468">
        <v>141</v>
      </c>
      <c r="F468" t="s">
        <v>70</v>
      </c>
      <c r="G468" t="s">
        <v>575</v>
      </c>
      <c r="I468">
        <v>7.1107594936708898</v>
      </c>
      <c r="J468" s="82">
        <v>17</v>
      </c>
      <c r="K468" s="82">
        <v>1.5</v>
      </c>
      <c r="L468" s="84">
        <v>26.7</v>
      </c>
      <c r="M468" s="82">
        <v>33.299999999999997</v>
      </c>
      <c r="N468" s="82">
        <v>46.2</v>
      </c>
      <c r="O468" s="44">
        <f t="shared" si="22"/>
        <v>9.7234394904458554</v>
      </c>
      <c r="P468">
        <f t="shared" si="24"/>
        <v>24.94</v>
      </c>
      <c r="Q468" s="111">
        <v>0.59099999999999997</v>
      </c>
      <c r="R468">
        <v>0.58399999999999996</v>
      </c>
      <c r="S468" s="65">
        <v>5</v>
      </c>
      <c r="T468">
        <v>36</v>
      </c>
      <c r="U468" t="s">
        <v>47</v>
      </c>
      <c r="V468" t="s">
        <v>32</v>
      </c>
    </row>
    <row r="469" spans="1:23" ht="16" x14ac:dyDescent="0.2">
      <c r="A469" s="5" t="s">
        <v>564</v>
      </c>
      <c r="B469" s="6" t="s">
        <v>36</v>
      </c>
      <c r="C469" s="6" t="s">
        <v>52</v>
      </c>
      <c r="D469" s="65" t="str">
        <f t="shared" si="23"/>
        <v>042_O_d</v>
      </c>
      <c r="E469">
        <v>142</v>
      </c>
      <c r="F469" t="s">
        <v>70</v>
      </c>
      <c r="G469" t="s">
        <v>576</v>
      </c>
      <c r="I469">
        <v>1.26439334662662</v>
      </c>
      <c r="J469" s="82">
        <v>7.4</v>
      </c>
      <c r="K469" s="82">
        <v>32.200000000000003</v>
      </c>
      <c r="L469" s="84">
        <v>39.1</v>
      </c>
      <c r="M469" s="82">
        <v>7.4</v>
      </c>
      <c r="N469" s="82">
        <v>42.8</v>
      </c>
      <c r="O469" s="44">
        <f t="shared" si="22"/>
        <v>12.727332559039876</v>
      </c>
      <c r="P469">
        <f t="shared" si="24"/>
        <v>25.78</v>
      </c>
      <c r="Q469" s="111">
        <v>0.105</v>
      </c>
      <c r="R469">
        <v>0.215</v>
      </c>
      <c r="S469" s="65">
        <v>25</v>
      </c>
      <c r="T469">
        <v>32</v>
      </c>
      <c r="U469" t="s">
        <v>51</v>
      </c>
      <c r="V469" t="s">
        <v>32</v>
      </c>
    </row>
    <row r="470" spans="1:23" ht="16" x14ac:dyDescent="0.2">
      <c r="A470" s="5" t="s">
        <v>577</v>
      </c>
      <c r="B470" s="6" t="s">
        <v>27</v>
      </c>
      <c r="C470" s="6" t="s">
        <v>28</v>
      </c>
      <c r="D470" s="65" t="str">
        <f t="shared" si="23"/>
        <v>043_S_a</v>
      </c>
      <c r="E470">
        <v>13</v>
      </c>
      <c r="F470" t="s">
        <v>82</v>
      </c>
      <c r="G470" t="s">
        <v>578</v>
      </c>
      <c r="H470" s="43" t="s">
        <v>56</v>
      </c>
      <c r="I470">
        <v>0</v>
      </c>
      <c r="J470" s="84">
        <v>1</v>
      </c>
      <c r="K470" s="82">
        <v>1</v>
      </c>
      <c r="L470" s="82">
        <v>1</v>
      </c>
      <c r="M470" s="82">
        <v>1</v>
      </c>
      <c r="N470" s="82">
        <v>1</v>
      </c>
      <c r="O470" s="44">
        <f t="shared" si="22"/>
        <v>0</v>
      </c>
      <c r="P470">
        <f t="shared" si="24"/>
        <v>1</v>
      </c>
      <c r="R470" t="s">
        <v>57</v>
      </c>
      <c r="S470" s="65" t="s">
        <v>57</v>
      </c>
      <c r="T470" t="s">
        <v>57</v>
      </c>
      <c r="V470" t="s">
        <v>32</v>
      </c>
    </row>
    <row r="471" spans="1:23" ht="16" x14ac:dyDescent="0.2">
      <c r="A471" s="45" t="s">
        <v>577</v>
      </c>
      <c r="B471" s="46" t="s">
        <v>36</v>
      </c>
      <c r="C471" s="46" t="s">
        <v>28</v>
      </c>
      <c r="D471" s="67" t="str">
        <f t="shared" si="23"/>
        <v>043_O_a</v>
      </c>
      <c r="E471" s="47">
        <v>17</v>
      </c>
      <c r="F471" s="47" t="s">
        <v>68</v>
      </c>
      <c r="G471" s="47" t="s">
        <v>579</v>
      </c>
      <c r="H471" s="47" t="s">
        <v>56</v>
      </c>
      <c r="I471">
        <v>0</v>
      </c>
      <c r="J471" s="84">
        <v>1</v>
      </c>
      <c r="L471" s="82">
        <v>1</v>
      </c>
      <c r="M471" s="82">
        <v>0.9</v>
      </c>
      <c r="N471" s="82">
        <v>0.9</v>
      </c>
      <c r="O471" s="48">
        <f t="shared" si="22"/>
        <v>3.4482758620689642E-3</v>
      </c>
      <c r="P471">
        <f t="shared" si="24"/>
        <v>0.95</v>
      </c>
      <c r="Q471" s="111" t="s">
        <v>57</v>
      </c>
      <c r="R471" t="s">
        <v>57</v>
      </c>
      <c r="S471" s="67" t="s">
        <v>57</v>
      </c>
      <c r="T471" s="47" t="s">
        <v>57</v>
      </c>
      <c r="U471" s="47"/>
      <c r="V471" t="s">
        <v>32</v>
      </c>
      <c r="W471" s="47" t="s">
        <v>67</v>
      </c>
    </row>
    <row r="472" spans="1:23" x14ac:dyDescent="0.2">
      <c r="A472" s="1" t="s">
        <v>577</v>
      </c>
      <c r="B472" t="s">
        <v>33</v>
      </c>
      <c r="C472" t="s">
        <v>28</v>
      </c>
      <c r="D472" s="65" t="str">
        <f t="shared" si="23"/>
        <v>043_V_a</v>
      </c>
      <c r="E472">
        <v>21</v>
      </c>
      <c r="F472" t="s">
        <v>41</v>
      </c>
      <c r="G472" t="s">
        <v>580</v>
      </c>
      <c r="I472">
        <v>3.4562915538044798</v>
      </c>
      <c r="J472" s="82">
        <v>17.399999999999999</v>
      </c>
      <c r="K472" s="82">
        <v>14.5</v>
      </c>
      <c r="L472" s="82">
        <v>17.399999999999999</v>
      </c>
      <c r="M472" s="82">
        <v>20.6</v>
      </c>
      <c r="N472" s="82">
        <v>29.8</v>
      </c>
      <c r="O472" s="44">
        <f t="shared" si="22"/>
        <v>0.35531711969479873</v>
      </c>
      <c r="P472">
        <f t="shared" si="24"/>
        <v>19.940000000000001</v>
      </c>
      <c r="Q472" s="111">
        <v>0.193</v>
      </c>
      <c r="R472">
        <v>0.36</v>
      </c>
      <c r="S472" s="65">
        <v>24</v>
      </c>
      <c r="T472">
        <v>8</v>
      </c>
      <c r="U472" t="s">
        <v>72</v>
      </c>
      <c r="V472" t="s">
        <v>32</v>
      </c>
    </row>
    <row r="473" spans="1:23" x14ac:dyDescent="0.2">
      <c r="A473" s="1" t="s">
        <v>577</v>
      </c>
      <c r="B473" t="s">
        <v>33</v>
      </c>
      <c r="C473" t="s">
        <v>38</v>
      </c>
      <c r="D473" s="65" t="str">
        <f t="shared" si="23"/>
        <v>043_V_b</v>
      </c>
      <c r="E473">
        <v>54</v>
      </c>
      <c r="F473" t="s">
        <v>41</v>
      </c>
      <c r="G473" t="s">
        <v>581</v>
      </c>
      <c r="I473">
        <v>2.0708451163802502</v>
      </c>
      <c r="J473" s="82">
        <v>16.2</v>
      </c>
      <c r="K473" s="82">
        <v>3.5</v>
      </c>
      <c r="L473" s="82">
        <v>40.9</v>
      </c>
      <c r="M473" s="82">
        <v>27.1</v>
      </c>
      <c r="N473" s="82">
        <v>35.200000000000003</v>
      </c>
      <c r="O473" s="44">
        <f t="shared" si="22"/>
        <v>11.540668947168383</v>
      </c>
      <c r="P473">
        <f t="shared" si="24"/>
        <v>24.58</v>
      </c>
      <c r="Q473" s="111">
        <v>0.155</v>
      </c>
      <c r="R473">
        <v>0.376</v>
      </c>
      <c r="S473" s="65">
        <v>9</v>
      </c>
      <c r="T473">
        <v>9</v>
      </c>
      <c r="U473" t="s">
        <v>31</v>
      </c>
      <c r="V473" t="s">
        <v>32</v>
      </c>
    </row>
    <row r="474" spans="1:23" x14ac:dyDescent="0.2">
      <c r="A474" s="5" t="s">
        <v>577</v>
      </c>
      <c r="B474" s="6" t="s">
        <v>27</v>
      </c>
      <c r="C474" s="6" t="s">
        <v>38</v>
      </c>
      <c r="D474" s="65" t="str">
        <f t="shared" si="23"/>
        <v>043_S_b</v>
      </c>
      <c r="E474">
        <v>60</v>
      </c>
      <c r="F474" t="s">
        <v>29</v>
      </c>
      <c r="G474" t="s">
        <v>582</v>
      </c>
      <c r="I474">
        <v>3.1747118644067802</v>
      </c>
      <c r="J474" s="82">
        <v>19.3</v>
      </c>
      <c r="K474" s="82">
        <v>25</v>
      </c>
      <c r="L474" s="82">
        <v>31.8</v>
      </c>
      <c r="M474" s="82">
        <v>35.1</v>
      </c>
      <c r="N474" s="82">
        <v>42</v>
      </c>
      <c r="O474" s="44">
        <f t="shared" si="22"/>
        <v>1.7911270983213499</v>
      </c>
      <c r="P474">
        <f t="shared" si="24"/>
        <v>30.639999999999997</v>
      </c>
      <c r="Q474" s="111">
        <v>0.16200000000000001</v>
      </c>
      <c r="R474">
        <v>0.314</v>
      </c>
      <c r="S474" s="65">
        <v>21</v>
      </c>
      <c r="T474">
        <v>20</v>
      </c>
      <c r="U474" t="s">
        <v>31</v>
      </c>
      <c r="V474" t="s">
        <v>32</v>
      </c>
    </row>
    <row r="475" spans="1:23" x14ac:dyDescent="0.2">
      <c r="A475" s="5" t="s">
        <v>577</v>
      </c>
      <c r="B475" s="6" t="s">
        <v>36</v>
      </c>
      <c r="C475" s="6" t="s">
        <v>38</v>
      </c>
      <c r="D475" s="65" t="str">
        <f t="shared" si="23"/>
        <v>043_O_b</v>
      </c>
      <c r="E475">
        <v>68</v>
      </c>
      <c r="F475" t="s">
        <v>70</v>
      </c>
      <c r="G475" t="s">
        <v>583</v>
      </c>
      <c r="I475">
        <v>1.77346498750429</v>
      </c>
      <c r="J475" s="82">
        <v>4.7</v>
      </c>
      <c r="K475" s="82">
        <v>27.2</v>
      </c>
      <c r="L475" s="82">
        <v>28.7</v>
      </c>
      <c r="M475" s="82">
        <v>33</v>
      </c>
      <c r="N475" s="82">
        <v>37.1</v>
      </c>
      <c r="O475" s="44">
        <f t="shared" si="22"/>
        <v>6.9000000000000021</v>
      </c>
      <c r="P475">
        <f t="shared" si="24"/>
        <v>26.139999999999997</v>
      </c>
      <c r="Q475" s="111">
        <v>9.2999999999999999E-2</v>
      </c>
      <c r="R475">
        <v>0.15</v>
      </c>
      <c r="S475" s="65">
        <v>8</v>
      </c>
      <c r="T475">
        <v>39</v>
      </c>
      <c r="U475" t="s">
        <v>31</v>
      </c>
      <c r="V475" t="s">
        <v>32</v>
      </c>
    </row>
    <row r="476" spans="1:23" x14ac:dyDescent="0.2">
      <c r="A476" s="5" t="s">
        <v>577</v>
      </c>
      <c r="B476" s="6" t="s">
        <v>36</v>
      </c>
      <c r="C476" s="6" t="s">
        <v>45</v>
      </c>
      <c r="D476" s="65" t="str">
        <f t="shared" si="23"/>
        <v>043_O_c</v>
      </c>
      <c r="E476">
        <v>90</v>
      </c>
      <c r="F476" t="s">
        <v>29</v>
      </c>
      <c r="G476" t="s">
        <v>584</v>
      </c>
      <c r="I476">
        <v>3.4558942502167</v>
      </c>
      <c r="J476" s="82">
        <v>37.299999999999997</v>
      </c>
      <c r="K476" s="82">
        <v>34.200000000000003</v>
      </c>
      <c r="L476" s="82">
        <v>33.5</v>
      </c>
      <c r="M476" s="82">
        <v>30.8</v>
      </c>
      <c r="N476" s="82">
        <v>36.5</v>
      </c>
      <c r="O476" s="44">
        <f t="shared" si="22"/>
        <v>0.21021109474717697</v>
      </c>
      <c r="P476">
        <f t="shared" si="24"/>
        <v>34.46</v>
      </c>
      <c r="Q476" s="111">
        <v>0.27500000000000002</v>
      </c>
      <c r="R476">
        <v>0.42099999999999999</v>
      </c>
      <c r="S476" s="65">
        <v>20</v>
      </c>
      <c r="T476">
        <v>14</v>
      </c>
      <c r="U476" t="s">
        <v>51</v>
      </c>
      <c r="V476" t="s">
        <v>32</v>
      </c>
    </row>
    <row r="477" spans="1:23" x14ac:dyDescent="0.2">
      <c r="A477" s="5" t="s">
        <v>577</v>
      </c>
      <c r="B477" s="6" t="s">
        <v>33</v>
      </c>
      <c r="C477" s="6" t="s">
        <v>45</v>
      </c>
      <c r="D477" s="65" t="str">
        <f t="shared" si="23"/>
        <v>043_V_c</v>
      </c>
      <c r="E477">
        <v>91</v>
      </c>
      <c r="F477" t="s">
        <v>29</v>
      </c>
      <c r="G477" t="s">
        <v>585</v>
      </c>
      <c r="I477">
        <v>2.8463707403528602</v>
      </c>
      <c r="J477" s="82">
        <v>8.6</v>
      </c>
      <c r="K477" s="82">
        <v>17.5</v>
      </c>
      <c r="L477" s="82">
        <v>16.5</v>
      </c>
      <c r="M477">
        <v>30.9</v>
      </c>
      <c r="N477" s="82">
        <v>3.9</v>
      </c>
      <c r="O477" s="44">
        <f t="shared" si="22"/>
        <v>4.6568253968253961</v>
      </c>
      <c r="P477">
        <f t="shared" si="24"/>
        <v>15.48</v>
      </c>
      <c r="Q477" s="111">
        <v>0.21</v>
      </c>
      <c r="R477">
        <v>0.38200000000000001</v>
      </c>
      <c r="S477" s="65">
        <v>7</v>
      </c>
      <c r="T477">
        <v>17</v>
      </c>
      <c r="U477" t="s">
        <v>47</v>
      </c>
      <c r="V477" t="s">
        <v>32</v>
      </c>
    </row>
    <row r="478" spans="1:23" x14ac:dyDescent="0.2">
      <c r="A478" s="5" t="s">
        <v>577</v>
      </c>
      <c r="B478" s="6" t="s">
        <v>27</v>
      </c>
      <c r="C478" s="6" t="s">
        <v>45</v>
      </c>
      <c r="D478" s="65" t="str">
        <f t="shared" si="23"/>
        <v>043_S_c</v>
      </c>
      <c r="E478">
        <v>94</v>
      </c>
      <c r="F478" t="s">
        <v>43</v>
      </c>
      <c r="G478" t="s">
        <v>586</v>
      </c>
      <c r="I478">
        <v>4.2719877307046996</v>
      </c>
      <c r="J478" s="82">
        <v>14.8</v>
      </c>
      <c r="K478" s="82">
        <v>40.6</v>
      </c>
      <c r="L478" s="82">
        <v>57.9</v>
      </c>
      <c r="M478">
        <v>53.5</v>
      </c>
      <c r="N478" s="82">
        <v>75.599999999999994</v>
      </c>
      <c r="O478" s="44">
        <f t="shared" si="22"/>
        <v>9.0047961630695283</v>
      </c>
      <c r="P478">
        <f t="shared" si="24"/>
        <v>48.480000000000004</v>
      </c>
      <c r="Q478" s="111">
        <v>0.318</v>
      </c>
      <c r="R478">
        <v>0.51500000000000001</v>
      </c>
      <c r="S478" s="65">
        <v>18</v>
      </c>
      <c r="T478">
        <v>30</v>
      </c>
      <c r="U478" t="s">
        <v>51</v>
      </c>
      <c r="V478" t="s">
        <v>32</v>
      </c>
    </row>
    <row r="479" spans="1:23" x14ac:dyDescent="0.2">
      <c r="A479" s="5" t="s">
        <v>577</v>
      </c>
      <c r="B479" s="6" t="s">
        <v>36</v>
      </c>
      <c r="C479" s="6" t="s">
        <v>52</v>
      </c>
      <c r="D479" s="65" t="str">
        <f t="shared" si="23"/>
        <v>043_O_d</v>
      </c>
      <c r="E479">
        <v>116</v>
      </c>
      <c r="F479" t="s">
        <v>39</v>
      </c>
      <c r="G479" t="s">
        <v>587</v>
      </c>
      <c r="I479">
        <v>4.5978232286340397</v>
      </c>
      <c r="J479" s="82">
        <v>41.6</v>
      </c>
      <c r="K479" s="82">
        <v>8.6</v>
      </c>
      <c r="L479" s="82">
        <v>65.2</v>
      </c>
      <c r="M479">
        <v>8</v>
      </c>
      <c r="N479" s="82">
        <v>47.7</v>
      </c>
      <c r="O479" s="44">
        <f t="shared" si="22"/>
        <v>24.988330632090761</v>
      </c>
      <c r="P479">
        <f t="shared" si="24"/>
        <v>34.220000000000006</v>
      </c>
      <c r="Q479" s="111">
        <v>0.48</v>
      </c>
      <c r="R479">
        <v>0.499</v>
      </c>
      <c r="S479" s="65">
        <v>12</v>
      </c>
      <c r="T479">
        <v>5</v>
      </c>
      <c r="U479" t="s">
        <v>31</v>
      </c>
      <c r="V479" t="s">
        <v>32</v>
      </c>
    </row>
    <row r="480" spans="1:23" ht="16" x14ac:dyDescent="0.2">
      <c r="A480" s="5" t="s">
        <v>577</v>
      </c>
      <c r="B480" s="6" t="s">
        <v>33</v>
      </c>
      <c r="C480" s="6" t="s">
        <v>52</v>
      </c>
      <c r="D480" s="65" t="str">
        <f t="shared" si="23"/>
        <v>043_V_d</v>
      </c>
      <c r="E480">
        <v>120</v>
      </c>
      <c r="F480" t="s">
        <v>70</v>
      </c>
      <c r="G480" t="s">
        <v>588</v>
      </c>
      <c r="I480">
        <v>5.4190958353473899</v>
      </c>
      <c r="J480" s="82">
        <v>22.6</v>
      </c>
      <c r="K480" s="82">
        <v>58</v>
      </c>
      <c r="L480" s="84">
        <v>57.3</v>
      </c>
      <c r="M480">
        <v>51.6</v>
      </c>
      <c r="N480" s="82">
        <v>54.2</v>
      </c>
      <c r="O480" s="44">
        <f t="shared" si="22"/>
        <v>5.9317326297273585</v>
      </c>
      <c r="P480">
        <f t="shared" si="24"/>
        <v>48.739999999999995</v>
      </c>
      <c r="Q480" s="111">
        <v>0.61599999999999999</v>
      </c>
      <c r="R480">
        <v>0.48599999999999999</v>
      </c>
      <c r="S480" s="65">
        <v>18</v>
      </c>
      <c r="T480">
        <v>46</v>
      </c>
      <c r="U480" t="s">
        <v>54</v>
      </c>
      <c r="V480" t="s">
        <v>32</v>
      </c>
    </row>
    <row r="481" spans="1:23" ht="16" x14ac:dyDescent="0.2">
      <c r="A481" s="5" t="s">
        <v>577</v>
      </c>
      <c r="B481" s="6" t="s">
        <v>27</v>
      </c>
      <c r="C481" s="6" t="s">
        <v>52</v>
      </c>
      <c r="D481" s="65" t="str">
        <f t="shared" si="23"/>
        <v>043_S_d</v>
      </c>
      <c r="E481">
        <v>128</v>
      </c>
      <c r="F481" t="s">
        <v>82</v>
      </c>
      <c r="G481" t="s">
        <v>589</v>
      </c>
      <c r="I481">
        <v>8.2878705494850209</v>
      </c>
      <c r="J481" s="82">
        <v>12.1</v>
      </c>
      <c r="K481" s="82">
        <v>29</v>
      </c>
      <c r="L481" s="84">
        <v>40.6</v>
      </c>
      <c r="M481">
        <v>22.8</v>
      </c>
      <c r="N481" s="82">
        <v>17.5</v>
      </c>
      <c r="O481" s="44">
        <f t="shared" si="22"/>
        <v>5.429633173843702</v>
      </c>
      <c r="P481">
        <f t="shared" si="24"/>
        <v>24.4</v>
      </c>
      <c r="Q481" s="111">
        <v>0.73499999999999999</v>
      </c>
      <c r="R481">
        <v>0.64300000000000002</v>
      </c>
      <c r="S481" s="65">
        <v>25</v>
      </c>
      <c r="T481">
        <v>29</v>
      </c>
      <c r="U481" t="s">
        <v>54</v>
      </c>
      <c r="V481" t="s">
        <v>32</v>
      </c>
    </row>
    <row r="482" spans="1:23" ht="16" x14ac:dyDescent="0.2">
      <c r="A482" s="5" t="s">
        <v>590</v>
      </c>
      <c r="B482" s="6" t="s">
        <v>36</v>
      </c>
      <c r="C482" s="6" t="s">
        <v>28</v>
      </c>
      <c r="D482" s="65" t="str">
        <f t="shared" si="23"/>
        <v>044_O_a</v>
      </c>
      <c r="E482">
        <v>16</v>
      </c>
      <c r="F482" t="s">
        <v>70</v>
      </c>
      <c r="G482" t="s">
        <v>591</v>
      </c>
      <c r="I482">
        <v>4.3199822817206401</v>
      </c>
      <c r="J482" s="84">
        <v>9.9</v>
      </c>
      <c r="K482" s="82">
        <v>39.6</v>
      </c>
      <c r="L482" s="82">
        <v>36.1</v>
      </c>
      <c r="M482" s="82">
        <v>15.2</v>
      </c>
      <c r="N482" s="82">
        <v>37.700000000000003</v>
      </c>
      <c r="O482" s="44">
        <f t="shared" si="22"/>
        <v>8.733597883597886</v>
      </c>
      <c r="P482">
        <f t="shared" si="24"/>
        <v>27.7</v>
      </c>
      <c r="Q482" s="111">
        <v>0.40300000000000002</v>
      </c>
      <c r="R482">
        <v>0.35399999999999998</v>
      </c>
      <c r="S482" s="65">
        <v>11</v>
      </c>
      <c r="T482">
        <v>2</v>
      </c>
      <c r="U482" t="s">
        <v>72</v>
      </c>
      <c r="V482" t="s">
        <v>32</v>
      </c>
    </row>
    <row r="483" spans="1:23" ht="16" x14ac:dyDescent="0.2">
      <c r="A483" s="1" t="s">
        <v>590</v>
      </c>
      <c r="B483" t="s">
        <v>33</v>
      </c>
      <c r="C483" t="s">
        <v>28</v>
      </c>
      <c r="D483" s="65" t="str">
        <f t="shared" si="23"/>
        <v>044_V_a</v>
      </c>
      <c r="E483">
        <v>18</v>
      </c>
      <c r="F483" t="s">
        <v>39</v>
      </c>
      <c r="G483" t="s">
        <v>592</v>
      </c>
      <c r="I483">
        <v>4.8546557832248203</v>
      </c>
      <c r="J483" s="84">
        <v>8.6999999999999993</v>
      </c>
      <c r="K483" s="82">
        <v>22.8</v>
      </c>
      <c r="L483" s="82">
        <v>36.9</v>
      </c>
      <c r="M483" s="82">
        <v>11.8</v>
      </c>
      <c r="N483" s="82">
        <v>3.1</v>
      </c>
      <c r="O483" s="44">
        <f t="shared" ref="O483:O542" si="25">VAR(J483:M483)/AVERAGE(J483:M483)</f>
        <v>8.1192019950124674</v>
      </c>
      <c r="P483">
        <f t="shared" si="24"/>
        <v>16.66</v>
      </c>
      <c r="Q483" s="111">
        <v>0.32200000000000001</v>
      </c>
      <c r="R483">
        <v>0.50800000000000001</v>
      </c>
      <c r="S483" s="65">
        <v>22</v>
      </c>
      <c r="T483">
        <v>16</v>
      </c>
      <c r="U483" t="s">
        <v>72</v>
      </c>
      <c r="V483" t="s">
        <v>32</v>
      </c>
    </row>
    <row r="484" spans="1:23" x14ac:dyDescent="0.2">
      <c r="A484" s="5" t="s">
        <v>590</v>
      </c>
      <c r="B484" s="6" t="s">
        <v>27</v>
      </c>
      <c r="C484" s="6" t="s">
        <v>28</v>
      </c>
      <c r="D484" s="65" t="str">
        <f t="shared" si="23"/>
        <v>044_S_a</v>
      </c>
      <c r="E484">
        <v>19</v>
      </c>
      <c r="F484" t="s">
        <v>70</v>
      </c>
      <c r="G484" t="s">
        <v>593</v>
      </c>
      <c r="I484">
        <v>5.3323932159094003</v>
      </c>
      <c r="J484" s="82">
        <v>3.5</v>
      </c>
      <c r="K484" s="82">
        <v>44.8</v>
      </c>
      <c r="L484" s="82">
        <v>6.5</v>
      </c>
      <c r="M484" s="82">
        <v>43</v>
      </c>
      <c r="N484" s="82">
        <v>34</v>
      </c>
      <c r="O484" s="44">
        <f t="shared" si="25"/>
        <v>20.713428766189502</v>
      </c>
      <c r="P484">
        <f t="shared" si="24"/>
        <v>26.360000000000003</v>
      </c>
      <c r="Q484" s="111">
        <v>0.28399999999999997</v>
      </c>
      <c r="R484">
        <v>0.36599999999999999</v>
      </c>
      <c r="S484" s="65">
        <v>15</v>
      </c>
      <c r="T484">
        <v>43</v>
      </c>
      <c r="U484" t="s">
        <v>72</v>
      </c>
      <c r="V484" t="s">
        <v>32</v>
      </c>
    </row>
    <row r="485" spans="1:23" x14ac:dyDescent="0.2">
      <c r="A485" s="58" t="s">
        <v>590</v>
      </c>
      <c r="B485" s="59" t="s">
        <v>36</v>
      </c>
      <c r="C485" s="59" t="s">
        <v>38</v>
      </c>
      <c r="D485" s="68" t="str">
        <f t="shared" si="23"/>
        <v>044_O_b</v>
      </c>
      <c r="E485" s="43">
        <v>41</v>
      </c>
      <c r="F485" s="43" t="s">
        <v>49</v>
      </c>
      <c r="G485" s="43" t="s">
        <v>594</v>
      </c>
      <c r="H485" s="43"/>
      <c r="I485">
        <v>2.6418303102983098</v>
      </c>
      <c r="J485" s="82">
        <v>42.8</v>
      </c>
      <c r="K485" s="82">
        <v>3.8</v>
      </c>
      <c r="L485" s="81">
        <v>1.6</v>
      </c>
      <c r="M485" s="82">
        <v>26.3</v>
      </c>
      <c r="N485" s="82">
        <v>34.799999999999997</v>
      </c>
      <c r="O485" s="56">
        <f t="shared" si="25"/>
        <v>20.634765100671139</v>
      </c>
      <c r="P485" s="43">
        <f t="shared" si="24"/>
        <v>21.86</v>
      </c>
      <c r="Q485" s="114">
        <v>0.26700000000000002</v>
      </c>
      <c r="R485" s="43">
        <v>0.307</v>
      </c>
      <c r="S485" s="68">
        <v>5</v>
      </c>
      <c r="T485" s="43">
        <v>44</v>
      </c>
      <c r="U485" s="43" t="s">
        <v>31</v>
      </c>
      <c r="V485" t="s">
        <v>32</v>
      </c>
      <c r="W485" s="43"/>
    </row>
    <row r="486" spans="1:23" x14ac:dyDescent="0.2">
      <c r="A486" s="1" t="s">
        <v>590</v>
      </c>
      <c r="B486" t="s">
        <v>33</v>
      </c>
      <c r="C486" t="s">
        <v>38</v>
      </c>
      <c r="D486" s="65" t="str">
        <f t="shared" si="23"/>
        <v>044_V_b</v>
      </c>
      <c r="E486">
        <v>43</v>
      </c>
      <c r="F486" t="s">
        <v>41</v>
      </c>
      <c r="G486" t="s">
        <v>595</v>
      </c>
      <c r="I486">
        <v>1.89277533039648</v>
      </c>
      <c r="J486" s="82">
        <v>6.7</v>
      </c>
      <c r="K486" s="82">
        <v>31.8</v>
      </c>
      <c r="L486" s="82">
        <v>20.7</v>
      </c>
      <c r="M486" s="82">
        <v>20.6</v>
      </c>
      <c r="N486" s="82">
        <v>21</v>
      </c>
      <c r="O486" s="44">
        <f t="shared" si="25"/>
        <v>5.2960735171261444</v>
      </c>
      <c r="P486">
        <f t="shared" si="24"/>
        <v>20.160000000000004</v>
      </c>
      <c r="Q486" s="111">
        <v>0.22800000000000001</v>
      </c>
      <c r="R486">
        <v>0.33900000000000002</v>
      </c>
      <c r="S486" s="65">
        <v>11</v>
      </c>
      <c r="T486">
        <v>17</v>
      </c>
      <c r="U486" t="s">
        <v>72</v>
      </c>
      <c r="V486" t="s">
        <v>32</v>
      </c>
    </row>
    <row r="487" spans="1:23" x14ac:dyDescent="0.2">
      <c r="A487" s="5" t="s">
        <v>590</v>
      </c>
      <c r="B487" s="6" t="s">
        <v>27</v>
      </c>
      <c r="C487" s="6" t="s">
        <v>38</v>
      </c>
      <c r="D487" s="65" t="str">
        <f t="shared" si="23"/>
        <v>044_S_b</v>
      </c>
      <c r="E487">
        <v>45</v>
      </c>
      <c r="F487" t="s">
        <v>70</v>
      </c>
      <c r="G487" t="s">
        <v>596</v>
      </c>
      <c r="I487">
        <v>7.1768608959245501</v>
      </c>
      <c r="J487" s="82">
        <v>12.8</v>
      </c>
      <c r="K487" s="82">
        <v>10.199999999999999</v>
      </c>
      <c r="L487" s="82">
        <v>33.4</v>
      </c>
      <c r="M487" s="82">
        <v>30.3</v>
      </c>
      <c r="N487" s="82">
        <v>17.7</v>
      </c>
      <c r="O487" s="44">
        <f t="shared" si="25"/>
        <v>6.4945405613225695</v>
      </c>
      <c r="P487">
        <f t="shared" si="24"/>
        <v>20.880000000000003</v>
      </c>
      <c r="Q487" s="111">
        <v>0.52800000000000002</v>
      </c>
      <c r="R487">
        <v>0.36499999999999999</v>
      </c>
      <c r="S487" s="65">
        <v>14</v>
      </c>
      <c r="T487">
        <v>73</v>
      </c>
      <c r="U487" t="s">
        <v>72</v>
      </c>
      <c r="V487" t="s">
        <v>32</v>
      </c>
    </row>
    <row r="488" spans="1:23" x14ac:dyDescent="0.2">
      <c r="A488" s="5" t="s">
        <v>590</v>
      </c>
      <c r="B488" s="6" t="s">
        <v>27</v>
      </c>
      <c r="C488" s="6" t="s">
        <v>45</v>
      </c>
      <c r="D488" s="65" t="str">
        <f t="shared" si="23"/>
        <v>044_S_c</v>
      </c>
      <c r="E488">
        <v>81</v>
      </c>
      <c r="F488" t="s">
        <v>63</v>
      </c>
      <c r="G488" t="s">
        <v>597</v>
      </c>
      <c r="I488">
        <v>6.5666016234779896</v>
      </c>
      <c r="J488" s="82">
        <v>1.5</v>
      </c>
      <c r="K488" s="82">
        <v>38.200000000000003</v>
      </c>
      <c r="L488" s="82">
        <v>19.3</v>
      </c>
      <c r="M488" s="82">
        <v>31.1</v>
      </c>
      <c r="N488" s="82">
        <v>16.7</v>
      </c>
      <c r="O488" s="44">
        <f t="shared" si="25"/>
        <v>11.419718830928609</v>
      </c>
      <c r="P488">
        <f t="shared" si="24"/>
        <v>21.36</v>
      </c>
      <c r="Q488" s="111">
        <v>0.41799999999999998</v>
      </c>
      <c r="R488">
        <v>0.495</v>
      </c>
      <c r="S488" s="65">
        <v>15</v>
      </c>
      <c r="T488">
        <v>4</v>
      </c>
      <c r="U488" t="s">
        <v>47</v>
      </c>
      <c r="V488" t="s">
        <v>32</v>
      </c>
    </row>
    <row r="489" spans="1:23" x14ac:dyDescent="0.2">
      <c r="A489" s="5" t="s">
        <v>590</v>
      </c>
      <c r="B489" s="6" t="s">
        <v>36</v>
      </c>
      <c r="C489" s="6" t="s">
        <v>45</v>
      </c>
      <c r="D489" s="65" t="str">
        <f t="shared" si="23"/>
        <v>044_O_c</v>
      </c>
      <c r="E489">
        <v>93</v>
      </c>
      <c r="F489" t="s">
        <v>29</v>
      </c>
      <c r="G489" t="s">
        <v>598</v>
      </c>
      <c r="I489">
        <v>3.1575820277859901</v>
      </c>
      <c r="J489" s="82">
        <v>27.6</v>
      </c>
      <c r="K489" s="82">
        <v>39.5</v>
      </c>
      <c r="L489" s="82">
        <v>21.9</v>
      </c>
      <c r="M489">
        <v>37.6</v>
      </c>
      <c r="N489" s="82">
        <v>47.2</v>
      </c>
      <c r="O489" s="44">
        <f t="shared" si="25"/>
        <v>2.1957872564507803</v>
      </c>
      <c r="P489">
        <f t="shared" si="24"/>
        <v>34.760000000000005</v>
      </c>
      <c r="Q489" s="111">
        <v>0.24099999999999999</v>
      </c>
      <c r="R489">
        <v>0.35199999999999998</v>
      </c>
      <c r="S489" s="65">
        <v>7</v>
      </c>
      <c r="T489">
        <v>13</v>
      </c>
      <c r="U489" t="s">
        <v>31</v>
      </c>
      <c r="V489" t="s">
        <v>32</v>
      </c>
    </row>
    <row r="490" spans="1:23" x14ac:dyDescent="0.2">
      <c r="A490" s="5" t="s">
        <v>590</v>
      </c>
      <c r="B490" s="6" t="s">
        <v>33</v>
      </c>
      <c r="C490" s="6" t="s">
        <v>45</v>
      </c>
      <c r="D490" s="65" t="str">
        <f t="shared" si="23"/>
        <v>044_V_c</v>
      </c>
      <c r="E490">
        <v>97</v>
      </c>
      <c r="F490" t="s">
        <v>49</v>
      </c>
      <c r="G490" t="s">
        <v>599</v>
      </c>
      <c r="I490">
        <v>2.7173590504451002</v>
      </c>
      <c r="J490" s="82">
        <v>5.7</v>
      </c>
      <c r="K490" s="82">
        <v>43.4</v>
      </c>
      <c r="L490" s="82">
        <v>43.5</v>
      </c>
      <c r="M490" s="43">
        <v>1.7</v>
      </c>
      <c r="N490" s="82">
        <v>50.1</v>
      </c>
      <c r="O490" s="44">
        <f t="shared" si="25"/>
        <v>22.454118062919765</v>
      </c>
      <c r="P490">
        <f t="shared" si="24"/>
        <v>28.880000000000003</v>
      </c>
      <c r="Q490" s="111">
        <v>0.23200000000000001</v>
      </c>
      <c r="R490">
        <v>0.251</v>
      </c>
      <c r="S490" s="65">
        <v>12</v>
      </c>
      <c r="T490">
        <v>24</v>
      </c>
      <c r="U490" t="s">
        <v>72</v>
      </c>
      <c r="V490" t="s">
        <v>32</v>
      </c>
    </row>
    <row r="491" spans="1:23" x14ac:dyDescent="0.2">
      <c r="A491" s="5" t="s">
        <v>590</v>
      </c>
      <c r="B491" s="6" t="s">
        <v>27</v>
      </c>
      <c r="C491" s="6" t="s">
        <v>52</v>
      </c>
      <c r="D491" s="65" t="str">
        <f t="shared" si="23"/>
        <v>044_S_d</v>
      </c>
      <c r="E491">
        <v>119</v>
      </c>
      <c r="F491" t="s">
        <v>34</v>
      </c>
      <c r="G491" t="s">
        <v>600</v>
      </c>
      <c r="H491" t="s">
        <v>56</v>
      </c>
      <c r="I491">
        <v>0</v>
      </c>
      <c r="J491" s="82">
        <v>1.1000000000000001</v>
      </c>
      <c r="K491" s="82">
        <v>1</v>
      </c>
      <c r="L491" s="82">
        <v>1</v>
      </c>
      <c r="M491">
        <v>1</v>
      </c>
      <c r="N491" s="82">
        <v>0.9</v>
      </c>
      <c r="O491" s="44">
        <f t="shared" si="25"/>
        <v>2.4390243902439068E-3</v>
      </c>
      <c r="P491">
        <f t="shared" si="24"/>
        <v>1</v>
      </c>
      <c r="Q491" s="111" t="s">
        <v>57</v>
      </c>
      <c r="R491" t="s">
        <v>57</v>
      </c>
      <c r="S491" s="65" t="s">
        <v>57</v>
      </c>
      <c r="T491" t="s">
        <v>57</v>
      </c>
      <c r="V491" t="s">
        <v>32</v>
      </c>
    </row>
    <row r="492" spans="1:23" x14ac:dyDescent="0.2">
      <c r="A492" s="5" t="s">
        <v>590</v>
      </c>
      <c r="B492" s="6" t="s">
        <v>36</v>
      </c>
      <c r="C492" s="6" t="s">
        <v>52</v>
      </c>
      <c r="D492" s="65" t="str">
        <f t="shared" si="23"/>
        <v>044_O_d</v>
      </c>
      <c r="E492">
        <v>119</v>
      </c>
      <c r="F492" t="s">
        <v>68</v>
      </c>
      <c r="G492" t="s">
        <v>601</v>
      </c>
      <c r="I492">
        <v>4.2126840647324704</v>
      </c>
      <c r="J492" s="82">
        <v>10.5</v>
      </c>
      <c r="K492" s="82">
        <v>3.8</v>
      </c>
      <c r="L492" s="82">
        <v>48</v>
      </c>
      <c r="M492">
        <v>44.1</v>
      </c>
      <c r="N492" s="82">
        <v>49</v>
      </c>
      <c r="O492" s="44">
        <f t="shared" si="25"/>
        <v>19.339097744360899</v>
      </c>
      <c r="P492">
        <f t="shared" si="24"/>
        <v>31.080000000000002</v>
      </c>
      <c r="Q492" s="111">
        <v>0.29399999999999998</v>
      </c>
      <c r="R492">
        <v>0.51700000000000002</v>
      </c>
      <c r="S492" s="65">
        <v>11</v>
      </c>
      <c r="T492">
        <v>25</v>
      </c>
      <c r="U492" t="s">
        <v>31</v>
      </c>
      <c r="V492" t="s">
        <v>32</v>
      </c>
    </row>
    <row r="493" spans="1:23" ht="16" x14ac:dyDescent="0.2">
      <c r="A493" s="5" t="s">
        <v>590</v>
      </c>
      <c r="B493" s="6" t="s">
        <v>33</v>
      </c>
      <c r="C493" s="6" t="s">
        <v>52</v>
      </c>
      <c r="D493" s="65" t="str">
        <f t="shared" si="23"/>
        <v>044_V_d</v>
      </c>
      <c r="E493">
        <v>121</v>
      </c>
      <c r="F493" t="s">
        <v>34</v>
      </c>
      <c r="G493" t="s">
        <v>602</v>
      </c>
      <c r="I493">
        <v>4.4165133563912002</v>
      </c>
      <c r="J493" s="82">
        <v>4.9000000000000004</v>
      </c>
      <c r="K493" s="82">
        <v>38.700000000000003</v>
      </c>
      <c r="L493" s="84">
        <v>3.9</v>
      </c>
      <c r="M493">
        <v>23.4</v>
      </c>
      <c r="N493" s="82">
        <v>43.7</v>
      </c>
      <c r="O493" s="44">
        <f t="shared" si="25"/>
        <v>15.566854724964742</v>
      </c>
      <c r="P493">
        <f t="shared" si="24"/>
        <v>22.92</v>
      </c>
      <c r="Q493" s="111">
        <v>0.36499999999999999</v>
      </c>
      <c r="R493">
        <v>0.60299999999999998</v>
      </c>
      <c r="S493" s="65">
        <v>5</v>
      </c>
      <c r="T493">
        <v>24</v>
      </c>
      <c r="U493" t="s">
        <v>31</v>
      </c>
      <c r="V493" t="s">
        <v>32</v>
      </c>
    </row>
    <row r="494" spans="1:23" ht="16" x14ac:dyDescent="0.2">
      <c r="A494" s="1" t="s">
        <v>603</v>
      </c>
      <c r="B494" t="s">
        <v>33</v>
      </c>
      <c r="C494" t="s">
        <v>28</v>
      </c>
      <c r="D494" s="65" t="str">
        <f t="shared" si="23"/>
        <v>045_V_a</v>
      </c>
      <c r="E494">
        <v>15</v>
      </c>
      <c r="F494" t="s">
        <v>63</v>
      </c>
      <c r="G494" t="s">
        <v>604</v>
      </c>
      <c r="I494">
        <v>4.5916068831798302</v>
      </c>
      <c r="J494" s="84">
        <v>12.4</v>
      </c>
      <c r="K494" s="82">
        <v>37.799999999999997</v>
      </c>
      <c r="L494" s="82">
        <v>36.1</v>
      </c>
      <c r="M494" s="82">
        <v>31.1</v>
      </c>
      <c r="N494" s="82">
        <v>34.6</v>
      </c>
      <c r="O494" s="44">
        <f t="shared" si="25"/>
        <v>4.626121521862566</v>
      </c>
      <c r="P494">
        <f t="shared" si="24"/>
        <v>30.4</v>
      </c>
      <c r="Q494" s="111">
        <v>0.318</v>
      </c>
      <c r="R494">
        <v>0.49199999999999999</v>
      </c>
      <c r="S494" s="65">
        <v>14</v>
      </c>
      <c r="T494">
        <v>6</v>
      </c>
      <c r="U494" s="47" t="s">
        <v>51</v>
      </c>
      <c r="V494" t="s">
        <v>32</v>
      </c>
    </row>
    <row r="495" spans="1:23" ht="16" x14ac:dyDescent="0.2">
      <c r="A495" s="5" t="s">
        <v>603</v>
      </c>
      <c r="B495" s="6" t="s">
        <v>36</v>
      </c>
      <c r="C495" s="6" t="s">
        <v>28</v>
      </c>
      <c r="D495" s="65" t="str">
        <f t="shared" si="23"/>
        <v>045_O_a</v>
      </c>
      <c r="E495">
        <v>16</v>
      </c>
      <c r="F495" t="s">
        <v>68</v>
      </c>
      <c r="G495" t="s">
        <v>605</v>
      </c>
      <c r="I495">
        <v>2.2984521114282899</v>
      </c>
      <c r="J495" s="84">
        <v>20.9</v>
      </c>
      <c r="K495" s="82">
        <v>25.8</v>
      </c>
      <c r="L495" s="82">
        <v>23.7</v>
      </c>
      <c r="M495" s="82">
        <v>29.6</v>
      </c>
      <c r="N495" s="82">
        <v>29.4</v>
      </c>
      <c r="O495" s="44">
        <f t="shared" si="25"/>
        <v>0.53733333333333577</v>
      </c>
      <c r="P495">
        <f t="shared" si="24"/>
        <v>25.880000000000003</v>
      </c>
      <c r="Q495" s="111">
        <v>0.14199999999999999</v>
      </c>
      <c r="R495">
        <v>0.26100000000000001</v>
      </c>
      <c r="S495" s="65">
        <v>13</v>
      </c>
      <c r="T495">
        <v>8</v>
      </c>
      <c r="U495" s="47" t="s">
        <v>31</v>
      </c>
      <c r="V495" t="s">
        <v>32</v>
      </c>
    </row>
    <row r="496" spans="1:23" x14ac:dyDescent="0.2">
      <c r="A496" s="5" t="s">
        <v>603</v>
      </c>
      <c r="B496" s="6" t="s">
        <v>27</v>
      </c>
      <c r="C496" s="6" t="s">
        <v>28</v>
      </c>
      <c r="D496" s="65" t="str">
        <f t="shared" si="23"/>
        <v>045_S_a</v>
      </c>
      <c r="E496">
        <v>34</v>
      </c>
      <c r="F496" t="s">
        <v>43</v>
      </c>
      <c r="G496" t="s">
        <v>606</v>
      </c>
      <c r="I496">
        <v>7.0258670183877703</v>
      </c>
      <c r="J496" s="82">
        <v>31.2</v>
      </c>
      <c r="K496" s="82">
        <v>6.7</v>
      </c>
      <c r="L496" s="82">
        <v>12</v>
      </c>
      <c r="M496" s="82">
        <v>14.6</v>
      </c>
      <c r="N496" s="82">
        <v>35.299999999999997</v>
      </c>
      <c r="O496" s="44">
        <f t="shared" si="25"/>
        <v>6.9339018087855298</v>
      </c>
      <c r="P496">
        <f t="shared" si="24"/>
        <v>19.96</v>
      </c>
      <c r="Q496" s="111">
        <v>0.51700000000000002</v>
      </c>
      <c r="R496">
        <v>0.56899999999999995</v>
      </c>
      <c r="S496" s="65">
        <v>16</v>
      </c>
      <c r="T496">
        <v>13</v>
      </c>
      <c r="U496" t="s">
        <v>31</v>
      </c>
      <c r="V496" t="s">
        <v>32</v>
      </c>
    </row>
    <row r="497" spans="1:23" x14ac:dyDescent="0.2">
      <c r="A497" s="5" t="s">
        <v>603</v>
      </c>
      <c r="B497" s="6" t="s">
        <v>36</v>
      </c>
      <c r="C497" s="6" t="s">
        <v>38</v>
      </c>
      <c r="D497" s="65" t="str">
        <f t="shared" si="23"/>
        <v>045_O_b</v>
      </c>
      <c r="E497">
        <v>40</v>
      </c>
      <c r="F497" t="s">
        <v>68</v>
      </c>
      <c r="G497" t="s">
        <v>607</v>
      </c>
      <c r="I497">
        <v>1.7676195399328001</v>
      </c>
      <c r="J497" s="82">
        <v>33.6</v>
      </c>
      <c r="K497" s="82">
        <v>23.3</v>
      </c>
      <c r="L497" s="82">
        <v>25.7</v>
      </c>
      <c r="M497" s="82">
        <v>27.4</v>
      </c>
      <c r="N497" s="82">
        <v>27.7</v>
      </c>
      <c r="O497" s="44">
        <f t="shared" si="25"/>
        <v>0.70424242424242312</v>
      </c>
      <c r="P497">
        <f t="shared" si="24"/>
        <v>27.54</v>
      </c>
      <c r="Q497" s="111">
        <v>0.16600000000000001</v>
      </c>
      <c r="R497">
        <v>0.253</v>
      </c>
      <c r="S497" s="65">
        <v>13</v>
      </c>
      <c r="T497">
        <v>10</v>
      </c>
      <c r="U497" t="s">
        <v>31</v>
      </c>
      <c r="V497" t="s">
        <v>32</v>
      </c>
    </row>
    <row r="498" spans="1:23" x14ac:dyDescent="0.2">
      <c r="A498" s="1" t="s">
        <v>603</v>
      </c>
      <c r="B498" t="s">
        <v>33</v>
      </c>
      <c r="C498" t="s">
        <v>38</v>
      </c>
      <c r="D498" s="65" t="str">
        <f t="shared" si="23"/>
        <v>045_V_b</v>
      </c>
      <c r="E498">
        <v>53</v>
      </c>
      <c r="F498" t="s">
        <v>49</v>
      </c>
      <c r="G498" t="s">
        <v>608</v>
      </c>
      <c r="I498">
        <v>4.0652307692307703</v>
      </c>
      <c r="J498" s="82">
        <v>42.2</v>
      </c>
      <c r="K498" s="82">
        <v>41.5</v>
      </c>
      <c r="L498" s="82">
        <v>41.7</v>
      </c>
      <c r="M498" s="82">
        <v>41.7</v>
      </c>
      <c r="N498" s="82">
        <v>38.700000000000003</v>
      </c>
      <c r="O498" s="44">
        <f t="shared" si="25"/>
        <v>2.1344504288849115E-3</v>
      </c>
      <c r="P498">
        <f t="shared" si="24"/>
        <v>41.160000000000004</v>
      </c>
      <c r="Q498" s="111">
        <v>0.38100000000000001</v>
      </c>
      <c r="R498">
        <v>0.54300000000000004</v>
      </c>
      <c r="S498" s="65">
        <v>13</v>
      </c>
      <c r="T498" s="43">
        <v>17</v>
      </c>
      <c r="U498" t="s">
        <v>31</v>
      </c>
      <c r="V498" t="s">
        <v>32</v>
      </c>
    </row>
    <row r="499" spans="1:23" x14ac:dyDescent="0.2">
      <c r="A499" s="5" t="s">
        <v>603</v>
      </c>
      <c r="B499" s="6" t="s">
        <v>27</v>
      </c>
      <c r="C499" s="6" t="s">
        <v>38</v>
      </c>
      <c r="D499" s="65" t="str">
        <f t="shared" si="23"/>
        <v>045_S_b</v>
      </c>
      <c r="E499">
        <v>61</v>
      </c>
      <c r="F499" t="s">
        <v>70</v>
      </c>
      <c r="G499" t="s">
        <v>609</v>
      </c>
      <c r="I499">
        <v>2.3025826669548302</v>
      </c>
      <c r="J499" s="82">
        <v>1.8</v>
      </c>
      <c r="K499" s="82">
        <v>19.7</v>
      </c>
      <c r="L499" s="82">
        <v>2.9</v>
      </c>
      <c r="M499" s="82">
        <v>29.2</v>
      </c>
      <c r="N499" s="82">
        <v>48.3</v>
      </c>
      <c r="O499" s="44">
        <f t="shared" si="25"/>
        <v>13.287064676616922</v>
      </c>
      <c r="P499">
        <f t="shared" si="24"/>
        <v>20.38</v>
      </c>
      <c r="Q499" s="111">
        <v>8.1000000000000003E-2</v>
      </c>
      <c r="R499">
        <v>0.29599999999999999</v>
      </c>
      <c r="S499" s="65">
        <v>46</v>
      </c>
      <c r="T499">
        <v>49</v>
      </c>
      <c r="U499" t="s">
        <v>31</v>
      </c>
      <c r="V499" t="s">
        <v>32</v>
      </c>
    </row>
    <row r="500" spans="1:23" x14ac:dyDescent="0.2">
      <c r="A500" s="5" t="s">
        <v>603</v>
      </c>
      <c r="B500" s="6" t="s">
        <v>36</v>
      </c>
      <c r="C500" s="6" t="s">
        <v>45</v>
      </c>
      <c r="D500" s="65" t="str">
        <f t="shared" si="23"/>
        <v>045_O_c</v>
      </c>
      <c r="E500">
        <v>88</v>
      </c>
      <c r="F500" t="s">
        <v>82</v>
      </c>
      <c r="G500" t="s">
        <v>610</v>
      </c>
      <c r="I500">
        <v>2.7394557988843098</v>
      </c>
      <c r="J500" s="82">
        <v>23.3</v>
      </c>
      <c r="L500" s="82">
        <v>27.3</v>
      </c>
      <c r="M500" s="82">
        <v>21.9</v>
      </c>
      <c r="N500" s="82">
        <v>31.1</v>
      </c>
      <c r="O500" s="44">
        <f t="shared" si="25"/>
        <v>0.32496551724137945</v>
      </c>
      <c r="P500">
        <f t="shared" si="24"/>
        <v>25.9</v>
      </c>
      <c r="Q500" s="111">
        <v>0.251</v>
      </c>
      <c r="R500">
        <v>0.441</v>
      </c>
      <c r="S500" s="65">
        <v>26</v>
      </c>
      <c r="T500">
        <v>37</v>
      </c>
      <c r="U500" t="s">
        <v>72</v>
      </c>
      <c r="V500" t="s">
        <v>32</v>
      </c>
    </row>
    <row r="501" spans="1:23" x14ac:dyDescent="0.2">
      <c r="A501" s="5" t="s">
        <v>603</v>
      </c>
      <c r="B501" s="6" t="s">
        <v>33</v>
      </c>
      <c r="C501" s="6" t="s">
        <v>45</v>
      </c>
      <c r="D501" s="65" t="str">
        <f t="shared" si="23"/>
        <v>045_V_c</v>
      </c>
      <c r="E501">
        <v>95</v>
      </c>
      <c r="F501" t="s">
        <v>39</v>
      </c>
      <c r="G501" t="s">
        <v>611</v>
      </c>
      <c r="I501">
        <v>4.3579489932885904</v>
      </c>
      <c r="J501" s="82">
        <v>44</v>
      </c>
      <c r="K501" s="82">
        <v>26.8</v>
      </c>
      <c r="L501" s="82">
        <v>45.7</v>
      </c>
      <c r="M501">
        <v>40.1</v>
      </c>
      <c r="N501" s="82">
        <v>44.7</v>
      </c>
      <c r="O501" s="44">
        <f t="shared" si="25"/>
        <v>1.8718603661132429</v>
      </c>
      <c r="P501">
        <f t="shared" si="24"/>
        <v>40.260000000000005</v>
      </c>
      <c r="Q501" s="111">
        <v>0.39900000000000002</v>
      </c>
      <c r="R501">
        <v>0.51500000000000001</v>
      </c>
      <c r="S501" s="65">
        <v>18</v>
      </c>
      <c r="T501">
        <v>10</v>
      </c>
      <c r="U501" t="s">
        <v>54</v>
      </c>
      <c r="V501" t="s">
        <v>32</v>
      </c>
    </row>
    <row r="502" spans="1:23" x14ac:dyDescent="0.2">
      <c r="A502" s="5" t="s">
        <v>603</v>
      </c>
      <c r="B502" s="6" t="s">
        <v>27</v>
      </c>
      <c r="C502" s="6" t="s">
        <v>45</v>
      </c>
      <c r="D502" s="65" t="str">
        <f t="shared" si="23"/>
        <v>045_S_c</v>
      </c>
      <c r="E502">
        <v>102</v>
      </c>
      <c r="F502" t="s">
        <v>49</v>
      </c>
      <c r="G502" t="s">
        <v>612</v>
      </c>
      <c r="I502">
        <v>6.1039584983772501</v>
      </c>
      <c r="J502" s="82">
        <v>41.1</v>
      </c>
      <c r="K502" s="82">
        <v>47.2</v>
      </c>
      <c r="L502" s="82">
        <v>42.8</v>
      </c>
      <c r="M502">
        <v>15.4</v>
      </c>
      <c r="N502" s="82">
        <v>52.9</v>
      </c>
      <c r="O502" s="44">
        <f t="shared" si="25"/>
        <v>5.6472127417519671</v>
      </c>
      <c r="P502">
        <f t="shared" si="24"/>
        <v>39.88000000000001</v>
      </c>
      <c r="Q502" s="111">
        <v>0.51700000000000002</v>
      </c>
      <c r="R502">
        <v>0.53200000000000003</v>
      </c>
      <c r="S502" s="65">
        <v>22</v>
      </c>
      <c r="T502">
        <v>36</v>
      </c>
      <c r="U502" t="s">
        <v>72</v>
      </c>
      <c r="V502" t="s">
        <v>32</v>
      </c>
    </row>
    <row r="503" spans="1:23" x14ac:dyDescent="0.2">
      <c r="A503" s="5" t="s">
        <v>603</v>
      </c>
      <c r="B503" s="6" t="s">
        <v>36</v>
      </c>
      <c r="C503" s="6" t="s">
        <v>52</v>
      </c>
      <c r="D503" s="65" t="str">
        <f t="shared" si="23"/>
        <v>045_O_d</v>
      </c>
      <c r="E503">
        <v>113</v>
      </c>
      <c r="F503" t="s">
        <v>63</v>
      </c>
      <c r="G503" t="s">
        <v>613</v>
      </c>
      <c r="I503">
        <v>4.0022530247856203</v>
      </c>
      <c r="J503" s="82">
        <v>10</v>
      </c>
      <c r="K503" s="82">
        <v>6.5</v>
      </c>
      <c r="L503" s="82">
        <v>20.399999999999999</v>
      </c>
      <c r="M503">
        <v>4.2</v>
      </c>
      <c r="N503" s="82">
        <v>38.299999999999997</v>
      </c>
      <c r="O503" s="44">
        <f t="shared" si="25"/>
        <v>4.987753446877532</v>
      </c>
      <c r="P503">
        <f t="shared" si="24"/>
        <v>15.88</v>
      </c>
      <c r="Q503" s="111">
        <v>0.245</v>
      </c>
      <c r="R503">
        <v>0.373</v>
      </c>
      <c r="S503" s="65">
        <v>14</v>
      </c>
      <c r="T503">
        <v>25</v>
      </c>
      <c r="U503" t="s">
        <v>54</v>
      </c>
      <c r="V503" t="s">
        <v>32</v>
      </c>
    </row>
    <row r="504" spans="1:23" x14ac:dyDescent="0.2">
      <c r="A504" s="5" t="s">
        <v>603</v>
      </c>
      <c r="B504" s="6" t="s">
        <v>33</v>
      </c>
      <c r="C504" s="6" t="s">
        <v>52</v>
      </c>
      <c r="D504" s="65" t="str">
        <f t="shared" si="23"/>
        <v>045_V_d</v>
      </c>
      <c r="E504">
        <v>114</v>
      </c>
      <c r="F504" t="s">
        <v>34</v>
      </c>
      <c r="G504" t="s">
        <v>614</v>
      </c>
      <c r="I504">
        <v>1.9812055287478501</v>
      </c>
      <c r="J504" s="82">
        <v>6.5</v>
      </c>
      <c r="K504" s="82">
        <v>3.1</v>
      </c>
      <c r="L504" s="82">
        <v>31.6</v>
      </c>
      <c r="M504">
        <v>12.8</v>
      </c>
      <c r="N504" s="82">
        <v>8.9</v>
      </c>
      <c r="O504" s="44">
        <f t="shared" si="25"/>
        <v>11.981728395061735</v>
      </c>
      <c r="P504">
        <f t="shared" si="24"/>
        <v>12.58</v>
      </c>
      <c r="Q504" s="111">
        <v>0.21099999999999999</v>
      </c>
      <c r="R504">
        <v>0.33500000000000002</v>
      </c>
      <c r="S504" s="65">
        <v>15</v>
      </c>
      <c r="T504">
        <v>31</v>
      </c>
      <c r="U504" t="s">
        <v>54</v>
      </c>
      <c r="V504" t="s">
        <v>32</v>
      </c>
    </row>
    <row r="505" spans="1:23" ht="16" x14ac:dyDescent="0.2">
      <c r="A505" s="5" t="s">
        <v>603</v>
      </c>
      <c r="B505" s="6" t="s">
        <v>27</v>
      </c>
      <c r="C505" s="6" t="s">
        <v>52</v>
      </c>
      <c r="D505" s="65" t="str">
        <f t="shared" si="23"/>
        <v>045_S_d</v>
      </c>
      <c r="E505">
        <v>125</v>
      </c>
      <c r="F505" t="s">
        <v>68</v>
      </c>
      <c r="G505" t="s">
        <v>615</v>
      </c>
      <c r="H505" t="s">
        <v>56</v>
      </c>
      <c r="I505">
        <v>0</v>
      </c>
      <c r="J505" s="82">
        <v>1.1000000000000001</v>
      </c>
      <c r="K505" s="82">
        <v>1</v>
      </c>
      <c r="L505" s="84">
        <v>1</v>
      </c>
      <c r="M505">
        <v>1</v>
      </c>
      <c r="N505" s="82">
        <v>1</v>
      </c>
      <c r="O505" s="44">
        <f t="shared" si="25"/>
        <v>2.4390243902439068E-3</v>
      </c>
      <c r="P505">
        <f t="shared" si="24"/>
        <v>1.02</v>
      </c>
      <c r="Q505" s="111" t="s">
        <v>57</v>
      </c>
      <c r="R505" t="s">
        <v>57</v>
      </c>
      <c r="S505" s="65" t="s">
        <v>57</v>
      </c>
      <c r="T505" t="s">
        <v>57</v>
      </c>
      <c r="V505" t="s">
        <v>32</v>
      </c>
      <c r="W505" t="s">
        <v>67</v>
      </c>
    </row>
    <row r="506" spans="1:23" ht="16" x14ac:dyDescent="0.2">
      <c r="A506" s="1" t="s">
        <v>616</v>
      </c>
      <c r="B506" t="s">
        <v>27</v>
      </c>
      <c r="C506" t="s">
        <v>28</v>
      </c>
      <c r="D506" s="65" t="str">
        <f t="shared" si="23"/>
        <v>046_S_a</v>
      </c>
      <c r="E506">
        <v>12</v>
      </c>
      <c r="F506" t="s">
        <v>82</v>
      </c>
      <c r="G506" t="s">
        <v>617</v>
      </c>
      <c r="I506">
        <v>1.9235233891518</v>
      </c>
      <c r="J506" s="84">
        <v>31.5</v>
      </c>
      <c r="K506" s="82">
        <v>42.3</v>
      </c>
      <c r="L506" s="82">
        <v>36.9</v>
      </c>
      <c r="M506" s="82">
        <v>43.6</v>
      </c>
      <c r="N506" s="82">
        <v>45.1</v>
      </c>
      <c r="O506" s="44">
        <f t="shared" si="25"/>
        <v>0.79488010369411188</v>
      </c>
      <c r="P506">
        <f t="shared" si="24"/>
        <v>39.879999999999995</v>
      </c>
      <c r="Q506" s="111">
        <v>0.20899999999999999</v>
      </c>
      <c r="R506">
        <v>0.255</v>
      </c>
      <c r="S506" s="65">
        <v>11</v>
      </c>
      <c r="T506" s="47">
        <v>17</v>
      </c>
      <c r="U506" s="47" t="s">
        <v>54</v>
      </c>
      <c r="V506" t="s">
        <v>32</v>
      </c>
    </row>
    <row r="507" spans="1:23" ht="16" x14ac:dyDescent="0.2">
      <c r="A507" s="1" t="s">
        <v>616</v>
      </c>
      <c r="B507" t="s">
        <v>33</v>
      </c>
      <c r="C507" t="s">
        <v>28</v>
      </c>
      <c r="D507" s="65" t="str">
        <f t="shared" si="23"/>
        <v>046_V_a</v>
      </c>
      <c r="E507">
        <v>18</v>
      </c>
      <c r="F507" t="s">
        <v>29</v>
      </c>
      <c r="G507" t="s">
        <v>618</v>
      </c>
      <c r="I507">
        <v>3.9692263500574501</v>
      </c>
      <c r="J507" s="84">
        <v>3.4</v>
      </c>
      <c r="K507" s="82">
        <v>19.899999999999999</v>
      </c>
      <c r="L507" s="82">
        <v>5</v>
      </c>
      <c r="M507" s="82">
        <v>5.8</v>
      </c>
      <c r="N507" s="82">
        <v>43.2</v>
      </c>
      <c r="O507" s="44">
        <f t="shared" si="25"/>
        <v>6.8624633431085051</v>
      </c>
      <c r="P507">
        <f t="shared" si="24"/>
        <v>15.459999999999999</v>
      </c>
      <c r="Q507" s="111">
        <v>0.39500000000000002</v>
      </c>
      <c r="R507">
        <v>0.42399999999999999</v>
      </c>
      <c r="S507" s="65">
        <v>26</v>
      </c>
      <c r="T507">
        <v>37</v>
      </c>
      <c r="U507" t="s">
        <v>51</v>
      </c>
      <c r="V507" t="s">
        <v>32</v>
      </c>
    </row>
    <row r="508" spans="1:23" x14ac:dyDescent="0.2">
      <c r="A508" s="5" t="s">
        <v>616</v>
      </c>
      <c r="B508" s="6" t="s">
        <v>36</v>
      </c>
      <c r="C508" s="6" t="s">
        <v>28</v>
      </c>
      <c r="D508" s="65" t="str">
        <f t="shared" si="23"/>
        <v>046_O_a</v>
      </c>
      <c r="E508">
        <v>23</v>
      </c>
      <c r="F508" t="s">
        <v>41</v>
      </c>
      <c r="G508" t="s">
        <v>619</v>
      </c>
      <c r="I508">
        <v>4.7143359812336696</v>
      </c>
      <c r="J508" s="82">
        <v>24.9</v>
      </c>
      <c r="K508" s="82">
        <v>33.299999999999997</v>
      </c>
      <c r="L508" s="82">
        <v>33</v>
      </c>
      <c r="M508" s="82">
        <v>35.5</v>
      </c>
      <c r="N508" s="82">
        <v>40.6</v>
      </c>
      <c r="O508" s="44">
        <f t="shared" si="25"/>
        <v>0.68326756116811627</v>
      </c>
      <c r="P508">
        <f t="shared" si="24"/>
        <v>33.459999999999994</v>
      </c>
      <c r="Q508" s="111">
        <v>0.27800000000000002</v>
      </c>
      <c r="R508">
        <v>0.44600000000000001</v>
      </c>
      <c r="S508" s="65">
        <v>12</v>
      </c>
      <c r="T508" s="43">
        <v>2</v>
      </c>
      <c r="U508" t="s">
        <v>31</v>
      </c>
      <c r="V508" t="s">
        <v>32</v>
      </c>
    </row>
    <row r="509" spans="1:23" x14ac:dyDescent="0.2">
      <c r="A509" s="5" t="s">
        <v>616</v>
      </c>
      <c r="B509" s="6" t="s">
        <v>27</v>
      </c>
      <c r="C509" s="6" t="s">
        <v>38</v>
      </c>
      <c r="D509" s="65" t="str">
        <f t="shared" si="23"/>
        <v>046_S_b</v>
      </c>
      <c r="E509">
        <v>41</v>
      </c>
      <c r="F509" t="s">
        <v>41</v>
      </c>
      <c r="G509" t="s">
        <v>620</v>
      </c>
      <c r="I509">
        <v>2.8504197271773299</v>
      </c>
      <c r="J509" s="82">
        <v>26.8</v>
      </c>
      <c r="K509" s="82">
        <v>20.6</v>
      </c>
      <c r="L509" s="82">
        <v>29.7</v>
      </c>
      <c r="M509" s="82">
        <v>26.1</v>
      </c>
      <c r="N509" s="82">
        <v>36.700000000000003</v>
      </c>
      <c r="O509" s="44">
        <f t="shared" si="25"/>
        <v>0.55994832041342668</v>
      </c>
      <c r="P509">
        <f t="shared" si="24"/>
        <v>27.980000000000008</v>
      </c>
      <c r="Q509" s="111">
        <v>0.26200000000000001</v>
      </c>
      <c r="R509">
        <v>0.34</v>
      </c>
      <c r="S509" s="65">
        <v>8</v>
      </c>
      <c r="T509">
        <v>62</v>
      </c>
      <c r="U509" t="s">
        <v>31</v>
      </c>
      <c r="V509" t="s">
        <v>32</v>
      </c>
    </row>
    <row r="510" spans="1:23" x14ac:dyDescent="0.2">
      <c r="A510" s="5" t="s">
        <v>616</v>
      </c>
      <c r="B510" s="6" t="s">
        <v>36</v>
      </c>
      <c r="C510" s="6" t="s">
        <v>38</v>
      </c>
      <c r="D510" s="65" t="str">
        <f t="shared" si="23"/>
        <v>046_O_b</v>
      </c>
      <c r="E510">
        <v>45</v>
      </c>
      <c r="F510" t="s">
        <v>41</v>
      </c>
      <c r="G510" t="s">
        <v>621</v>
      </c>
      <c r="I510">
        <v>2.0825530481643701</v>
      </c>
      <c r="J510" s="82">
        <v>12</v>
      </c>
      <c r="K510" s="82">
        <v>31.6</v>
      </c>
      <c r="L510" s="82">
        <v>34.799999999999997</v>
      </c>
      <c r="M510" s="82">
        <v>26.7</v>
      </c>
      <c r="N510" s="82">
        <v>30.8</v>
      </c>
      <c r="O510" s="44">
        <f t="shared" si="25"/>
        <v>3.8691722169362359</v>
      </c>
      <c r="P510">
        <f t="shared" si="24"/>
        <v>27.18</v>
      </c>
      <c r="Q510" s="111">
        <v>0.154</v>
      </c>
      <c r="R510">
        <v>0.316</v>
      </c>
      <c r="S510" s="65">
        <v>5</v>
      </c>
      <c r="T510" s="43">
        <v>18</v>
      </c>
      <c r="U510" t="s">
        <v>57</v>
      </c>
      <c r="V510" t="s">
        <v>32</v>
      </c>
    </row>
    <row r="511" spans="1:23" x14ac:dyDescent="0.2">
      <c r="A511" s="1" t="s">
        <v>616</v>
      </c>
      <c r="B511" t="s">
        <v>33</v>
      </c>
      <c r="C511" t="s">
        <v>38</v>
      </c>
      <c r="D511" s="65" t="str">
        <f t="shared" si="23"/>
        <v>046_V_b</v>
      </c>
      <c r="E511">
        <v>64</v>
      </c>
      <c r="F511" t="s">
        <v>63</v>
      </c>
      <c r="G511" t="s">
        <v>622</v>
      </c>
      <c r="I511">
        <v>2.7930551161941799</v>
      </c>
      <c r="J511" s="82">
        <v>36.6</v>
      </c>
      <c r="K511" s="82">
        <v>18.5</v>
      </c>
      <c r="L511" s="82">
        <v>34.799999999999997</v>
      </c>
      <c r="M511" s="82">
        <v>16.899999999999999</v>
      </c>
      <c r="N511" s="82">
        <v>19.600000000000001</v>
      </c>
      <c r="O511" s="44">
        <f t="shared" si="25"/>
        <v>4.0811485642946268</v>
      </c>
      <c r="P511">
        <f t="shared" si="24"/>
        <v>25.28</v>
      </c>
      <c r="Q511" s="111">
        <v>0.248</v>
      </c>
      <c r="R511">
        <v>0.52</v>
      </c>
      <c r="S511" s="65">
        <v>23</v>
      </c>
      <c r="T511">
        <v>11</v>
      </c>
      <c r="U511" t="s">
        <v>31</v>
      </c>
      <c r="V511" t="s">
        <v>32</v>
      </c>
    </row>
    <row r="512" spans="1:23" x14ac:dyDescent="0.2">
      <c r="A512" s="5" t="s">
        <v>616</v>
      </c>
      <c r="B512" s="6" t="s">
        <v>27</v>
      </c>
      <c r="C512" s="6" t="s">
        <v>45</v>
      </c>
      <c r="D512" s="65" t="str">
        <f t="shared" si="23"/>
        <v>046_S_c</v>
      </c>
      <c r="E512">
        <v>76</v>
      </c>
      <c r="F512" t="s">
        <v>49</v>
      </c>
      <c r="G512" t="s">
        <v>623</v>
      </c>
      <c r="I512">
        <v>2.8865628042843201</v>
      </c>
      <c r="J512" s="82">
        <v>33.200000000000003</v>
      </c>
      <c r="K512" s="82">
        <v>40.4</v>
      </c>
      <c r="L512" s="82">
        <v>27.6</v>
      </c>
      <c r="M512" s="82">
        <v>15.2</v>
      </c>
      <c r="N512" s="82">
        <v>22.7</v>
      </c>
      <c r="O512" s="44">
        <f t="shared" si="25"/>
        <v>3.894158075601386</v>
      </c>
      <c r="P512">
        <f t="shared" si="24"/>
        <v>27.82</v>
      </c>
      <c r="Q512" s="111">
        <v>0.17399999999999999</v>
      </c>
      <c r="R512">
        <v>0.46899999999999997</v>
      </c>
      <c r="S512" s="65">
        <v>16</v>
      </c>
      <c r="T512">
        <v>26</v>
      </c>
      <c r="U512" t="s">
        <v>31</v>
      </c>
      <c r="V512" t="s">
        <v>32</v>
      </c>
    </row>
    <row r="513" spans="1:23" x14ac:dyDescent="0.2">
      <c r="A513" s="5" t="s">
        <v>616</v>
      </c>
      <c r="B513" s="6" t="s">
        <v>33</v>
      </c>
      <c r="C513" s="6" t="s">
        <v>45</v>
      </c>
      <c r="D513" s="65" t="str">
        <f t="shared" si="23"/>
        <v>046_V_c</v>
      </c>
      <c r="E513">
        <v>85</v>
      </c>
      <c r="F513" t="s">
        <v>70</v>
      </c>
      <c r="G513" t="s">
        <v>624</v>
      </c>
      <c r="I513">
        <v>2.3587164537807599</v>
      </c>
      <c r="J513" s="82">
        <v>35.200000000000003</v>
      </c>
      <c r="K513" s="82">
        <v>15.6</v>
      </c>
      <c r="L513" s="82">
        <v>33.9</v>
      </c>
      <c r="M513" s="82">
        <v>5.7</v>
      </c>
      <c r="N513" s="82">
        <v>39</v>
      </c>
      <c r="O513" s="44">
        <f t="shared" si="25"/>
        <v>9.1601769911504309</v>
      </c>
      <c r="P513">
        <f t="shared" si="24"/>
        <v>25.880000000000003</v>
      </c>
      <c r="Q513" s="111">
        <v>0.218</v>
      </c>
      <c r="R513">
        <v>0.36099999999999999</v>
      </c>
      <c r="S513" s="65">
        <v>14</v>
      </c>
      <c r="T513">
        <v>13</v>
      </c>
      <c r="U513" t="s">
        <v>72</v>
      </c>
      <c r="V513" t="s">
        <v>32</v>
      </c>
    </row>
    <row r="514" spans="1:23" x14ac:dyDescent="0.2">
      <c r="A514" s="5" t="s">
        <v>616</v>
      </c>
      <c r="B514" s="6" t="s">
        <v>36</v>
      </c>
      <c r="C514" s="6" t="s">
        <v>45</v>
      </c>
      <c r="D514" s="65" t="str">
        <f t="shared" ref="D514:D577" si="26">A514&amp;"_"&amp;B514&amp;"_"&amp;C514</f>
        <v>046_O_c</v>
      </c>
      <c r="E514">
        <v>97</v>
      </c>
      <c r="F514" t="s">
        <v>34</v>
      </c>
      <c r="G514" t="s">
        <v>625</v>
      </c>
      <c r="I514">
        <v>1.7048367952522301</v>
      </c>
      <c r="J514" s="82">
        <v>22.7</v>
      </c>
      <c r="K514" s="82">
        <v>8.4</v>
      </c>
      <c r="L514" s="82">
        <v>30.1</v>
      </c>
      <c r="M514">
        <v>26.9</v>
      </c>
      <c r="N514" s="82">
        <v>29.9</v>
      </c>
      <c r="O514" s="44">
        <f t="shared" si="25"/>
        <v>4.1629587589860098</v>
      </c>
      <c r="P514">
        <f t="shared" ref="P514:P577" si="27">AVERAGE(J514:N514)</f>
        <v>23.6</v>
      </c>
      <c r="Q514" s="111">
        <v>0.14099999999999999</v>
      </c>
      <c r="R514">
        <v>0.308</v>
      </c>
      <c r="S514" s="65">
        <v>36</v>
      </c>
      <c r="T514">
        <v>26</v>
      </c>
      <c r="U514" t="s">
        <v>72</v>
      </c>
      <c r="V514" t="s">
        <v>32</v>
      </c>
    </row>
    <row r="515" spans="1:23" ht="16" x14ac:dyDescent="0.2">
      <c r="A515" s="5" t="s">
        <v>616</v>
      </c>
      <c r="B515" s="6" t="s">
        <v>33</v>
      </c>
      <c r="C515" s="6" t="s">
        <v>52</v>
      </c>
      <c r="D515" s="65" t="str">
        <f t="shared" si="26"/>
        <v>046_V_d</v>
      </c>
      <c r="E515">
        <v>127</v>
      </c>
      <c r="F515" t="s">
        <v>29</v>
      </c>
      <c r="G515" t="s">
        <v>626</v>
      </c>
      <c r="I515">
        <v>4.2828776978417302</v>
      </c>
      <c r="J515" s="82">
        <v>41.3</v>
      </c>
      <c r="K515" s="82">
        <v>9.1999999999999993</v>
      </c>
      <c r="L515" s="84">
        <v>47.8</v>
      </c>
      <c r="M515">
        <v>41.5</v>
      </c>
      <c r="N515" s="82">
        <v>43.9</v>
      </c>
      <c r="O515" s="44">
        <f t="shared" si="25"/>
        <v>8.692513113972332</v>
      </c>
      <c r="P515">
        <f t="shared" si="27"/>
        <v>36.74</v>
      </c>
      <c r="Q515" s="111">
        <v>0.373</v>
      </c>
      <c r="R515">
        <v>0.51500000000000001</v>
      </c>
      <c r="S515" s="65">
        <v>7</v>
      </c>
      <c r="T515">
        <v>41</v>
      </c>
      <c r="U515" t="s">
        <v>54</v>
      </c>
      <c r="V515" t="s">
        <v>32</v>
      </c>
    </row>
    <row r="516" spans="1:23" ht="16" x14ac:dyDescent="0.2">
      <c r="A516" s="5" t="s">
        <v>616</v>
      </c>
      <c r="B516" s="6" t="s">
        <v>36</v>
      </c>
      <c r="C516" s="6" t="s">
        <v>52</v>
      </c>
      <c r="D516" s="65" t="str">
        <f t="shared" si="26"/>
        <v>046_O_d</v>
      </c>
      <c r="E516">
        <v>131</v>
      </c>
      <c r="F516" t="s">
        <v>34</v>
      </c>
      <c r="G516" t="s">
        <v>627</v>
      </c>
      <c r="I516">
        <v>3.2200954546590399</v>
      </c>
      <c r="J516" s="82">
        <v>2.9</v>
      </c>
      <c r="K516" s="82">
        <v>12.1</v>
      </c>
      <c r="L516" s="84">
        <v>12.1</v>
      </c>
      <c r="M516">
        <v>42.4</v>
      </c>
      <c r="N516" s="82">
        <v>21.6</v>
      </c>
      <c r="O516" s="44">
        <f t="shared" si="25"/>
        <v>17.101726618705033</v>
      </c>
      <c r="P516">
        <f t="shared" si="27"/>
        <v>18.22</v>
      </c>
      <c r="Q516" s="111">
        <v>0.32100000000000001</v>
      </c>
      <c r="R516">
        <v>0.38300000000000001</v>
      </c>
      <c r="S516" s="65">
        <v>9</v>
      </c>
      <c r="T516">
        <v>50</v>
      </c>
      <c r="U516" t="s">
        <v>54</v>
      </c>
      <c r="V516" t="s">
        <v>32</v>
      </c>
    </row>
    <row r="517" spans="1:23" ht="16" x14ac:dyDescent="0.2">
      <c r="A517" s="5" t="s">
        <v>616</v>
      </c>
      <c r="B517" s="6" t="s">
        <v>27</v>
      </c>
      <c r="C517" s="6" t="s">
        <v>52</v>
      </c>
      <c r="D517" s="65" t="str">
        <f t="shared" si="26"/>
        <v>046_S_d</v>
      </c>
      <c r="E517">
        <v>137</v>
      </c>
      <c r="F517" t="s">
        <v>34</v>
      </c>
      <c r="G517" t="s">
        <v>628</v>
      </c>
      <c r="H517" t="s">
        <v>56</v>
      </c>
      <c r="I517">
        <v>0</v>
      </c>
      <c r="J517" s="81"/>
      <c r="K517" s="82">
        <v>49.6</v>
      </c>
      <c r="L517" s="84">
        <v>1</v>
      </c>
      <c r="M517" s="82">
        <v>1</v>
      </c>
      <c r="N517" s="82">
        <v>0.9</v>
      </c>
      <c r="O517" s="44">
        <f t="shared" si="25"/>
        <v>45.774418604651174</v>
      </c>
      <c r="P517">
        <f t="shared" si="27"/>
        <v>13.125</v>
      </c>
      <c r="Q517" s="111" t="s">
        <v>57</v>
      </c>
      <c r="R517" t="s">
        <v>57</v>
      </c>
      <c r="S517" s="65" t="s">
        <v>57</v>
      </c>
      <c r="T517" t="s">
        <v>57</v>
      </c>
      <c r="V517" t="s">
        <v>32</v>
      </c>
      <c r="W517" t="s">
        <v>67</v>
      </c>
    </row>
    <row r="518" spans="1:23" ht="16" x14ac:dyDescent="0.2">
      <c r="A518" s="5" t="s">
        <v>629</v>
      </c>
      <c r="B518" s="6" t="s">
        <v>27</v>
      </c>
      <c r="C518" s="6" t="s">
        <v>28</v>
      </c>
      <c r="D518" s="65" t="str">
        <f t="shared" si="26"/>
        <v>047_S_a</v>
      </c>
      <c r="E518">
        <v>20</v>
      </c>
      <c r="F518" t="s">
        <v>49</v>
      </c>
      <c r="G518" t="s">
        <v>630</v>
      </c>
      <c r="H518" t="s">
        <v>56</v>
      </c>
      <c r="I518">
        <v>0</v>
      </c>
      <c r="J518" s="84">
        <v>1</v>
      </c>
      <c r="K518" s="82">
        <v>1</v>
      </c>
      <c r="L518" s="82">
        <v>1</v>
      </c>
      <c r="M518" s="82">
        <v>1</v>
      </c>
      <c r="N518" s="82">
        <v>0.9</v>
      </c>
      <c r="O518" s="44">
        <f t="shared" si="25"/>
        <v>0</v>
      </c>
      <c r="P518">
        <f t="shared" si="27"/>
        <v>0.98000000000000009</v>
      </c>
      <c r="Q518" s="111" t="s">
        <v>57</v>
      </c>
      <c r="R518" t="s">
        <v>57</v>
      </c>
      <c r="S518" s="65" t="s">
        <v>57</v>
      </c>
      <c r="T518" t="s">
        <v>57</v>
      </c>
      <c r="U518" t="s">
        <v>57</v>
      </c>
      <c r="V518" t="s">
        <v>32</v>
      </c>
      <c r="W518" t="s">
        <v>67</v>
      </c>
    </row>
    <row r="519" spans="1:23" x14ac:dyDescent="0.2">
      <c r="A519" s="1" t="s">
        <v>629</v>
      </c>
      <c r="B519" t="s">
        <v>33</v>
      </c>
      <c r="C519" t="s">
        <v>28</v>
      </c>
      <c r="D519" s="65" t="str">
        <f t="shared" si="26"/>
        <v>047_V_a</v>
      </c>
      <c r="E519">
        <v>24</v>
      </c>
      <c r="F519" t="s">
        <v>29</v>
      </c>
      <c r="G519" t="s">
        <v>631</v>
      </c>
      <c r="I519">
        <v>1.39995418407223</v>
      </c>
      <c r="J519" s="82">
        <v>12.7</v>
      </c>
      <c r="K519" s="82">
        <v>5.5</v>
      </c>
      <c r="L519" s="82">
        <v>23.1</v>
      </c>
      <c r="M519" s="82">
        <v>28.9</v>
      </c>
      <c r="N519" s="82">
        <v>34.700000000000003</v>
      </c>
      <c r="O519" s="44">
        <f t="shared" si="25"/>
        <v>6.2364672364672442</v>
      </c>
      <c r="P519">
        <f t="shared" si="27"/>
        <v>20.979999999999997</v>
      </c>
      <c r="Q519" s="111">
        <v>0.14599999999999999</v>
      </c>
      <c r="R519">
        <v>0.252</v>
      </c>
      <c r="S519" s="65">
        <v>5</v>
      </c>
      <c r="T519">
        <v>9</v>
      </c>
      <c r="U519" t="s">
        <v>51</v>
      </c>
      <c r="V519" t="s">
        <v>32</v>
      </c>
    </row>
    <row r="520" spans="1:23" x14ac:dyDescent="0.2">
      <c r="A520" s="5" t="s">
        <v>629</v>
      </c>
      <c r="B520" s="6" t="s">
        <v>36</v>
      </c>
      <c r="C520" s="6" t="s">
        <v>28</v>
      </c>
      <c r="D520" s="65" t="str">
        <f t="shared" si="26"/>
        <v>047_O_a</v>
      </c>
      <c r="E520">
        <v>33</v>
      </c>
      <c r="F520" t="s">
        <v>34</v>
      </c>
      <c r="G520" t="s">
        <v>632</v>
      </c>
      <c r="I520">
        <v>1.4339296627590401</v>
      </c>
      <c r="J520" s="82">
        <v>4.7</v>
      </c>
      <c r="K520" s="82">
        <v>16.2</v>
      </c>
      <c r="L520" s="82">
        <v>18.100000000000001</v>
      </c>
      <c r="M520" s="82">
        <v>21.3</v>
      </c>
      <c r="N520" s="82">
        <v>26</v>
      </c>
      <c r="O520" s="44">
        <f t="shared" si="25"/>
        <v>3.4672747374239963</v>
      </c>
      <c r="P520">
        <f t="shared" si="27"/>
        <v>17.259999999999998</v>
      </c>
      <c r="Q520" s="111">
        <v>5.8999999999999997E-2</v>
      </c>
      <c r="R520">
        <v>0.223</v>
      </c>
      <c r="S520" s="65">
        <v>14</v>
      </c>
      <c r="T520">
        <v>23</v>
      </c>
      <c r="U520" t="s">
        <v>31</v>
      </c>
      <c r="V520" t="s">
        <v>32</v>
      </c>
    </row>
    <row r="521" spans="1:23" x14ac:dyDescent="0.2">
      <c r="A521" s="5" t="s">
        <v>629</v>
      </c>
      <c r="B521" s="6" t="s">
        <v>36</v>
      </c>
      <c r="C521" s="6" t="s">
        <v>38</v>
      </c>
      <c r="D521" s="65" t="str">
        <f t="shared" si="26"/>
        <v>047_O_b</v>
      </c>
      <c r="E521">
        <v>52</v>
      </c>
      <c r="F521" t="s">
        <v>49</v>
      </c>
      <c r="G521" t="s">
        <v>633</v>
      </c>
      <c r="I521">
        <v>2.4602521071082299</v>
      </c>
      <c r="J521" s="82">
        <v>12.4</v>
      </c>
      <c r="K521" s="82">
        <v>9.4</v>
      </c>
      <c r="L521" s="82">
        <v>31.8</v>
      </c>
      <c r="M521" s="82">
        <v>26.2</v>
      </c>
      <c r="N521" s="82">
        <v>39</v>
      </c>
      <c r="O521" s="44">
        <f t="shared" si="25"/>
        <v>5.8110275689223094</v>
      </c>
      <c r="P521">
        <f t="shared" si="27"/>
        <v>23.759999999999998</v>
      </c>
      <c r="Q521" s="111">
        <v>0.184</v>
      </c>
      <c r="R521">
        <v>0.21299999999999999</v>
      </c>
      <c r="S521" s="65">
        <v>16</v>
      </c>
      <c r="T521" s="43">
        <v>14</v>
      </c>
      <c r="U521" t="s">
        <v>31</v>
      </c>
      <c r="V521" t="s">
        <v>32</v>
      </c>
    </row>
    <row r="522" spans="1:23" x14ac:dyDescent="0.2">
      <c r="A522" s="1" t="s">
        <v>629</v>
      </c>
      <c r="B522" t="s">
        <v>33</v>
      </c>
      <c r="C522" t="s">
        <v>38</v>
      </c>
      <c r="D522" s="65" t="str">
        <f t="shared" si="26"/>
        <v>047_V_b</v>
      </c>
      <c r="E522">
        <v>60</v>
      </c>
      <c r="F522" t="s">
        <v>39</v>
      </c>
      <c r="G522" t="s">
        <v>634</v>
      </c>
      <c r="I522">
        <v>2.7627193973634601</v>
      </c>
      <c r="J522" s="82">
        <v>7.4</v>
      </c>
      <c r="K522" s="82">
        <v>3.3</v>
      </c>
      <c r="L522" s="81">
        <v>1</v>
      </c>
      <c r="M522" s="82">
        <v>2.8</v>
      </c>
      <c r="N522" s="82">
        <v>46.9</v>
      </c>
      <c r="O522" s="44">
        <f t="shared" si="25"/>
        <v>2.0163218390804607</v>
      </c>
      <c r="P522">
        <f t="shared" si="27"/>
        <v>12.28</v>
      </c>
      <c r="Q522" s="111">
        <v>0.16400000000000001</v>
      </c>
      <c r="R522">
        <v>0.27900000000000003</v>
      </c>
      <c r="S522" s="65">
        <v>11</v>
      </c>
      <c r="T522">
        <v>6</v>
      </c>
      <c r="U522" t="s">
        <v>31</v>
      </c>
      <c r="V522" t="s">
        <v>32</v>
      </c>
    </row>
    <row r="523" spans="1:23" x14ac:dyDescent="0.2">
      <c r="A523" s="5" t="s">
        <v>629</v>
      </c>
      <c r="B523" s="6" t="s">
        <v>27</v>
      </c>
      <c r="C523" s="6" t="s">
        <v>38</v>
      </c>
      <c r="D523" s="65" t="str">
        <f t="shared" si="26"/>
        <v>047_S_b</v>
      </c>
      <c r="E523">
        <v>69</v>
      </c>
      <c r="F523" t="s">
        <v>41</v>
      </c>
      <c r="G523" t="s">
        <v>635</v>
      </c>
      <c r="I523">
        <v>6.1544076492537299</v>
      </c>
      <c r="J523" s="82">
        <v>10</v>
      </c>
      <c r="K523" s="82">
        <v>60</v>
      </c>
      <c r="L523" s="82">
        <v>4.0999999999999996</v>
      </c>
      <c r="M523" s="82">
        <v>39.4</v>
      </c>
      <c r="N523" s="82">
        <v>63.3</v>
      </c>
      <c r="O523" s="44">
        <f t="shared" si="25"/>
        <v>24.06587371512482</v>
      </c>
      <c r="P523">
        <f t="shared" si="27"/>
        <v>35.36</v>
      </c>
      <c r="Q523" s="111">
        <v>0.52300000000000002</v>
      </c>
      <c r="R523">
        <v>0.54900000000000004</v>
      </c>
      <c r="S523" s="65">
        <v>18</v>
      </c>
      <c r="T523">
        <v>24</v>
      </c>
      <c r="U523" t="s">
        <v>31</v>
      </c>
      <c r="V523" t="s">
        <v>32</v>
      </c>
    </row>
    <row r="524" spans="1:23" x14ac:dyDescent="0.2">
      <c r="A524" s="5" t="s">
        <v>629</v>
      </c>
      <c r="B524" s="6" t="s">
        <v>27</v>
      </c>
      <c r="C524" s="6" t="s">
        <v>45</v>
      </c>
      <c r="D524" s="65" t="str">
        <f t="shared" si="26"/>
        <v>047_S_c</v>
      </c>
      <c r="E524">
        <v>89</v>
      </c>
      <c r="F524" t="s">
        <v>43</v>
      </c>
      <c r="G524" t="s">
        <v>636</v>
      </c>
      <c r="I524">
        <v>4.8206105815720397</v>
      </c>
      <c r="J524" s="82">
        <v>28.4</v>
      </c>
      <c r="K524" s="82">
        <v>13.7</v>
      </c>
      <c r="L524" s="82">
        <v>16.399999999999999</v>
      </c>
      <c r="M524" s="82">
        <v>29.9</v>
      </c>
      <c r="N524" s="82">
        <v>9.9</v>
      </c>
      <c r="O524" s="44">
        <f t="shared" si="25"/>
        <v>3.0705882352941205</v>
      </c>
      <c r="P524">
        <f t="shared" si="27"/>
        <v>19.66</v>
      </c>
      <c r="Q524" s="111">
        <v>0.496</v>
      </c>
      <c r="R524">
        <v>0.56499999999999995</v>
      </c>
      <c r="S524" s="65">
        <v>20</v>
      </c>
      <c r="T524">
        <v>12</v>
      </c>
      <c r="U524" t="s">
        <v>54</v>
      </c>
      <c r="V524" t="s">
        <v>32</v>
      </c>
    </row>
    <row r="525" spans="1:23" x14ac:dyDescent="0.2">
      <c r="A525" s="5" t="s">
        <v>629</v>
      </c>
      <c r="B525" s="6" t="s">
        <v>33</v>
      </c>
      <c r="C525" s="6" t="s">
        <v>45</v>
      </c>
      <c r="D525" s="65" t="str">
        <f t="shared" si="26"/>
        <v>047_V_c</v>
      </c>
      <c r="E525">
        <v>98</v>
      </c>
      <c r="F525" t="s">
        <v>70</v>
      </c>
      <c r="G525" t="s">
        <v>637</v>
      </c>
      <c r="I525">
        <v>3.7102879031261602</v>
      </c>
      <c r="J525" s="82">
        <v>33.6</v>
      </c>
      <c r="K525" s="82">
        <v>30.9</v>
      </c>
      <c r="L525" s="82">
        <v>28</v>
      </c>
      <c r="M525">
        <v>20.3</v>
      </c>
      <c r="N525" s="82">
        <v>28.5</v>
      </c>
      <c r="O525" s="44">
        <f t="shared" si="25"/>
        <v>1.1690307328605212</v>
      </c>
      <c r="P525">
        <f t="shared" si="27"/>
        <v>28.26</v>
      </c>
      <c r="Q525" s="111">
        <v>0.32400000000000001</v>
      </c>
      <c r="R525">
        <v>0.49199999999999999</v>
      </c>
      <c r="S525" s="65">
        <v>9</v>
      </c>
      <c r="T525">
        <v>17</v>
      </c>
      <c r="U525" t="s">
        <v>31</v>
      </c>
      <c r="V525" t="s">
        <v>32</v>
      </c>
    </row>
    <row r="526" spans="1:23" x14ac:dyDescent="0.2">
      <c r="A526" s="5" t="s">
        <v>629</v>
      </c>
      <c r="B526" s="6" t="s">
        <v>36</v>
      </c>
      <c r="C526" s="6" t="s">
        <v>45</v>
      </c>
      <c r="D526" s="65" t="str">
        <f t="shared" si="26"/>
        <v>047_O_c</v>
      </c>
      <c r="E526">
        <v>106</v>
      </c>
      <c r="F526" t="s">
        <v>70</v>
      </c>
      <c r="G526" t="s">
        <v>638</v>
      </c>
      <c r="I526">
        <v>2.2193404726355399</v>
      </c>
      <c r="J526" s="82">
        <v>25.4</v>
      </c>
      <c r="K526" s="82">
        <v>23.2</v>
      </c>
      <c r="L526" s="82">
        <v>9.5</v>
      </c>
      <c r="M526">
        <v>10.9</v>
      </c>
      <c r="N526" s="82">
        <v>31.4</v>
      </c>
      <c r="O526" s="44">
        <f t="shared" si="25"/>
        <v>3.907439613526571</v>
      </c>
      <c r="P526">
        <f t="shared" si="27"/>
        <v>20.080000000000002</v>
      </c>
      <c r="Q526" s="111">
        <v>0.161</v>
      </c>
      <c r="R526">
        <v>0.25600000000000001</v>
      </c>
      <c r="S526" s="65">
        <v>8</v>
      </c>
      <c r="T526">
        <v>63</v>
      </c>
      <c r="U526" t="s">
        <v>72</v>
      </c>
      <c r="V526" t="s">
        <v>32</v>
      </c>
    </row>
    <row r="527" spans="1:23" ht="16" x14ac:dyDescent="0.2">
      <c r="A527" s="5" t="s">
        <v>629</v>
      </c>
      <c r="B527" s="6" t="s">
        <v>33</v>
      </c>
      <c r="C527" s="6" t="s">
        <v>52</v>
      </c>
      <c r="D527" s="65" t="str">
        <f t="shared" si="26"/>
        <v>047_V_d</v>
      </c>
      <c r="E527">
        <v>121</v>
      </c>
      <c r="F527" t="s">
        <v>41</v>
      </c>
      <c r="G527" t="s">
        <v>639</v>
      </c>
      <c r="I527">
        <v>3.33197439105159</v>
      </c>
      <c r="J527" s="82">
        <v>27.4</v>
      </c>
      <c r="K527" s="82">
        <v>9.5</v>
      </c>
      <c r="L527" s="84">
        <v>31</v>
      </c>
      <c r="M527">
        <v>42.9</v>
      </c>
      <c r="N527" s="82">
        <v>20.2</v>
      </c>
      <c r="O527" s="44">
        <f t="shared" si="25"/>
        <v>6.8984356197352437</v>
      </c>
      <c r="P527">
        <f t="shared" si="27"/>
        <v>26.2</v>
      </c>
      <c r="Q527" s="111">
        <v>0.28299999999999997</v>
      </c>
      <c r="R527">
        <v>0.54800000000000004</v>
      </c>
      <c r="S527" s="65">
        <v>22</v>
      </c>
      <c r="T527">
        <v>30</v>
      </c>
      <c r="U527" t="s">
        <v>31</v>
      </c>
      <c r="V527" t="s">
        <v>32</v>
      </c>
    </row>
    <row r="528" spans="1:23" ht="16" x14ac:dyDescent="0.2">
      <c r="A528" s="5" t="s">
        <v>629</v>
      </c>
      <c r="B528" s="6" t="s">
        <v>36</v>
      </c>
      <c r="C528" s="6" t="s">
        <v>52</v>
      </c>
      <c r="D528" s="65" t="str">
        <f t="shared" si="26"/>
        <v>047_O_d</v>
      </c>
      <c r="E528">
        <v>124</v>
      </c>
      <c r="F528" t="s">
        <v>34</v>
      </c>
      <c r="G528" t="s">
        <v>640</v>
      </c>
      <c r="I528">
        <v>3.5385531958604002</v>
      </c>
      <c r="J528" s="82">
        <v>23.6</v>
      </c>
      <c r="K528" s="82">
        <v>13.9</v>
      </c>
      <c r="L528" s="84">
        <v>31</v>
      </c>
      <c r="M528">
        <v>22.9</v>
      </c>
      <c r="N528" s="82">
        <v>32.700000000000003</v>
      </c>
      <c r="O528" s="44">
        <f t="shared" si="25"/>
        <v>2.1457330415754874</v>
      </c>
      <c r="P528">
        <f t="shared" si="27"/>
        <v>24.82</v>
      </c>
      <c r="Q528" s="111">
        <v>0.19800000000000001</v>
      </c>
      <c r="R528">
        <v>0.35199999999999998</v>
      </c>
      <c r="S528" s="65">
        <v>49</v>
      </c>
      <c r="T528">
        <v>49</v>
      </c>
      <c r="U528" t="s">
        <v>51</v>
      </c>
      <c r="V528" t="s">
        <v>32</v>
      </c>
    </row>
    <row r="529" spans="1:23" ht="16" x14ac:dyDescent="0.2">
      <c r="A529" s="5" t="s">
        <v>629</v>
      </c>
      <c r="B529" s="6" t="s">
        <v>27</v>
      </c>
      <c r="C529" s="6" t="s">
        <v>52</v>
      </c>
      <c r="D529" s="65" t="str">
        <f t="shared" si="26"/>
        <v>047_S_d</v>
      </c>
      <c r="E529">
        <v>144</v>
      </c>
      <c r="F529" t="s">
        <v>70</v>
      </c>
      <c r="G529" t="s">
        <v>641</v>
      </c>
      <c r="I529">
        <v>3.0736171366594398</v>
      </c>
      <c r="J529" s="82">
        <v>22.5</v>
      </c>
      <c r="K529" s="82">
        <v>22.7</v>
      </c>
      <c r="L529" s="84">
        <v>29.4</v>
      </c>
      <c r="M529" s="82">
        <v>9</v>
      </c>
      <c r="N529" s="82">
        <v>32.1</v>
      </c>
      <c r="O529" s="44">
        <f t="shared" si="25"/>
        <v>3.5033492822966523</v>
      </c>
      <c r="P529">
        <f t="shared" si="27"/>
        <v>23.139999999999997</v>
      </c>
      <c r="Q529" s="111">
        <v>0.32700000000000001</v>
      </c>
      <c r="R529">
        <v>0.371</v>
      </c>
      <c r="S529" s="65">
        <v>25</v>
      </c>
      <c r="T529">
        <v>41</v>
      </c>
      <c r="U529" t="s">
        <v>51</v>
      </c>
      <c r="V529" t="s">
        <v>32</v>
      </c>
    </row>
    <row r="530" spans="1:23" ht="16" x14ac:dyDescent="0.2">
      <c r="A530" s="1" t="s">
        <v>642</v>
      </c>
      <c r="B530" t="s">
        <v>33</v>
      </c>
      <c r="C530" t="s">
        <v>28</v>
      </c>
      <c r="D530" s="65" t="str">
        <f t="shared" si="26"/>
        <v>048_V_a</v>
      </c>
      <c r="E530">
        <v>12</v>
      </c>
      <c r="F530" t="s">
        <v>70</v>
      </c>
      <c r="G530" t="s">
        <v>643</v>
      </c>
      <c r="I530">
        <v>3.1400755369494</v>
      </c>
      <c r="J530" s="84">
        <v>28.5</v>
      </c>
      <c r="K530" s="82">
        <v>34.6</v>
      </c>
      <c r="L530" s="82">
        <v>28.6</v>
      </c>
      <c r="M530" s="82">
        <v>31.6</v>
      </c>
      <c r="N530" s="82">
        <v>33.4</v>
      </c>
      <c r="O530" s="44">
        <f t="shared" si="25"/>
        <v>0.27258718572587187</v>
      </c>
      <c r="P530">
        <f t="shared" si="27"/>
        <v>31.340000000000003</v>
      </c>
      <c r="Q530" s="111">
        <v>0.51200000000000001</v>
      </c>
      <c r="R530">
        <v>0.54800000000000004</v>
      </c>
      <c r="S530" s="65">
        <v>13</v>
      </c>
      <c r="T530" s="47">
        <v>17</v>
      </c>
      <c r="U530" s="47" t="s">
        <v>54</v>
      </c>
      <c r="V530" t="s">
        <v>32</v>
      </c>
    </row>
    <row r="531" spans="1:23" x14ac:dyDescent="0.2">
      <c r="A531" s="5" t="s">
        <v>642</v>
      </c>
      <c r="B531" s="6" t="s">
        <v>27</v>
      </c>
      <c r="C531" s="6" t="s">
        <v>28</v>
      </c>
      <c r="D531" s="65" t="str">
        <f t="shared" si="26"/>
        <v>048_S_a</v>
      </c>
      <c r="E531">
        <v>25</v>
      </c>
      <c r="F531" t="s">
        <v>49</v>
      </c>
      <c r="G531" t="s">
        <v>644</v>
      </c>
      <c r="I531">
        <v>7.16863033873343</v>
      </c>
      <c r="J531" s="43">
        <v>1.4</v>
      </c>
      <c r="K531" t="s">
        <v>57</v>
      </c>
      <c r="L531" s="82">
        <v>22.2</v>
      </c>
      <c r="M531" s="82">
        <v>15.6</v>
      </c>
      <c r="N531" s="82">
        <v>22.6</v>
      </c>
      <c r="O531" s="44">
        <f t="shared" si="25"/>
        <v>8.6459183673469422</v>
      </c>
      <c r="P531">
        <f t="shared" si="27"/>
        <v>15.45</v>
      </c>
      <c r="Q531" s="111">
        <v>0.47599999999999998</v>
      </c>
      <c r="R531">
        <v>0.45600000000000002</v>
      </c>
      <c r="S531" s="65">
        <v>27</v>
      </c>
      <c r="T531" s="43">
        <v>39</v>
      </c>
      <c r="U531" t="s">
        <v>31</v>
      </c>
      <c r="V531" t="s">
        <v>32</v>
      </c>
    </row>
    <row r="532" spans="1:23" x14ac:dyDescent="0.2">
      <c r="A532" s="5" t="s">
        <v>642</v>
      </c>
      <c r="B532" s="6" t="s">
        <v>36</v>
      </c>
      <c r="C532" s="6" t="s">
        <v>28</v>
      </c>
      <c r="D532" s="65" t="str">
        <f t="shared" si="26"/>
        <v>048_O_a</v>
      </c>
      <c r="E532">
        <v>27</v>
      </c>
      <c r="F532" t="s">
        <v>82</v>
      </c>
      <c r="G532" t="s">
        <v>645</v>
      </c>
      <c r="I532">
        <v>2.2838358212941001</v>
      </c>
      <c r="J532" s="82">
        <v>23.2</v>
      </c>
      <c r="K532" t="s">
        <v>57</v>
      </c>
      <c r="L532" s="82">
        <v>32</v>
      </c>
      <c r="M532" s="82">
        <v>47.2</v>
      </c>
      <c r="N532" s="82">
        <v>35.1</v>
      </c>
      <c r="O532" s="44">
        <f t="shared" si="25"/>
        <v>4.318749999999989</v>
      </c>
      <c r="P532">
        <f t="shared" si="27"/>
        <v>34.375</v>
      </c>
      <c r="Q532" s="111">
        <v>0.23799999999999999</v>
      </c>
      <c r="R532">
        <v>0.28499999999999998</v>
      </c>
      <c r="S532" s="65">
        <v>11</v>
      </c>
      <c r="T532">
        <v>18</v>
      </c>
      <c r="U532" t="s">
        <v>31</v>
      </c>
      <c r="V532" t="s">
        <v>32</v>
      </c>
    </row>
    <row r="533" spans="1:23" x14ac:dyDescent="0.2">
      <c r="A533" s="1" t="s">
        <v>642</v>
      </c>
      <c r="B533" t="s">
        <v>33</v>
      </c>
      <c r="C533" t="s">
        <v>38</v>
      </c>
      <c r="D533" s="65" t="str">
        <f t="shared" si="26"/>
        <v>048_V_b</v>
      </c>
      <c r="E533">
        <v>42</v>
      </c>
      <c r="F533" t="s">
        <v>68</v>
      </c>
      <c r="G533" t="s">
        <v>646</v>
      </c>
      <c r="I533">
        <v>1.91540035362465</v>
      </c>
      <c r="J533" s="82">
        <v>25.1</v>
      </c>
      <c r="K533" s="82">
        <v>35.1</v>
      </c>
      <c r="L533" s="81"/>
      <c r="M533" s="82">
        <v>39.9</v>
      </c>
      <c r="N533" s="82">
        <v>33.9</v>
      </c>
      <c r="O533" s="44">
        <f t="shared" si="25"/>
        <v>1.7086913086913151</v>
      </c>
      <c r="P533">
        <f t="shared" si="27"/>
        <v>33.5</v>
      </c>
      <c r="Q533" s="111">
        <v>0.21199999999999999</v>
      </c>
      <c r="R533">
        <v>0.36699999999999999</v>
      </c>
      <c r="S533" s="65">
        <v>10</v>
      </c>
      <c r="T533">
        <v>5</v>
      </c>
      <c r="U533" t="s">
        <v>31</v>
      </c>
      <c r="V533" t="s">
        <v>32</v>
      </c>
    </row>
    <row r="534" spans="1:23" x14ac:dyDescent="0.2">
      <c r="A534" s="5" t="s">
        <v>642</v>
      </c>
      <c r="B534" s="6" t="s">
        <v>36</v>
      </c>
      <c r="C534" s="6" t="s">
        <v>38</v>
      </c>
      <c r="D534" s="65" t="str">
        <f t="shared" si="26"/>
        <v>048_O_b</v>
      </c>
      <c r="E534">
        <v>68</v>
      </c>
      <c r="F534" t="s">
        <v>39</v>
      </c>
      <c r="G534" t="s">
        <v>647</v>
      </c>
      <c r="I534">
        <v>2.90478267261234</v>
      </c>
      <c r="J534" s="82">
        <v>37.9</v>
      </c>
      <c r="K534" s="82">
        <v>32.6</v>
      </c>
      <c r="L534" s="82">
        <v>31</v>
      </c>
      <c r="M534" s="82">
        <v>32.4</v>
      </c>
      <c r="N534" s="82">
        <v>45.5</v>
      </c>
      <c r="O534" s="44">
        <f t="shared" si="25"/>
        <v>0.27510580034851867</v>
      </c>
      <c r="P534">
        <f t="shared" si="27"/>
        <v>35.880000000000003</v>
      </c>
      <c r="Q534" s="111">
        <v>0.17399999999999999</v>
      </c>
      <c r="R534">
        <v>0.39300000000000002</v>
      </c>
      <c r="S534" s="65">
        <v>12</v>
      </c>
      <c r="T534">
        <v>31</v>
      </c>
      <c r="U534" t="s">
        <v>31</v>
      </c>
      <c r="V534" t="s">
        <v>32</v>
      </c>
    </row>
    <row r="535" spans="1:23" x14ac:dyDescent="0.2">
      <c r="A535" s="5" t="s">
        <v>642</v>
      </c>
      <c r="B535" s="6" t="s">
        <v>27</v>
      </c>
      <c r="C535" s="6" t="s">
        <v>38</v>
      </c>
      <c r="D535" s="65" t="str">
        <f t="shared" si="26"/>
        <v>048_S_b</v>
      </c>
      <c r="E535">
        <v>68</v>
      </c>
      <c r="F535" t="s">
        <v>41</v>
      </c>
      <c r="G535" t="s">
        <v>648</v>
      </c>
      <c r="I535">
        <v>6.46772186014603</v>
      </c>
      <c r="J535" s="82">
        <v>16.3</v>
      </c>
      <c r="K535" s="82">
        <v>25.7</v>
      </c>
      <c r="L535" s="82">
        <v>6.3</v>
      </c>
      <c r="M535" s="82">
        <v>18.100000000000001</v>
      </c>
      <c r="N535" s="82">
        <v>52.6</v>
      </c>
      <c r="O535" s="44">
        <f t="shared" si="25"/>
        <v>3.840160642570281</v>
      </c>
      <c r="P535">
        <f t="shared" si="27"/>
        <v>23.8</v>
      </c>
      <c r="Q535" s="111">
        <v>0.55400000000000005</v>
      </c>
      <c r="R535">
        <v>0.61699999999999999</v>
      </c>
      <c r="S535" s="65">
        <v>18</v>
      </c>
      <c r="T535">
        <v>32</v>
      </c>
      <c r="U535" t="s">
        <v>31</v>
      </c>
      <c r="V535" t="s">
        <v>32</v>
      </c>
    </row>
    <row r="536" spans="1:23" x14ac:dyDescent="0.2">
      <c r="A536" s="5" t="s">
        <v>642</v>
      </c>
      <c r="B536" s="6" t="s">
        <v>36</v>
      </c>
      <c r="C536" s="6" t="s">
        <v>45</v>
      </c>
      <c r="D536" s="65" t="str">
        <f t="shared" si="26"/>
        <v>048_O_c</v>
      </c>
      <c r="E536">
        <v>76</v>
      </c>
      <c r="F536" t="s">
        <v>34</v>
      </c>
      <c r="G536" t="s">
        <v>649</v>
      </c>
      <c r="I536">
        <v>3.1412328664519502</v>
      </c>
      <c r="J536" s="82">
        <v>7.9</v>
      </c>
      <c r="K536" s="82">
        <v>39</v>
      </c>
      <c r="L536" s="82">
        <v>35.200000000000003</v>
      </c>
      <c r="M536" s="82">
        <v>36.4</v>
      </c>
      <c r="N536" s="82">
        <v>42.3</v>
      </c>
      <c r="O536" s="44">
        <f t="shared" si="25"/>
        <v>7.1656540084388167</v>
      </c>
      <c r="P536">
        <f t="shared" si="27"/>
        <v>32.160000000000004</v>
      </c>
      <c r="Q536" s="111">
        <v>0.247</v>
      </c>
      <c r="R536">
        <v>0.42399999999999999</v>
      </c>
      <c r="S536" s="65">
        <v>7</v>
      </c>
      <c r="T536">
        <v>11</v>
      </c>
      <c r="U536" t="s">
        <v>31</v>
      </c>
      <c r="V536" t="s">
        <v>32</v>
      </c>
    </row>
    <row r="537" spans="1:23" x14ac:dyDescent="0.2">
      <c r="A537" s="5" t="s">
        <v>642</v>
      </c>
      <c r="B537" s="6" t="s">
        <v>27</v>
      </c>
      <c r="C537" s="6" t="s">
        <v>45</v>
      </c>
      <c r="D537" s="65" t="str">
        <f t="shared" si="26"/>
        <v>048_S_c</v>
      </c>
      <c r="E537">
        <v>76</v>
      </c>
      <c r="F537" t="s">
        <v>63</v>
      </c>
      <c r="G537" t="s">
        <v>650</v>
      </c>
      <c r="I537">
        <v>5.5302374353981003</v>
      </c>
      <c r="J537" s="82">
        <v>36.799999999999997</v>
      </c>
      <c r="K537" s="82">
        <v>42.7</v>
      </c>
      <c r="L537" s="82">
        <v>12.4</v>
      </c>
      <c r="M537" s="82">
        <v>23.7</v>
      </c>
      <c r="N537" s="82">
        <v>36.200000000000003</v>
      </c>
      <c r="O537" s="44">
        <f t="shared" si="25"/>
        <v>6.3683967704728879</v>
      </c>
      <c r="P537">
        <f t="shared" si="27"/>
        <v>30.360000000000003</v>
      </c>
      <c r="Q537" s="111">
        <v>0.61</v>
      </c>
      <c r="R537">
        <v>0.77400000000000002</v>
      </c>
      <c r="S537" s="65">
        <v>25</v>
      </c>
      <c r="T537">
        <v>24</v>
      </c>
      <c r="U537" t="s">
        <v>31</v>
      </c>
      <c r="V537" t="s">
        <v>32</v>
      </c>
    </row>
    <row r="538" spans="1:23" x14ac:dyDescent="0.2">
      <c r="A538" s="5" t="s">
        <v>642</v>
      </c>
      <c r="B538" s="6" t="s">
        <v>33</v>
      </c>
      <c r="C538" s="6" t="s">
        <v>45</v>
      </c>
      <c r="D538" s="65" t="str">
        <f t="shared" si="26"/>
        <v>048_V_c</v>
      </c>
      <c r="E538">
        <v>83</v>
      </c>
      <c r="F538" t="s">
        <v>68</v>
      </c>
      <c r="G538" t="s">
        <v>651</v>
      </c>
      <c r="I538">
        <v>3.4019354397483199</v>
      </c>
      <c r="J538" s="82">
        <v>4.0999999999999996</v>
      </c>
      <c r="K538" s="82">
        <v>33.4</v>
      </c>
      <c r="L538" s="82">
        <v>37.1</v>
      </c>
      <c r="M538" s="82">
        <v>25.3</v>
      </c>
      <c r="N538" s="82">
        <v>6.6</v>
      </c>
      <c r="O538" s="44">
        <f t="shared" si="25"/>
        <v>8.7269602936269646</v>
      </c>
      <c r="P538">
        <f t="shared" si="27"/>
        <v>21.299999999999997</v>
      </c>
      <c r="Q538" s="111">
        <v>0.26600000000000001</v>
      </c>
      <c r="R538">
        <v>0.33200000000000002</v>
      </c>
      <c r="S538" s="65">
        <v>11</v>
      </c>
      <c r="T538">
        <v>42</v>
      </c>
      <c r="U538" t="s">
        <v>72</v>
      </c>
      <c r="V538" t="s">
        <v>32</v>
      </c>
    </row>
    <row r="539" spans="1:23" ht="16" x14ac:dyDescent="0.2">
      <c r="A539" s="5" t="s">
        <v>642</v>
      </c>
      <c r="B539" s="6" t="s">
        <v>36</v>
      </c>
      <c r="C539" s="6" t="s">
        <v>52</v>
      </c>
      <c r="D539" s="65" t="str">
        <f t="shared" si="26"/>
        <v>048_O_d</v>
      </c>
      <c r="E539">
        <v>123</v>
      </c>
      <c r="F539" t="s">
        <v>70</v>
      </c>
      <c r="G539" t="s">
        <v>652</v>
      </c>
      <c r="I539">
        <v>4.4051321517039002</v>
      </c>
      <c r="J539" s="82">
        <v>39</v>
      </c>
      <c r="K539" s="82">
        <v>39</v>
      </c>
      <c r="L539" s="84">
        <v>45.7</v>
      </c>
      <c r="M539">
        <v>32.1</v>
      </c>
      <c r="N539" s="82">
        <v>42.4</v>
      </c>
      <c r="O539" s="44">
        <f t="shared" si="25"/>
        <v>0.79152759948651152</v>
      </c>
      <c r="P539">
        <f t="shared" si="27"/>
        <v>39.64</v>
      </c>
      <c r="Q539" s="111">
        <v>0.34200000000000003</v>
      </c>
      <c r="R539">
        <v>0.69399999999999995</v>
      </c>
      <c r="S539" s="65">
        <v>12</v>
      </c>
      <c r="T539">
        <v>21</v>
      </c>
      <c r="U539" t="s">
        <v>31</v>
      </c>
      <c r="V539" t="s">
        <v>32</v>
      </c>
    </row>
    <row r="540" spans="1:23" ht="16" x14ac:dyDescent="0.2">
      <c r="A540" s="5" t="s">
        <v>642</v>
      </c>
      <c r="B540" s="6" t="s">
        <v>33</v>
      </c>
      <c r="C540" s="6" t="s">
        <v>52</v>
      </c>
      <c r="D540" s="65" t="str">
        <f t="shared" si="26"/>
        <v>048_V_d</v>
      </c>
      <c r="E540">
        <v>130</v>
      </c>
      <c r="F540" t="s">
        <v>49</v>
      </c>
      <c r="G540" t="s">
        <v>653</v>
      </c>
      <c r="I540">
        <v>2.5610619469026501</v>
      </c>
      <c r="J540" s="82">
        <v>31.4</v>
      </c>
      <c r="K540" s="82">
        <v>35.6</v>
      </c>
      <c r="L540" s="84">
        <v>29.5</v>
      </c>
      <c r="M540" s="43">
        <v>1.6</v>
      </c>
      <c r="N540" s="82">
        <v>17.100000000000001</v>
      </c>
      <c r="O540" s="44">
        <f t="shared" si="25"/>
        <v>9.7890248046211408</v>
      </c>
      <c r="P540">
        <f t="shared" si="27"/>
        <v>23.04</v>
      </c>
      <c r="Q540" s="111">
        <v>0.27100000000000002</v>
      </c>
      <c r="R540">
        <v>0.39100000000000001</v>
      </c>
      <c r="S540" s="65">
        <v>7</v>
      </c>
      <c r="T540">
        <v>19</v>
      </c>
      <c r="U540" t="s">
        <v>47</v>
      </c>
      <c r="V540" t="s">
        <v>32</v>
      </c>
    </row>
    <row r="541" spans="1:23" ht="16" x14ac:dyDescent="0.2">
      <c r="A541" s="5" t="s">
        <v>642</v>
      </c>
      <c r="B541" s="6" t="s">
        <v>27</v>
      </c>
      <c r="C541" s="6" t="s">
        <v>52</v>
      </c>
      <c r="D541" s="65" t="str">
        <f t="shared" si="26"/>
        <v>048_S_d</v>
      </c>
      <c r="E541">
        <v>135</v>
      </c>
      <c r="F541" t="s">
        <v>82</v>
      </c>
      <c r="G541" t="s">
        <v>654</v>
      </c>
      <c r="H541" t="s">
        <v>56</v>
      </c>
      <c r="I541">
        <v>0</v>
      </c>
      <c r="J541" s="82">
        <v>1.1000000000000001</v>
      </c>
      <c r="K541" s="82">
        <v>1</v>
      </c>
      <c r="L541" s="84">
        <v>1</v>
      </c>
      <c r="M541" s="82">
        <v>1</v>
      </c>
      <c r="N541" s="82">
        <v>1</v>
      </c>
      <c r="O541" s="44">
        <f t="shared" si="25"/>
        <v>2.4390243902439068E-3</v>
      </c>
      <c r="P541">
        <f t="shared" si="27"/>
        <v>1.02</v>
      </c>
      <c r="Q541" s="111" t="s">
        <v>57</v>
      </c>
      <c r="R541" t="s">
        <v>57</v>
      </c>
      <c r="S541" s="65" t="s">
        <v>57</v>
      </c>
      <c r="T541" t="s">
        <v>57</v>
      </c>
      <c r="V541" t="s">
        <v>32</v>
      </c>
      <c r="W541" t="s">
        <v>67</v>
      </c>
    </row>
    <row r="542" spans="1:23" ht="16" x14ac:dyDescent="0.2">
      <c r="A542" s="1" t="s">
        <v>655</v>
      </c>
      <c r="B542" t="s">
        <v>33</v>
      </c>
      <c r="C542" t="s">
        <v>28</v>
      </c>
      <c r="D542" s="65" t="str">
        <f t="shared" si="26"/>
        <v>049_V_a</v>
      </c>
      <c r="E542">
        <v>2</v>
      </c>
      <c r="F542" t="s">
        <v>39</v>
      </c>
      <c r="G542" t="s">
        <v>656</v>
      </c>
      <c r="I542">
        <v>5.6366870686287296</v>
      </c>
      <c r="J542" s="84">
        <v>26.1</v>
      </c>
      <c r="K542" s="82">
        <v>4.0999999999999996</v>
      </c>
      <c r="L542" s="82">
        <v>16.399999999999999</v>
      </c>
      <c r="M542" s="82">
        <v>22.6</v>
      </c>
      <c r="N542" s="82">
        <v>5.6</v>
      </c>
      <c r="O542" s="44">
        <f t="shared" si="25"/>
        <v>5.4061657032755281</v>
      </c>
      <c r="P542">
        <f t="shared" si="27"/>
        <v>14.959999999999999</v>
      </c>
      <c r="Q542" s="111">
        <v>0.41299999999999998</v>
      </c>
      <c r="R542">
        <v>0.53700000000000003</v>
      </c>
      <c r="S542" s="65">
        <v>20</v>
      </c>
      <c r="T542">
        <v>13</v>
      </c>
      <c r="U542" t="s">
        <v>54</v>
      </c>
      <c r="V542" t="s">
        <v>32</v>
      </c>
    </row>
    <row r="543" spans="1:23" ht="16" x14ac:dyDescent="0.2">
      <c r="A543" s="5" t="s">
        <v>655</v>
      </c>
      <c r="B543" s="6" t="s">
        <v>27</v>
      </c>
      <c r="C543" s="6" t="s">
        <v>28</v>
      </c>
      <c r="D543" s="65" t="str">
        <f t="shared" si="26"/>
        <v>049_S_a</v>
      </c>
      <c r="E543">
        <v>6</v>
      </c>
      <c r="F543" t="s">
        <v>29</v>
      </c>
      <c r="G543" t="s">
        <v>657</v>
      </c>
      <c r="H543" t="s">
        <v>56</v>
      </c>
      <c r="I543">
        <v>0</v>
      </c>
      <c r="J543" s="84">
        <v>1</v>
      </c>
      <c r="K543" s="82">
        <v>1</v>
      </c>
      <c r="L543" s="82">
        <v>1</v>
      </c>
      <c r="M543" s="82">
        <v>1</v>
      </c>
      <c r="N543" s="82">
        <v>0.9</v>
      </c>
      <c r="O543" s="44">
        <f>VAR(J543:L543)/AVERAGE(J543:L543)</f>
        <v>0</v>
      </c>
      <c r="P543">
        <f t="shared" si="27"/>
        <v>0.98000000000000009</v>
      </c>
      <c r="Q543" s="111" t="s">
        <v>57</v>
      </c>
      <c r="R543" t="s">
        <v>57</v>
      </c>
      <c r="S543" s="65" t="s">
        <v>57</v>
      </c>
      <c r="T543" t="s">
        <v>57</v>
      </c>
      <c r="U543" t="s">
        <v>57</v>
      </c>
      <c r="V543" t="s">
        <v>32</v>
      </c>
      <c r="W543" t="s">
        <v>67</v>
      </c>
    </row>
    <row r="544" spans="1:23" ht="16" x14ac:dyDescent="0.2">
      <c r="A544" s="45" t="s">
        <v>655</v>
      </c>
      <c r="B544" s="46" t="s">
        <v>36</v>
      </c>
      <c r="C544" s="46" t="s">
        <v>28</v>
      </c>
      <c r="D544" s="67" t="str">
        <f t="shared" si="26"/>
        <v>049_O_a</v>
      </c>
      <c r="E544" s="47">
        <v>15</v>
      </c>
      <c r="F544" s="47" t="s">
        <v>34</v>
      </c>
      <c r="G544" s="47" t="s">
        <v>658</v>
      </c>
      <c r="H544" s="47"/>
      <c r="I544">
        <v>2.6393601551139101</v>
      </c>
      <c r="J544" s="84">
        <v>2.8</v>
      </c>
      <c r="K544" s="82">
        <v>42.8</v>
      </c>
      <c r="L544" s="82">
        <v>18.8</v>
      </c>
      <c r="M544" s="82">
        <v>33.1</v>
      </c>
      <c r="N544" s="82">
        <v>41.2</v>
      </c>
      <c r="O544" s="48">
        <f t="shared" ref="O544:O607" si="28">VAR(J544:M544)/AVERAGE(J544:M544)</f>
        <v>12.47408547008547</v>
      </c>
      <c r="P544">
        <f t="shared" si="27"/>
        <v>27.74</v>
      </c>
      <c r="Q544" s="113">
        <v>0.20599999999999999</v>
      </c>
      <c r="R544" s="47">
        <v>0.34200000000000003</v>
      </c>
      <c r="S544" s="67">
        <v>17</v>
      </c>
      <c r="T544" s="47">
        <v>28</v>
      </c>
      <c r="U544" s="47" t="s">
        <v>51</v>
      </c>
      <c r="V544" t="s">
        <v>32</v>
      </c>
      <c r="W544" s="47"/>
    </row>
    <row r="545" spans="1:23" x14ac:dyDescent="0.2">
      <c r="A545" s="1" t="s">
        <v>655</v>
      </c>
      <c r="B545" t="s">
        <v>33</v>
      </c>
      <c r="C545" t="s">
        <v>38</v>
      </c>
      <c r="D545" s="65" t="str">
        <f t="shared" si="26"/>
        <v>049_V_b</v>
      </c>
      <c r="E545">
        <v>37</v>
      </c>
      <c r="F545" t="s">
        <v>68</v>
      </c>
      <c r="G545" t="s">
        <v>659</v>
      </c>
      <c r="I545">
        <v>2.0529049664710799</v>
      </c>
      <c r="K545" s="82">
        <v>27.1</v>
      </c>
      <c r="L545" s="82">
        <v>22.7</v>
      </c>
      <c r="M545" s="82">
        <v>23.9</v>
      </c>
      <c r="N545" s="82">
        <v>27.2</v>
      </c>
      <c r="O545" s="44">
        <f t="shared" si="28"/>
        <v>0.21058344640434221</v>
      </c>
      <c r="P545">
        <f t="shared" si="27"/>
        <v>25.224999999999998</v>
      </c>
      <c r="Q545" s="111">
        <v>0.13900000000000001</v>
      </c>
      <c r="R545">
        <v>0.22600000000000001</v>
      </c>
      <c r="S545" s="65">
        <v>8</v>
      </c>
      <c r="T545">
        <v>15</v>
      </c>
      <c r="U545" t="s">
        <v>31</v>
      </c>
      <c r="V545" t="s">
        <v>32</v>
      </c>
    </row>
    <row r="546" spans="1:23" x14ac:dyDescent="0.2">
      <c r="A546" s="5" t="s">
        <v>655</v>
      </c>
      <c r="B546" s="6" t="s">
        <v>36</v>
      </c>
      <c r="C546" s="6" t="s">
        <v>38</v>
      </c>
      <c r="D546" s="65" t="str">
        <f t="shared" si="26"/>
        <v>049_O_b</v>
      </c>
      <c r="E546">
        <v>46</v>
      </c>
      <c r="F546" t="s">
        <v>39</v>
      </c>
      <c r="G546" t="s">
        <v>660</v>
      </c>
      <c r="I546">
        <v>2.2954665469715398</v>
      </c>
      <c r="J546" s="82">
        <v>8.8000000000000007</v>
      </c>
      <c r="K546" s="82">
        <v>17.5</v>
      </c>
      <c r="L546" s="82">
        <v>19.600000000000001</v>
      </c>
      <c r="M546" s="82">
        <v>22</v>
      </c>
      <c r="N546" s="82">
        <v>34.799999999999997</v>
      </c>
      <c r="O546" s="44">
        <f t="shared" si="28"/>
        <v>1.9488954344624436</v>
      </c>
      <c r="P546">
        <f t="shared" si="27"/>
        <v>20.54</v>
      </c>
      <c r="Q546" s="111">
        <v>0.191</v>
      </c>
      <c r="R546">
        <v>0.34</v>
      </c>
      <c r="S546" s="65">
        <v>14</v>
      </c>
      <c r="T546" s="43">
        <v>11</v>
      </c>
      <c r="U546" t="s">
        <v>31</v>
      </c>
      <c r="V546" t="s">
        <v>32</v>
      </c>
    </row>
    <row r="547" spans="1:23" x14ac:dyDescent="0.2">
      <c r="A547" s="5" t="s">
        <v>655</v>
      </c>
      <c r="B547" s="6" t="s">
        <v>27</v>
      </c>
      <c r="C547" s="6" t="s">
        <v>38</v>
      </c>
      <c r="D547" s="65" t="str">
        <f t="shared" si="26"/>
        <v>049_S_b</v>
      </c>
      <c r="E547">
        <v>52</v>
      </c>
      <c r="F547" t="s">
        <v>63</v>
      </c>
      <c r="G547" t="s">
        <v>661</v>
      </c>
      <c r="I547">
        <v>1.3474528231520799</v>
      </c>
      <c r="J547" s="82">
        <v>9</v>
      </c>
      <c r="K547" s="82">
        <v>33.299999999999997</v>
      </c>
      <c r="L547" s="82">
        <v>10.199999999999999</v>
      </c>
      <c r="M547" s="82">
        <v>3.7</v>
      </c>
      <c r="N547" s="82">
        <v>43.5</v>
      </c>
      <c r="O547" s="44">
        <f t="shared" si="28"/>
        <v>12.289679715302485</v>
      </c>
      <c r="P547">
        <f t="shared" si="27"/>
        <v>19.940000000000001</v>
      </c>
      <c r="Q547" s="111">
        <v>0.17499999999999999</v>
      </c>
      <c r="R547">
        <v>0.36599999999999999</v>
      </c>
      <c r="S547" s="65">
        <v>15</v>
      </c>
      <c r="T547" s="43">
        <v>8</v>
      </c>
      <c r="U547" t="s">
        <v>31</v>
      </c>
      <c r="V547" t="s">
        <v>32</v>
      </c>
    </row>
    <row r="548" spans="1:23" x14ac:dyDescent="0.2">
      <c r="A548" s="5" t="s">
        <v>655</v>
      </c>
      <c r="B548" s="6" t="s">
        <v>36</v>
      </c>
      <c r="C548" s="6" t="s">
        <v>45</v>
      </c>
      <c r="D548" s="65" t="str">
        <f t="shared" si="26"/>
        <v>049_O_c</v>
      </c>
      <c r="E548">
        <v>85</v>
      </c>
      <c r="F548" t="s">
        <v>49</v>
      </c>
      <c r="G548" t="s">
        <v>662</v>
      </c>
      <c r="I548">
        <v>0.390157550402777</v>
      </c>
      <c r="J548" s="82">
        <v>23.8</v>
      </c>
      <c r="K548" s="82">
        <v>25.4</v>
      </c>
      <c r="L548" s="82">
        <v>21</v>
      </c>
      <c r="M548" s="82">
        <v>22.2</v>
      </c>
      <c r="N548" s="82">
        <v>17.8</v>
      </c>
      <c r="O548" s="44">
        <f t="shared" si="28"/>
        <v>0.15873015873015867</v>
      </c>
      <c r="P548">
        <f t="shared" si="27"/>
        <v>22.04</v>
      </c>
      <c r="Q548" s="111">
        <v>7.1999999999999995E-2</v>
      </c>
      <c r="R548">
        <v>0.20300000000000001</v>
      </c>
      <c r="S548" s="65">
        <v>11</v>
      </c>
      <c r="T548">
        <v>29</v>
      </c>
      <c r="U548" t="s">
        <v>72</v>
      </c>
      <c r="V548" t="s">
        <v>32</v>
      </c>
    </row>
    <row r="549" spans="1:23" x14ac:dyDescent="0.2">
      <c r="A549" s="5" t="s">
        <v>655</v>
      </c>
      <c r="B549" s="6" t="s">
        <v>33</v>
      </c>
      <c r="C549" s="6" t="s">
        <v>45</v>
      </c>
      <c r="D549" s="65" t="str">
        <f t="shared" si="26"/>
        <v>049_V_c</v>
      </c>
      <c r="E549">
        <v>88</v>
      </c>
      <c r="F549" t="s">
        <v>41</v>
      </c>
      <c r="G549" t="s">
        <v>663</v>
      </c>
      <c r="I549">
        <v>3.2187279238021</v>
      </c>
      <c r="J549" s="82">
        <v>6.9</v>
      </c>
      <c r="L549" s="82">
        <v>50</v>
      </c>
      <c r="M549" s="82">
        <v>29.9</v>
      </c>
      <c r="N549" s="82">
        <v>33.200000000000003</v>
      </c>
      <c r="O549" s="44">
        <f t="shared" si="28"/>
        <v>16.074999999999996</v>
      </c>
      <c r="P549">
        <f t="shared" si="27"/>
        <v>30</v>
      </c>
      <c r="Q549" s="111">
        <v>0.314</v>
      </c>
      <c r="R549">
        <v>0.47</v>
      </c>
      <c r="S549" s="65">
        <v>9</v>
      </c>
      <c r="T549">
        <v>17</v>
      </c>
      <c r="U549" t="s">
        <v>72</v>
      </c>
      <c r="V549" t="s">
        <v>32</v>
      </c>
    </row>
    <row r="550" spans="1:23" x14ac:dyDescent="0.2">
      <c r="A550" s="5" t="s">
        <v>655</v>
      </c>
      <c r="B550" s="6" t="s">
        <v>27</v>
      </c>
      <c r="C550" s="6" t="s">
        <v>45</v>
      </c>
      <c r="D550" s="65" t="str">
        <f t="shared" si="26"/>
        <v>049_S_c</v>
      </c>
      <c r="E550">
        <v>100</v>
      </c>
      <c r="F550" t="s">
        <v>43</v>
      </c>
      <c r="G550" t="s">
        <v>664</v>
      </c>
      <c r="I550">
        <v>6.6313761754669303</v>
      </c>
      <c r="J550" s="82">
        <v>44.7</v>
      </c>
      <c r="K550" s="82">
        <v>8.6</v>
      </c>
      <c r="L550" s="82">
        <v>24.7</v>
      </c>
      <c r="M550">
        <v>21.3</v>
      </c>
      <c r="N550" s="82">
        <v>35.299999999999997</v>
      </c>
      <c r="O550" s="44">
        <f t="shared" si="28"/>
        <v>9.0058073178919162</v>
      </c>
      <c r="P550">
        <f t="shared" si="27"/>
        <v>26.919999999999998</v>
      </c>
      <c r="Q550" s="111">
        <v>0.56100000000000005</v>
      </c>
      <c r="R550">
        <v>0.57799999999999996</v>
      </c>
      <c r="S550" s="65">
        <v>11</v>
      </c>
      <c r="T550">
        <v>25</v>
      </c>
      <c r="U550" t="s">
        <v>54</v>
      </c>
      <c r="V550" t="s">
        <v>32</v>
      </c>
    </row>
    <row r="551" spans="1:23" x14ac:dyDescent="0.2">
      <c r="A551" s="5" t="s">
        <v>655</v>
      </c>
      <c r="B551" s="6" t="s">
        <v>27</v>
      </c>
      <c r="C551" s="6" t="s">
        <v>52</v>
      </c>
      <c r="D551" s="65" t="str">
        <f t="shared" si="26"/>
        <v>049_S_d</v>
      </c>
      <c r="E551">
        <v>117</v>
      </c>
      <c r="F551" t="s">
        <v>49</v>
      </c>
      <c r="G551" t="s">
        <v>665</v>
      </c>
      <c r="H551" t="s">
        <v>56</v>
      </c>
      <c r="I551">
        <v>0</v>
      </c>
      <c r="J551" s="82">
        <v>1</v>
      </c>
      <c r="K551" s="82">
        <v>1</v>
      </c>
      <c r="L551" s="82">
        <v>1</v>
      </c>
      <c r="M551">
        <v>1</v>
      </c>
      <c r="N551" s="82">
        <v>0.9</v>
      </c>
      <c r="O551" s="44">
        <f t="shared" si="28"/>
        <v>0</v>
      </c>
      <c r="P551">
        <f t="shared" si="27"/>
        <v>0.98000000000000009</v>
      </c>
      <c r="Q551" s="111" t="s">
        <v>57</v>
      </c>
      <c r="R551" t="s">
        <v>57</v>
      </c>
      <c r="S551" s="65" t="s">
        <v>57</v>
      </c>
      <c r="T551" t="s">
        <v>57</v>
      </c>
      <c r="V551" t="s">
        <v>32</v>
      </c>
    </row>
    <row r="552" spans="1:23" ht="16" x14ac:dyDescent="0.2">
      <c r="A552" s="5" t="s">
        <v>655</v>
      </c>
      <c r="B552" s="6" t="s">
        <v>36</v>
      </c>
      <c r="C552" s="6" t="s">
        <v>52</v>
      </c>
      <c r="D552" s="65" t="str">
        <f t="shared" si="26"/>
        <v>049_O_d</v>
      </c>
      <c r="E552">
        <v>137</v>
      </c>
      <c r="F552" t="s">
        <v>82</v>
      </c>
      <c r="G552" t="s">
        <v>666</v>
      </c>
      <c r="I552">
        <v>3.02783850270092</v>
      </c>
      <c r="J552" s="81"/>
      <c r="K552" s="82">
        <v>36.200000000000003</v>
      </c>
      <c r="L552" s="84">
        <v>41</v>
      </c>
      <c r="M552" s="82">
        <v>53.6</v>
      </c>
      <c r="N552" s="82">
        <v>64.3</v>
      </c>
      <c r="O552" s="44">
        <f t="shared" si="28"/>
        <v>1.8522935779816458</v>
      </c>
      <c r="P552">
        <f t="shared" si="27"/>
        <v>48.775000000000006</v>
      </c>
      <c r="Q552" s="111">
        <v>0.25</v>
      </c>
      <c r="R552">
        <v>0.40600000000000003</v>
      </c>
      <c r="S552" s="65">
        <v>4</v>
      </c>
      <c r="T552">
        <v>83</v>
      </c>
      <c r="U552" t="s">
        <v>51</v>
      </c>
      <c r="V552" t="s">
        <v>32</v>
      </c>
    </row>
    <row r="553" spans="1:23" ht="16" x14ac:dyDescent="0.2">
      <c r="A553" s="5" t="s">
        <v>655</v>
      </c>
      <c r="B553" s="6" t="s">
        <v>33</v>
      </c>
      <c r="C553" s="6" t="s">
        <v>52</v>
      </c>
      <c r="D553" s="65" t="str">
        <f t="shared" si="26"/>
        <v>049_V_d</v>
      </c>
      <c r="E553">
        <v>140</v>
      </c>
      <c r="F553" t="s">
        <v>39</v>
      </c>
      <c r="G553" t="s">
        <v>667</v>
      </c>
      <c r="I553">
        <v>6.5223391277828604</v>
      </c>
      <c r="J553" s="82">
        <v>4.2</v>
      </c>
      <c r="K553" s="82">
        <v>2</v>
      </c>
      <c r="L553" s="84">
        <v>28.6</v>
      </c>
      <c r="M553" s="82">
        <v>33</v>
      </c>
      <c r="N553" s="82">
        <v>29.8</v>
      </c>
      <c r="O553" s="44">
        <f t="shared" si="28"/>
        <v>15.327236971484744</v>
      </c>
      <c r="P553">
        <f t="shared" si="27"/>
        <v>19.520000000000003</v>
      </c>
      <c r="Q553" s="111">
        <v>0.56100000000000005</v>
      </c>
      <c r="R553">
        <v>0.63600000000000001</v>
      </c>
      <c r="S553" s="65">
        <v>5</v>
      </c>
      <c r="T553">
        <v>36</v>
      </c>
      <c r="U553" t="s">
        <v>54</v>
      </c>
      <c r="V553" t="s">
        <v>32</v>
      </c>
    </row>
    <row r="554" spans="1:23" ht="16" x14ac:dyDescent="0.2">
      <c r="A554" s="5" t="s">
        <v>668</v>
      </c>
      <c r="B554" s="6" t="s">
        <v>27</v>
      </c>
      <c r="C554" s="6" t="s">
        <v>28</v>
      </c>
      <c r="D554" s="65" t="str">
        <f t="shared" si="26"/>
        <v>050_S_a</v>
      </c>
      <c r="E554">
        <v>14</v>
      </c>
      <c r="F554" t="s">
        <v>63</v>
      </c>
      <c r="G554" t="s">
        <v>669</v>
      </c>
      <c r="I554">
        <v>1.37743656352925</v>
      </c>
      <c r="J554" s="84">
        <v>28.8</v>
      </c>
      <c r="K554" s="82">
        <v>12.8</v>
      </c>
      <c r="L554" s="82">
        <v>13.8</v>
      </c>
      <c r="M554" s="82">
        <v>19.600000000000001</v>
      </c>
      <c r="N554" s="82">
        <v>29.5</v>
      </c>
      <c r="O554" s="44">
        <f t="shared" si="28"/>
        <v>2.8734222222222239</v>
      </c>
      <c r="P554">
        <f t="shared" si="27"/>
        <v>20.9</v>
      </c>
      <c r="Q554" s="111">
        <v>9.8000000000000004E-2</v>
      </c>
      <c r="R554">
        <v>0.19</v>
      </c>
      <c r="S554" s="65">
        <v>31</v>
      </c>
      <c r="T554">
        <v>3</v>
      </c>
      <c r="U554" t="s">
        <v>51</v>
      </c>
      <c r="V554" t="s">
        <v>32</v>
      </c>
    </row>
    <row r="555" spans="1:23" x14ac:dyDescent="0.2">
      <c r="A555" s="1" t="s">
        <v>668</v>
      </c>
      <c r="B555" t="s">
        <v>33</v>
      </c>
      <c r="C555" t="s">
        <v>28</v>
      </c>
      <c r="D555" s="65" t="str">
        <f t="shared" si="26"/>
        <v>050_V_a</v>
      </c>
      <c r="E555">
        <v>33</v>
      </c>
      <c r="F555" t="s">
        <v>29</v>
      </c>
      <c r="G555" t="s">
        <v>670</v>
      </c>
      <c r="I555">
        <v>5.6308461581198896</v>
      </c>
      <c r="J555" s="82">
        <v>17</v>
      </c>
      <c r="K555" s="82">
        <v>2.5</v>
      </c>
      <c r="L555" s="82">
        <v>5.0999999999999996</v>
      </c>
      <c r="M555" s="82">
        <v>40.1</v>
      </c>
      <c r="N555" s="82">
        <v>35.6</v>
      </c>
      <c r="O555" s="44">
        <f t="shared" si="28"/>
        <v>18.191602266872749</v>
      </c>
      <c r="P555">
        <f t="shared" si="27"/>
        <v>20.060000000000002</v>
      </c>
      <c r="Q555" s="111">
        <v>0.33400000000000002</v>
      </c>
      <c r="R555">
        <v>0.499</v>
      </c>
      <c r="S555" s="65">
        <v>11</v>
      </c>
      <c r="T555">
        <v>16</v>
      </c>
      <c r="U555" t="s">
        <v>31</v>
      </c>
      <c r="V555" t="s">
        <v>32</v>
      </c>
    </row>
    <row r="556" spans="1:23" x14ac:dyDescent="0.2">
      <c r="A556" s="5" t="s">
        <v>668</v>
      </c>
      <c r="B556" s="6" t="s">
        <v>36</v>
      </c>
      <c r="C556" s="6" t="s">
        <v>28</v>
      </c>
      <c r="D556" s="65" t="str">
        <f t="shared" si="26"/>
        <v>050_O_a</v>
      </c>
      <c r="E556">
        <v>34</v>
      </c>
      <c r="F556" t="s">
        <v>63</v>
      </c>
      <c r="G556" t="s">
        <v>671</v>
      </c>
      <c r="I556">
        <v>1.5039335867794199</v>
      </c>
      <c r="J556" s="82">
        <v>18.100000000000001</v>
      </c>
      <c r="K556" s="82">
        <v>26.2</v>
      </c>
      <c r="L556" s="82">
        <v>22.5</v>
      </c>
      <c r="M556" s="82">
        <v>25.6</v>
      </c>
      <c r="N556" s="82">
        <v>31</v>
      </c>
      <c r="O556" s="44">
        <f t="shared" si="28"/>
        <v>0.59480519480519189</v>
      </c>
      <c r="P556">
        <f t="shared" si="27"/>
        <v>24.68</v>
      </c>
      <c r="Q556" s="111">
        <v>0.14000000000000001</v>
      </c>
      <c r="R556">
        <v>0.248</v>
      </c>
      <c r="S556" s="65">
        <v>11</v>
      </c>
      <c r="T556">
        <v>6</v>
      </c>
      <c r="U556" t="s">
        <v>31</v>
      </c>
      <c r="V556" t="s">
        <v>32</v>
      </c>
    </row>
    <row r="557" spans="1:23" x14ac:dyDescent="0.2">
      <c r="A557" s="5" t="s">
        <v>668</v>
      </c>
      <c r="B557" s="6" t="s">
        <v>27</v>
      </c>
      <c r="C557" s="6" t="s">
        <v>38</v>
      </c>
      <c r="D557" s="65" t="str">
        <f t="shared" si="26"/>
        <v>050_S_b</v>
      </c>
      <c r="E557">
        <v>42</v>
      </c>
      <c r="F557" t="s">
        <v>41</v>
      </c>
      <c r="G557" t="s">
        <v>672</v>
      </c>
      <c r="I557">
        <v>4.4396211164435497</v>
      </c>
      <c r="J557" s="82">
        <v>49.4</v>
      </c>
      <c r="K557" s="82">
        <v>28.3</v>
      </c>
      <c r="L557" s="82">
        <v>53.8</v>
      </c>
      <c r="M557" s="82">
        <v>43.3</v>
      </c>
      <c r="N557" s="82">
        <v>65.2</v>
      </c>
      <c r="O557" s="44">
        <f t="shared" si="28"/>
        <v>2.8361556064072992</v>
      </c>
      <c r="P557">
        <f t="shared" si="27"/>
        <v>48</v>
      </c>
      <c r="Q557" s="111">
        <v>0.34699999999999998</v>
      </c>
      <c r="R557">
        <v>0.47399999999999998</v>
      </c>
      <c r="S557" s="65">
        <v>13</v>
      </c>
      <c r="T557">
        <v>16</v>
      </c>
      <c r="U557" t="s">
        <v>31</v>
      </c>
      <c r="V557" t="s">
        <v>32</v>
      </c>
    </row>
    <row r="558" spans="1:23" x14ac:dyDescent="0.2">
      <c r="A558" s="1" t="s">
        <v>668</v>
      </c>
      <c r="B558" t="s">
        <v>33</v>
      </c>
      <c r="C558" t="s">
        <v>38</v>
      </c>
      <c r="D558" s="65" t="str">
        <f t="shared" si="26"/>
        <v>050_V_b</v>
      </c>
      <c r="E558">
        <v>55</v>
      </c>
      <c r="F558" t="s">
        <v>34</v>
      </c>
      <c r="G558" t="s">
        <v>673</v>
      </c>
      <c r="I558">
        <v>3.46502124372345</v>
      </c>
      <c r="J558" s="82">
        <v>10.1</v>
      </c>
      <c r="K558" s="82">
        <v>26.3</v>
      </c>
      <c r="L558" s="82">
        <v>32.299999999999997</v>
      </c>
      <c r="M558" s="82">
        <v>27</v>
      </c>
      <c r="N558" s="82">
        <v>41.3</v>
      </c>
      <c r="O558" s="44">
        <f t="shared" si="28"/>
        <v>3.8504702194357412</v>
      </c>
      <c r="P558">
        <f t="shared" si="27"/>
        <v>27.4</v>
      </c>
      <c r="Q558" s="111">
        <v>0.32400000000000001</v>
      </c>
      <c r="R558">
        <v>0.53</v>
      </c>
      <c r="S558" s="65">
        <v>7</v>
      </c>
      <c r="T558">
        <v>39</v>
      </c>
      <c r="U558" t="s">
        <v>31</v>
      </c>
      <c r="V558" t="s">
        <v>32</v>
      </c>
    </row>
    <row r="559" spans="1:23" x14ac:dyDescent="0.2">
      <c r="A559" s="5" t="s">
        <v>668</v>
      </c>
      <c r="B559" s="6" t="s">
        <v>36</v>
      </c>
      <c r="C559" s="6" t="s">
        <v>38</v>
      </c>
      <c r="D559" s="65" t="str">
        <f t="shared" si="26"/>
        <v>050_O_b</v>
      </c>
      <c r="E559">
        <v>60</v>
      </c>
      <c r="F559" t="s">
        <v>82</v>
      </c>
      <c r="G559" t="s">
        <v>674</v>
      </c>
      <c r="I559">
        <v>3.1008813559321999</v>
      </c>
      <c r="J559" s="81">
        <v>1</v>
      </c>
      <c r="K559" s="82">
        <v>26.6</v>
      </c>
      <c r="L559" s="82">
        <v>40.9</v>
      </c>
      <c r="M559" s="82">
        <v>44</v>
      </c>
      <c r="N559" s="82">
        <v>48.4</v>
      </c>
      <c r="O559" s="44">
        <f t="shared" si="28"/>
        <v>13.668829629629627</v>
      </c>
      <c r="P559">
        <f t="shared" si="27"/>
        <v>32.18</v>
      </c>
      <c r="Q559" s="111">
        <v>0.17199999999999999</v>
      </c>
      <c r="R559">
        <v>0.35099999999999998</v>
      </c>
      <c r="S559" s="65">
        <v>11</v>
      </c>
      <c r="T559">
        <v>7</v>
      </c>
      <c r="U559" t="s">
        <v>31</v>
      </c>
      <c r="V559" t="s">
        <v>32</v>
      </c>
    </row>
    <row r="560" spans="1:23" x14ac:dyDescent="0.2">
      <c r="A560" s="5" t="s">
        <v>668</v>
      </c>
      <c r="B560" s="6" t="s">
        <v>27</v>
      </c>
      <c r="C560" s="6" t="s">
        <v>45</v>
      </c>
      <c r="D560" s="65" t="str">
        <f t="shared" si="26"/>
        <v>050_S_c</v>
      </c>
      <c r="E560">
        <v>76</v>
      </c>
      <c r="F560" t="s">
        <v>82</v>
      </c>
      <c r="G560" t="s">
        <v>675</v>
      </c>
      <c r="I560">
        <v>0</v>
      </c>
      <c r="J560" s="82">
        <v>1</v>
      </c>
      <c r="K560" s="82">
        <v>1</v>
      </c>
      <c r="L560" s="82">
        <v>1</v>
      </c>
      <c r="M560" s="82">
        <v>1</v>
      </c>
      <c r="N560" s="82">
        <v>0.9</v>
      </c>
      <c r="O560" s="44">
        <f t="shared" si="28"/>
        <v>0</v>
      </c>
      <c r="P560">
        <f t="shared" si="27"/>
        <v>0.98000000000000009</v>
      </c>
      <c r="Q560" s="111" t="s">
        <v>57</v>
      </c>
      <c r="R560" t="s">
        <v>57</v>
      </c>
      <c r="S560" s="65" t="s">
        <v>57</v>
      </c>
      <c r="T560" t="s">
        <v>57</v>
      </c>
      <c r="U560" t="s">
        <v>57</v>
      </c>
      <c r="V560" t="s">
        <v>32</v>
      </c>
      <c r="W560" t="s">
        <v>517</v>
      </c>
    </row>
    <row r="561" spans="1:22" x14ac:dyDescent="0.2">
      <c r="A561" s="5" t="s">
        <v>668</v>
      </c>
      <c r="B561" s="6" t="s">
        <v>33</v>
      </c>
      <c r="C561" s="6" t="s">
        <v>45</v>
      </c>
      <c r="D561" s="65" t="str">
        <f t="shared" si="26"/>
        <v>050_V_c</v>
      </c>
      <c r="E561">
        <v>78</v>
      </c>
      <c r="F561" t="s">
        <v>39</v>
      </c>
      <c r="G561" t="s">
        <v>676</v>
      </c>
      <c r="I561">
        <v>1.8708408508213801</v>
      </c>
      <c r="J561" s="82">
        <v>37</v>
      </c>
      <c r="K561" s="82">
        <v>14.5</v>
      </c>
      <c r="L561" s="82">
        <v>35.5</v>
      </c>
      <c r="M561" s="82">
        <v>23.6</v>
      </c>
      <c r="N561" s="82">
        <v>36.799999999999997</v>
      </c>
      <c r="O561" s="44">
        <f t="shared" si="28"/>
        <v>4.0792043399638382</v>
      </c>
      <c r="P561">
        <f t="shared" si="27"/>
        <v>29.479999999999997</v>
      </c>
      <c r="Q561" s="111">
        <v>0.16300000000000001</v>
      </c>
      <c r="R561">
        <v>0.35</v>
      </c>
      <c r="S561" s="65">
        <v>8</v>
      </c>
      <c r="T561">
        <v>9</v>
      </c>
      <c r="U561" t="s">
        <v>31</v>
      </c>
      <c r="V561" t="s">
        <v>32</v>
      </c>
    </row>
    <row r="562" spans="1:22" x14ac:dyDescent="0.2">
      <c r="A562" s="5" t="s">
        <v>668</v>
      </c>
      <c r="B562" s="6" t="s">
        <v>36</v>
      </c>
      <c r="C562" s="6" t="s">
        <v>45</v>
      </c>
      <c r="D562" s="65" t="str">
        <f t="shared" si="26"/>
        <v>050_O_c</v>
      </c>
      <c r="E562">
        <v>79</v>
      </c>
      <c r="F562" t="s">
        <v>29</v>
      </c>
      <c r="G562" t="s">
        <v>677</v>
      </c>
      <c r="I562">
        <v>4.6425956033081199</v>
      </c>
      <c r="J562" s="82">
        <v>35.799999999999997</v>
      </c>
      <c r="K562" s="82">
        <v>39.299999999999997</v>
      </c>
      <c r="L562" s="82">
        <v>39.799999999999997</v>
      </c>
      <c r="M562" s="70" t="s">
        <v>57</v>
      </c>
      <c r="N562" s="82">
        <v>39.9</v>
      </c>
      <c r="O562" s="44">
        <f t="shared" si="28"/>
        <v>0.12402088772845954</v>
      </c>
      <c r="P562">
        <f t="shared" si="27"/>
        <v>38.699999999999996</v>
      </c>
      <c r="Q562" s="111">
        <v>0.247</v>
      </c>
      <c r="R562">
        <v>0.46200000000000002</v>
      </c>
      <c r="S562" s="65">
        <v>20</v>
      </c>
      <c r="T562">
        <v>29</v>
      </c>
      <c r="U562" t="s">
        <v>51</v>
      </c>
      <c r="V562" t="s">
        <v>32</v>
      </c>
    </row>
    <row r="563" spans="1:22" x14ac:dyDescent="0.2">
      <c r="A563" s="5" t="s">
        <v>668</v>
      </c>
      <c r="B563" s="6" t="s">
        <v>27</v>
      </c>
      <c r="C563" s="6" t="s">
        <v>52</v>
      </c>
      <c r="D563" s="65" t="str">
        <f t="shared" si="26"/>
        <v>050_S_d</v>
      </c>
      <c r="E563">
        <v>119</v>
      </c>
      <c r="F563" t="s">
        <v>70</v>
      </c>
      <c r="G563" t="s">
        <v>678</v>
      </c>
      <c r="H563" t="s">
        <v>56</v>
      </c>
      <c r="I563">
        <v>0</v>
      </c>
      <c r="J563" s="82">
        <v>1.1000000000000001</v>
      </c>
      <c r="K563" s="82">
        <v>1</v>
      </c>
      <c r="L563" s="82">
        <v>0.9</v>
      </c>
      <c r="M563">
        <v>1</v>
      </c>
      <c r="N563" s="82">
        <v>0.9</v>
      </c>
      <c r="O563" s="44">
        <f t="shared" si="28"/>
        <v>6.6666666666666706E-3</v>
      </c>
      <c r="P563">
        <f t="shared" si="27"/>
        <v>0.98000000000000009</v>
      </c>
      <c r="Q563" s="111" t="s">
        <v>57</v>
      </c>
      <c r="R563" t="s">
        <v>57</v>
      </c>
      <c r="S563" s="65" t="s">
        <v>57</v>
      </c>
      <c r="T563" t="s">
        <v>57</v>
      </c>
      <c r="V563" t="s">
        <v>32</v>
      </c>
    </row>
    <row r="564" spans="1:22" ht="16" x14ac:dyDescent="0.2">
      <c r="A564" s="5" t="s">
        <v>668</v>
      </c>
      <c r="B564" s="6" t="s">
        <v>33</v>
      </c>
      <c r="C564" s="6" t="s">
        <v>52</v>
      </c>
      <c r="D564" s="65" t="str">
        <f t="shared" si="26"/>
        <v>050_V_d</v>
      </c>
      <c r="E564">
        <v>128</v>
      </c>
      <c r="F564" t="s">
        <v>34</v>
      </c>
      <c r="G564" t="s">
        <v>679</v>
      </c>
      <c r="I564">
        <v>5.7447639462539897</v>
      </c>
      <c r="J564" s="82">
        <v>55.5</v>
      </c>
      <c r="K564" s="82">
        <v>56</v>
      </c>
      <c r="L564" s="84">
        <v>2.9</v>
      </c>
      <c r="M564">
        <v>57.2</v>
      </c>
      <c r="N564" s="82">
        <v>12.8</v>
      </c>
      <c r="O564" s="44">
        <f t="shared" si="28"/>
        <v>16.587878787878768</v>
      </c>
      <c r="P564">
        <f t="shared" si="27"/>
        <v>36.88000000000001</v>
      </c>
      <c r="Q564" s="111">
        <v>0.52900000000000003</v>
      </c>
      <c r="R564">
        <v>0.44500000000000001</v>
      </c>
      <c r="S564" s="65">
        <v>25</v>
      </c>
      <c r="T564">
        <v>19</v>
      </c>
      <c r="U564" t="s">
        <v>54</v>
      </c>
      <c r="V564" t="s">
        <v>32</v>
      </c>
    </row>
    <row r="565" spans="1:22" ht="16" x14ac:dyDescent="0.2">
      <c r="A565" s="5" t="s">
        <v>668</v>
      </c>
      <c r="B565" s="6" t="s">
        <v>36</v>
      </c>
      <c r="C565" s="6" t="s">
        <v>52</v>
      </c>
      <c r="D565" s="65" t="str">
        <f t="shared" si="26"/>
        <v>050_O_d</v>
      </c>
      <c r="E565">
        <v>130</v>
      </c>
      <c r="F565" t="s">
        <v>43</v>
      </c>
      <c r="G565" t="s">
        <v>680</v>
      </c>
      <c r="I565">
        <v>3.0212389380531</v>
      </c>
      <c r="J565" s="82">
        <v>18.2</v>
      </c>
      <c r="K565" s="82">
        <v>52.5</v>
      </c>
      <c r="L565" s="84">
        <v>39.9</v>
      </c>
      <c r="M565">
        <v>40.9</v>
      </c>
      <c r="N565" s="82">
        <v>48.8</v>
      </c>
      <c r="O565" s="44">
        <f t="shared" si="28"/>
        <v>5.405918591859181</v>
      </c>
      <c r="P565">
        <f t="shared" si="27"/>
        <v>40.06</v>
      </c>
      <c r="Q565" s="111">
        <v>0.47899999999999998</v>
      </c>
      <c r="R565">
        <v>0.60499999999999998</v>
      </c>
      <c r="S565" s="65">
        <v>18</v>
      </c>
      <c r="T565">
        <v>8</v>
      </c>
      <c r="U565" t="s">
        <v>47</v>
      </c>
      <c r="V565" t="s">
        <v>32</v>
      </c>
    </row>
    <row r="566" spans="1:22" ht="16" x14ac:dyDescent="0.2">
      <c r="A566" s="5" t="s">
        <v>681</v>
      </c>
      <c r="B566" s="6" t="s">
        <v>27</v>
      </c>
      <c r="C566" s="6" t="s">
        <v>28</v>
      </c>
      <c r="D566" s="65" t="str">
        <f t="shared" si="26"/>
        <v>052_S_a</v>
      </c>
      <c r="E566">
        <v>1</v>
      </c>
      <c r="F566" t="s">
        <v>68</v>
      </c>
      <c r="G566" t="s">
        <v>682</v>
      </c>
      <c r="I566">
        <v>4.5887553912507704</v>
      </c>
      <c r="J566" s="84">
        <v>2.4</v>
      </c>
      <c r="K566" s="82">
        <v>23.8</v>
      </c>
      <c r="L566" s="82">
        <v>21.9</v>
      </c>
      <c r="M566" s="82">
        <v>25.7</v>
      </c>
      <c r="N566" s="82">
        <v>31.1</v>
      </c>
      <c r="O566" s="44">
        <f t="shared" si="28"/>
        <v>6.3358626919602541</v>
      </c>
      <c r="P566">
        <f t="shared" si="27"/>
        <v>20.98</v>
      </c>
      <c r="Q566" s="111">
        <v>0.40500000000000003</v>
      </c>
      <c r="R566">
        <v>0.64900000000000002</v>
      </c>
      <c r="S566" s="65">
        <v>9</v>
      </c>
      <c r="T566">
        <v>34</v>
      </c>
      <c r="U566" t="s">
        <v>31</v>
      </c>
      <c r="V566" t="s">
        <v>32</v>
      </c>
    </row>
    <row r="567" spans="1:22" ht="16" x14ac:dyDescent="0.2">
      <c r="A567" s="5" t="s">
        <v>681</v>
      </c>
      <c r="B567" s="6" t="s">
        <v>33</v>
      </c>
      <c r="C567" s="6" t="s">
        <v>28</v>
      </c>
      <c r="D567" s="65" t="str">
        <f t="shared" si="26"/>
        <v>052_V_a</v>
      </c>
      <c r="E567">
        <v>11</v>
      </c>
      <c r="F567" t="s">
        <v>70</v>
      </c>
      <c r="G567" t="s">
        <v>683</v>
      </c>
      <c r="I567">
        <v>5.1092946058091302</v>
      </c>
      <c r="J567" s="84">
        <v>1</v>
      </c>
      <c r="K567" s="82">
        <v>26.2</v>
      </c>
      <c r="L567" s="82">
        <v>21.3</v>
      </c>
      <c r="M567" s="82">
        <v>25.5</v>
      </c>
      <c r="N567" s="82">
        <v>32.299999999999997</v>
      </c>
      <c r="O567" s="44">
        <f t="shared" si="28"/>
        <v>7.6104504504504531</v>
      </c>
      <c r="P567">
        <f t="shared" si="27"/>
        <v>21.259999999999998</v>
      </c>
      <c r="Q567" s="111">
        <v>0.435</v>
      </c>
      <c r="R567">
        <v>0.76800000000000002</v>
      </c>
      <c r="S567" s="65">
        <v>28</v>
      </c>
      <c r="T567" s="47">
        <v>86</v>
      </c>
      <c r="U567" s="47" t="s">
        <v>54</v>
      </c>
      <c r="V567" t="s">
        <v>32</v>
      </c>
    </row>
    <row r="568" spans="1:22" x14ac:dyDescent="0.2">
      <c r="A568" s="5" t="s">
        <v>681</v>
      </c>
      <c r="B568" s="6" t="s">
        <v>36</v>
      </c>
      <c r="C568" s="6" t="s">
        <v>28</v>
      </c>
      <c r="D568" s="65" t="str">
        <f t="shared" si="26"/>
        <v>052_O_a</v>
      </c>
      <c r="E568">
        <v>34</v>
      </c>
      <c r="F568" t="s">
        <v>70</v>
      </c>
      <c r="G568" t="s">
        <v>684</v>
      </c>
      <c r="I568">
        <v>2.1235316936922999</v>
      </c>
      <c r="J568" s="43">
        <v>1.1000000000000001</v>
      </c>
      <c r="K568" s="82">
        <v>45.4</v>
      </c>
      <c r="L568" s="82">
        <v>4.4000000000000004</v>
      </c>
      <c r="M568" s="82">
        <v>17.3</v>
      </c>
      <c r="N568" s="82">
        <v>32</v>
      </c>
      <c r="O568" s="44">
        <f t="shared" si="28"/>
        <v>23.816422287390026</v>
      </c>
      <c r="P568">
        <f t="shared" si="27"/>
        <v>20.04</v>
      </c>
      <c r="Q568" s="111">
        <v>5.3999999999999999E-2</v>
      </c>
      <c r="R568">
        <v>0.13100000000000001</v>
      </c>
      <c r="S568" s="65">
        <v>9</v>
      </c>
      <c r="T568">
        <v>24</v>
      </c>
      <c r="U568" t="s">
        <v>31</v>
      </c>
      <c r="V568" t="s">
        <v>32</v>
      </c>
    </row>
    <row r="569" spans="1:22" x14ac:dyDescent="0.2">
      <c r="A569" s="5" t="s">
        <v>681</v>
      </c>
      <c r="B569" s="6" t="s">
        <v>36</v>
      </c>
      <c r="C569" s="6" t="s">
        <v>38</v>
      </c>
      <c r="D569" s="65" t="str">
        <f t="shared" si="26"/>
        <v>052_O_b</v>
      </c>
      <c r="E569">
        <v>47</v>
      </c>
      <c r="F569" t="s">
        <v>39</v>
      </c>
      <c r="G569" t="s">
        <v>685</v>
      </c>
      <c r="I569">
        <v>4.1258686124237904</v>
      </c>
      <c r="J569" s="82">
        <v>40.9</v>
      </c>
      <c r="K569" s="82">
        <v>37.799999999999997</v>
      </c>
      <c r="L569" s="82">
        <v>52.3</v>
      </c>
      <c r="M569" s="82">
        <v>41.9</v>
      </c>
      <c r="N569" s="82">
        <v>56.2</v>
      </c>
      <c r="O569" s="44">
        <f t="shared" si="28"/>
        <v>0.91727395411603996</v>
      </c>
      <c r="P569">
        <f t="shared" si="27"/>
        <v>45.820000000000007</v>
      </c>
      <c r="Q569" s="111">
        <v>0.39300000000000002</v>
      </c>
      <c r="R569">
        <v>0.55200000000000005</v>
      </c>
      <c r="S569" s="65">
        <v>11</v>
      </c>
      <c r="T569" s="43">
        <v>14</v>
      </c>
      <c r="U569" t="s">
        <v>54</v>
      </c>
      <c r="V569" t="s">
        <v>32</v>
      </c>
    </row>
    <row r="570" spans="1:22" x14ac:dyDescent="0.2">
      <c r="A570" s="5" t="s">
        <v>681</v>
      </c>
      <c r="B570" s="6" t="s">
        <v>27</v>
      </c>
      <c r="C570" s="6" t="s">
        <v>38</v>
      </c>
      <c r="D570" s="65" t="str">
        <f t="shared" si="26"/>
        <v>052_S_b</v>
      </c>
      <c r="E570">
        <v>49</v>
      </c>
      <c r="F570" t="s">
        <v>39</v>
      </c>
      <c r="G570" t="s">
        <v>686</v>
      </c>
      <c r="I570">
        <v>4.9635154985684098</v>
      </c>
      <c r="J570" s="82">
        <v>41.4</v>
      </c>
      <c r="K570" s="82">
        <v>40.9</v>
      </c>
      <c r="L570" s="82">
        <v>52.6</v>
      </c>
      <c r="M570" s="82">
        <v>54.5</v>
      </c>
      <c r="N570" s="82">
        <v>63.3</v>
      </c>
      <c r="O570" s="44">
        <f t="shared" si="28"/>
        <v>1.0960225272791178</v>
      </c>
      <c r="P570">
        <f t="shared" si="27"/>
        <v>50.54</v>
      </c>
      <c r="Q570" s="111">
        <v>0.30499999999999999</v>
      </c>
      <c r="R570">
        <v>0.747</v>
      </c>
      <c r="S570" s="65">
        <v>17</v>
      </c>
      <c r="T570" s="43">
        <v>9</v>
      </c>
      <c r="U570" t="s">
        <v>54</v>
      </c>
      <c r="V570" t="s">
        <v>32</v>
      </c>
    </row>
    <row r="571" spans="1:22" x14ac:dyDescent="0.2">
      <c r="A571" s="1" t="s">
        <v>681</v>
      </c>
      <c r="B571" t="s">
        <v>33</v>
      </c>
      <c r="C571" t="s">
        <v>38</v>
      </c>
      <c r="D571" s="65" t="str">
        <f t="shared" si="26"/>
        <v>052_V_b</v>
      </c>
      <c r="E571">
        <v>67</v>
      </c>
      <c r="F571" t="s">
        <v>41</v>
      </c>
      <c r="G571" t="s">
        <v>687</v>
      </c>
      <c r="I571">
        <v>2.5969568936468002</v>
      </c>
      <c r="J571" s="82">
        <v>38.200000000000003</v>
      </c>
      <c r="K571" s="82">
        <v>25</v>
      </c>
      <c r="L571" t="s">
        <v>57</v>
      </c>
      <c r="M571" s="82">
        <v>11</v>
      </c>
      <c r="N571" s="82">
        <v>7.1</v>
      </c>
      <c r="O571" s="44">
        <f t="shared" si="28"/>
        <v>7.4803234501347751</v>
      </c>
      <c r="P571">
        <f t="shared" si="27"/>
        <v>20.324999999999999</v>
      </c>
      <c r="Q571" s="111">
        <v>0.27500000000000002</v>
      </c>
      <c r="R571">
        <v>0.48899999999999999</v>
      </c>
      <c r="S571" s="65">
        <v>17</v>
      </c>
      <c r="T571">
        <v>25</v>
      </c>
      <c r="U571" t="s">
        <v>31</v>
      </c>
      <c r="V571" t="s">
        <v>32</v>
      </c>
    </row>
    <row r="572" spans="1:22" x14ac:dyDescent="0.2">
      <c r="A572" s="5" t="s">
        <v>681</v>
      </c>
      <c r="B572" s="6" t="s">
        <v>27</v>
      </c>
      <c r="C572" s="6" t="s">
        <v>45</v>
      </c>
      <c r="D572" s="65" t="str">
        <f t="shared" si="26"/>
        <v>052_S_c</v>
      </c>
      <c r="E572">
        <v>78</v>
      </c>
      <c r="F572" t="s">
        <v>41</v>
      </c>
      <c r="G572" t="s">
        <v>688</v>
      </c>
      <c r="I572">
        <v>6.3484498148324002</v>
      </c>
      <c r="J572" s="82">
        <v>29.3</v>
      </c>
      <c r="K572" s="82">
        <v>26.9</v>
      </c>
      <c r="L572" s="82">
        <v>32.9</v>
      </c>
      <c r="M572" s="82">
        <v>30.4</v>
      </c>
      <c r="N572" s="82">
        <v>32.5</v>
      </c>
      <c r="O572" s="44">
        <f t="shared" si="28"/>
        <v>0.20761506276150621</v>
      </c>
      <c r="P572">
        <f t="shared" si="27"/>
        <v>30.4</v>
      </c>
      <c r="Q572" s="111">
        <v>0.30499999999999999</v>
      </c>
      <c r="R572">
        <v>0.68899999999999995</v>
      </c>
      <c r="S572" s="65">
        <v>12</v>
      </c>
      <c r="T572">
        <v>44</v>
      </c>
      <c r="U572" t="s">
        <v>31</v>
      </c>
      <c r="V572" t="s">
        <v>32</v>
      </c>
    </row>
    <row r="573" spans="1:22" x14ac:dyDescent="0.2">
      <c r="A573" s="5" t="s">
        <v>681</v>
      </c>
      <c r="B573" s="6" t="s">
        <v>33</v>
      </c>
      <c r="C573" s="6" t="s">
        <v>45</v>
      </c>
      <c r="D573" s="65" t="str">
        <f t="shared" si="26"/>
        <v>052_V_c</v>
      </c>
      <c r="E573">
        <v>82</v>
      </c>
      <c r="F573" t="s">
        <v>43</v>
      </c>
      <c r="G573" t="s">
        <v>689</v>
      </c>
      <c r="I573">
        <v>3.5638463824097499</v>
      </c>
      <c r="J573" s="82">
        <v>32.700000000000003</v>
      </c>
      <c r="K573" s="82">
        <v>22.4</v>
      </c>
      <c r="L573" s="82">
        <v>19.8</v>
      </c>
      <c r="M573" s="82">
        <v>33.799999999999997</v>
      </c>
      <c r="N573" s="82">
        <v>39.4</v>
      </c>
      <c r="O573" s="44">
        <f t="shared" si="28"/>
        <v>1.8596442808954261</v>
      </c>
      <c r="P573">
        <f t="shared" si="27"/>
        <v>29.619999999999997</v>
      </c>
      <c r="Q573" s="111">
        <v>0.222</v>
      </c>
      <c r="R573">
        <v>0.40300000000000002</v>
      </c>
      <c r="S573" s="65">
        <v>29</v>
      </c>
      <c r="T573">
        <v>38</v>
      </c>
      <c r="U573" t="s">
        <v>72</v>
      </c>
      <c r="V573" t="s">
        <v>32</v>
      </c>
    </row>
    <row r="574" spans="1:22" x14ac:dyDescent="0.2">
      <c r="A574" s="5" t="s">
        <v>681</v>
      </c>
      <c r="B574" s="6" t="s">
        <v>36</v>
      </c>
      <c r="C574" s="6" t="s">
        <v>45</v>
      </c>
      <c r="D574" s="65" t="str">
        <f t="shared" si="26"/>
        <v>052_O_c</v>
      </c>
      <c r="E574">
        <v>105</v>
      </c>
      <c r="F574" t="s">
        <v>82</v>
      </c>
      <c r="G574" t="s">
        <v>690</v>
      </c>
      <c r="I574">
        <v>5.2263771160563799</v>
      </c>
      <c r="J574" s="82">
        <v>44.8</v>
      </c>
      <c r="K574" s="82">
        <v>43.8</v>
      </c>
      <c r="L574" s="82">
        <v>44.4</v>
      </c>
      <c r="M574">
        <v>37.4</v>
      </c>
      <c r="N574" s="82">
        <v>45</v>
      </c>
      <c r="O574" s="44">
        <f t="shared" si="28"/>
        <v>0.28607198748043805</v>
      </c>
      <c r="P574">
        <f t="shared" si="27"/>
        <v>43.08</v>
      </c>
      <c r="Q574" s="111">
        <v>0.74</v>
      </c>
      <c r="R574">
        <v>0.64400000000000002</v>
      </c>
      <c r="S574" s="65">
        <v>28</v>
      </c>
      <c r="T574">
        <v>47</v>
      </c>
      <c r="U574" t="s">
        <v>72</v>
      </c>
      <c r="V574" t="s">
        <v>32</v>
      </c>
    </row>
    <row r="575" spans="1:22" ht="16" x14ac:dyDescent="0.2">
      <c r="A575" s="5" t="s">
        <v>681</v>
      </c>
      <c r="B575" s="6" t="s">
        <v>33</v>
      </c>
      <c r="C575" s="6" t="s">
        <v>52</v>
      </c>
      <c r="D575" s="65" t="str">
        <f t="shared" si="26"/>
        <v>052_V_d</v>
      </c>
      <c r="E575">
        <v>123</v>
      </c>
      <c r="F575" t="s">
        <v>68</v>
      </c>
      <c r="G575" t="s">
        <v>691</v>
      </c>
      <c r="I575">
        <v>1.8638440633943401</v>
      </c>
      <c r="J575" s="82">
        <v>4.3</v>
      </c>
      <c r="K575" s="82">
        <v>10.7</v>
      </c>
      <c r="L575" s="84">
        <v>30</v>
      </c>
      <c r="M575">
        <v>24.5</v>
      </c>
      <c r="N575" s="82">
        <v>42.8</v>
      </c>
      <c r="O575" s="44">
        <f t="shared" si="28"/>
        <v>8.1662829736211044</v>
      </c>
      <c r="P575">
        <f t="shared" si="27"/>
        <v>22.46</v>
      </c>
      <c r="Q575" s="111">
        <v>0.159</v>
      </c>
      <c r="R575">
        <v>0.27500000000000002</v>
      </c>
      <c r="S575" s="65">
        <v>14</v>
      </c>
      <c r="T575">
        <v>27</v>
      </c>
      <c r="U575" t="s">
        <v>31</v>
      </c>
      <c r="V575" t="s">
        <v>32</v>
      </c>
    </row>
    <row r="576" spans="1:22" ht="16" x14ac:dyDescent="0.2">
      <c r="A576" s="5" t="s">
        <v>681</v>
      </c>
      <c r="B576" s="6" t="s">
        <v>36</v>
      </c>
      <c r="C576" s="6" t="s">
        <v>52</v>
      </c>
      <c r="D576" s="65" t="str">
        <f t="shared" si="26"/>
        <v>052_O_d</v>
      </c>
      <c r="E576">
        <v>142</v>
      </c>
      <c r="F576" t="s">
        <v>49</v>
      </c>
      <c r="G576" t="s">
        <v>692</v>
      </c>
      <c r="I576">
        <v>4.1908225851232999</v>
      </c>
      <c r="J576" s="82">
        <v>37.299999999999997</v>
      </c>
      <c r="K576" s="82">
        <v>39</v>
      </c>
      <c r="L576" s="84">
        <v>41.9</v>
      </c>
      <c r="M576" s="82">
        <v>9</v>
      </c>
      <c r="N576" s="82">
        <v>52.3</v>
      </c>
      <c r="O576" s="44">
        <f t="shared" si="28"/>
        <v>7.3788259958071345</v>
      </c>
      <c r="P576">
        <f t="shared" si="27"/>
        <v>35.9</v>
      </c>
      <c r="Q576" s="111">
        <v>0.28999999999999998</v>
      </c>
      <c r="R576">
        <v>0.60899999999999999</v>
      </c>
      <c r="S576" s="65">
        <v>33</v>
      </c>
      <c r="T576">
        <v>33</v>
      </c>
      <c r="U576" t="s">
        <v>51</v>
      </c>
      <c r="V576" t="s">
        <v>32</v>
      </c>
    </row>
    <row r="577" spans="1:23" ht="16" x14ac:dyDescent="0.2">
      <c r="A577" s="5" t="s">
        <v>681</v>
      </c>
      <c r="B577" s="6" t="s">
        <v>27</v>
      </c>
      <c r="C577" s="6" t="s">
        <v>52</v>
      </c>
      <c r="D577" s="65" t="str">
        <f t="shared" si="26"/>
        <v>052_S_d</v>
      </c>
      <c r="E577">
        <v>143</v>
      </c>
      <c r="F577" t="s">
        <v>29</v>
      </c>
      <c r="G577" t="s">
        <v>693</v>
      </c>
      <c r="H577" t="s">
        <v>56</v>
      </c>
      <c r="I577">
        <v>0</v>
      </c>
      <c r="J577" s="82">
        <v>1</v>
      </c>
      <c r="K577" s="82">
        <v>1</v>
      </c>
      <c r="L577" s="84">
        <v>1</v>
      </c>
      <c r="M577" s="82">
        <v>1</v>
      </c>
      <c r="N577" s="82">
        <v>1</v>
      </c>
      <c r="O577" s="44">
        <f t="shared" si="28"/>
        <v>0</v>
      </c>
      <c r="P577">
        <f t="shared" si="27"/>
        <v>1</v>
      </c>
      <c r="Q577" s="111" t="s">
        <v>57</v>
      </c>
      <c r="R577" t="s">
        <v>57</v>
      </c>
      <c r="S577" s="65" t="s">
        <v>57</v>
      </c>
      <c r="T577" t="s">
        <v>57</v>
      </c>
      <c r="V577" t="s">
        <v>32</v>
      </c>
      <c r="W577" t="s">
        <v>67</v>
      </c>
    </row>
    <row r="578" spans="1:23" ht="16" x14ac:dyDescent="0.2">
      <c r="A578" s="45" t="s">
        <v>694</v>
      </c>
      <c r="B578" s="46" t="s">
        <v>33</v>
      </c>
      <c r="C578" s="46" t="s">
        <v>28</v>
      </c>
      <c r="D578" s="67" t="str">
        <f t="shared" ref="D578:D641" si="29">A578&amp;"_"&amp;B578&amp;"_"&amp;C578</f>
        <v>053_V_a</v>
      </c>
      <c r="E578" s="47">
        <v>10</v>
      </c>
      <c r="F578" s="47" t="s">
        <v>70</v>
      </c>
      <c r="G578" s="47" t="s">
        <v>695</v>
      </c>
      <c r="H578" s="47"/>
      <c r="I578">
        <v>3.0356389214536899</v>
      </c>
      <c r="J578" s="84">
        <v>6.2</v>
      </c>
      <c r="K578" s="82">
        <v>6.9</v>
      </c>
      <c r="L578" s="82">
        <v>7.5</v>
      </c>
      <c r="M578" s="82">
        <v>33.1</v>
      </c>
      <c r="N578" s="82">
        <v>15.9</v>
      </c>
      <c r="O578" s="48">
        <f t="shared" si="28"/>
        <v>12.836436995654871</v>
      </c>
      <c r="P578">
        <f t="shared" ref="P578:P641" si="30">AVERAGE(J578:N578)</f>
        <v>13.920000000000002</v>
      </c>
      <c r="Q578" s="113">
        <v>0.26200000000000001</v>
      </c>
      <c r="R578" s="47">
        <v>0.375</v>
      </c>
      <c r="S578" s="67">
        <v>15</v>
      </c>
      <c r="T578" s="47">
        <v>17</v>
      </c>
      <c r="U578" s="47" t="s">
        <v>31</v>
      </c>
      <c r="V578" t="s">
        <v>32</v>
      </c>
      <c r="W578" s="47"/>
    </row>
    <row r="579" spans="1:23" ht="16" x14ac:dyDescent="0.2">
      <c r="A579" s="5" t="s">
        <v>694</v>
      </c>
      <c r="B579" s="6" t="s">
        <v>27</v>
      </c>
      <c r="C579" s="6" t="s">
        <v>28</v>
      </c>
      <c r="D579" s="65" t="str">
        <f t="shared" si="29"/>
        <v>053_S_a</v>
      </c>
      <c r="E579">
        <v>11</v>
      </c>
      <c r="F579" t="s">
        <v>63</v>
      </c>
      <c r="G579" t="s">
        <v>696</v>
      </c>
      <c r="I579">
        <v>3.6304564315352699</v>
      </c>
      <c r="J579" s="84">
        <v>47.8</v>
      </c>
      <c r="K579" s="82">
        <v>24.6</v>
      </c>
      <c r="L579" s="82">
        <v>36.299999999999997</v>
      </c>
      <c r="M579" s="82">
        <v>31.7</v>
      </c>
      <c r="N579" s="82">
        <v>37.1</v>
      </c>
      <c r="O579" s="44">
        <f t="shared" si="28"/>
        <v>2.7021842355175685</v>
      </c>
      <c r="P579">
        <f t="shared" si="30"/>
        <v>35.5</v>
      </c>
      <c r="Q579" s="111">
        <v>0.316</v>
      </c>
      <c r="R579">
        <v>0.503</v>
      </c>
      <c r="S579" s="65">
        <v>35</v>
      </c>
      <c r="T579" s="47">
        <v>7</v>
      </c>
      <c r="U579" s="47" t="s">
        <v>54</v>
      </c>
      <c r="V579" t="s">
        <v>32</v>
      </c>
    </row>
    <row r="580" spans="1:23" x14ac:dyDescent="0.2">
      <c r="A580" s="5" t="s">
        <v>694</v>
      </c>
      <c r="B580" s="6" t="s">
        <v>36</v>
      </c>
      <c r="C580" s="6" t="s">
        <v>28</v>
      </c>
      <c r="D580" s="65" t="str">
        <f t="shared" si="29"/>
        <v>053_O_a</v>
      </c>
      <c r="E580">
        <v>27</v>
      </c>
      <c r="F580" t="s">
        <v>43</v>
      </c>
      <c r="G580" t="s">
        <v>697</v>
      </c>
      <c r="I580">
        <v>2.7016343098245499</v>
      </c>
      <c r="J580" s="82">
        <v>3.9</v>
      </c>
      <c r="K580" t="s">
        <v>57</v>
      </c>
      <c r="L580" s="82">
        <v>24</v>
      </c>
      <c r="M580" s="82">
        <v>27.6</v>
      </c>
      <c r="N580" s="82">
        <v>10.199999999999999</v>
      </c>
      <c r="O580" s="44">
        <f t="shared" si="28"/>
        <v>8.8167567567567637</v>
      </c>
      <c r="P580">
        <f t="shared" si="30"/>
        <v>16.425000000000001</v>
      </c>
      <c r="Q580" s="111">
        <v>0.108</v>
      </c>
      <c r="R580">
        <v>0.19500000000000001</v>
      </c>
      <c r="S580" s="65">
        <v>11</v>
      </c>
      <c r="T580">
        <v>85</v>
      </c>
      <c r="U580" t="s">
        <v>31</v>
      </c>
      <c r="V580" t="s">
        <v>32</v>
      </c>
    </row>
    <row r="581" spans="1:23" x14ac:dyDescent="0.2">
      <c r="A581" s="1" t="s">
        <v>694</v>
      </c>
      <c r="B581" t="s">
        <v>33</v>
      </c>
      <c r="C581" t="s">
        <v>38</v>
      </c>
      <c r="D581" s="65" t="str">
        <f t="shared" si="29"/>
        <v>053_V_b</v>
      </c>
      <c r="E581">
        <v>44</v>
      </c>
      <c r="F581" t="s">
        <v>68</v>
      </c>
      <c r="G581" t="s">
        <v>698</v>
      </c>
      <c r="I581">
        <v>2.4991503759398501</v>
      </c>
      <c r="J581" s="82">
        <v>19.600000000000001</v>
      </c>
      <c r="K581" s="82">
        <v>25.1</v>
      </c>
      <c r="L581" s="82">
        <v>28.6</v>
      </c>
      <c r="M581" s="82">
        <v>29.5</v>
      </c>
      <c r="N581" s="82">
        <v>30</v>
      </c>
      <c r="O581" s="44">
        <f t="shared" si="28"/>
        <v>0.78365758754863313</v>
      </c>
      <c r="P581">
        <f t="shared" si="30"/>
        <v>26.560000000000002</v>
      </c>
      <c r="Q581" s="111" t="s">
        <v>57</v>
      </c>
      <c r="R581">
        <v>0.19</v>
      </c>
      <c r="S581" s="65" t="s">
        <v>57</v>
      </c>
      <c r="T581" t="s">
        <v>57</v>
      </c>
      <c r="U581" t="s">
        <v>57</v>
      </c>
      <c r="V581" t="s">
        <v>32</v>
      </c>
      <c r="W581" t="s">
        <v>699</v>
      </c>
    </row>
    <row r="582" spans="1:23" x14ac:dyDescent="0.2">
      <c r="A582" s="5" t="s">
        <v>694</v>
      </c>
      <c r="B582" s="6" t="s">
        <v>27</v>
      </c>
      <c r="C582" s="6" t="s">
        <v>38</v>
      </c>
      <c r="D582" s="65" t="str">
        <f t="shared" si="29"/>
        <v>053_S_b</v>
      </c>
      <c r="E582">
        <v>55</v>
      </c>
      <c r="F582" t="s">
        <v>70</v>
      </c>
      <c r="G582" t="s">
        <v>700</v>
      </c>
      <c r="I582">
        <v>6.4150096562379302</v>
      </c>
      <c r="J582" s="82">
        <v>4.5</v>
      </c>
      <c r="K582" s="82">
        <v>13.1</v>
      </c>
      <c r="L582" s="82">
        <v>55.7</v>
      </c>
      <c r="M582" s="82">
        <v>17.399999999999999</v>
      </c>
      <c r="N582" s="82">
        <v>28.6</v>
      </c>
      <c r="O582" s="44">
        <f t="shared" si="28"/>
        <v>22.645902241822842</v>
      </c>
      <c r="P582">
        <f t="shared" si="30"/>
        <v>23.860000000000003</v>
      </c>
      <c r="Q582" s="111">
        <v>0.34200000000000003</v>
      </c>
      <c r="R582">
        <v>0.70899999999999996</v>
      </c>
      <c r="S582" s="65">
        <v>35</v>
      </c>
      <c r="T582">
        <v>23</v>
      </c>
      <c r="U582" t="s">
        <v>31</v>
      </c>
      <c r="V582" t="s">
        <v>32</v>
      </c>
    </row>
    <row r="583" spans="1:23" x14ac:dyDescent="0.2">
      <c r="A583" s="5" t="s">
        <v>694</v>
      </c>
      <c r="B583" s="6" t="s">
        <v>36</v>
      </c>
      <c r="C583" s="6" t="s">
        <v>38</v>
      </c>
      <c r="D583" s="65" t="str">
        <f t="shared" si="29"/>
        <v>053_O_b</v>
      </c>
      <c r="E583">
        <v>63</v>
      </c>
      <c r="F583" t="s">
        <v>49</v>
      </c>
      <c r="G583" t="s">
        <v>701</v>
      </c>
      <c r="I583">
        <v>2.9847702012616399</v>
      </c>
      <c r="J583" s="82">
        <v>24.1</v>
      </c>
      <c r="K583" s="82">
        <v>7.5</v>
      </c>
      <c r="L583" s="82">
        <v>30.7</v>
      </c>
      <c r="M583" s="82">
        <v>22.2</v>
      </c>
      <c r="N583" s="82">
        <v>17.7</v>
      </c>
      <c r="O583" s="44">
        <f t="shared" si="28"/>
        <v>4.5337672583826478</v>
      </c>
      <c r="P583">
        <f t="shared" si="30"/>
        <v>20.440000000000001</v>
      </c>
      <c r="Q583" s="111">
        <v>0.215</v>
      </c>
      <c r="R583">
        <v>0.435</v>
      </c>
      <c r="S583" s="65">
        <v>29</v>
      </c>
      <c r="T583">
        <v>51</v>
      </c>
      <c r="U583" t="s">
        <v>31</v>
      </c>
      <c r="V583" t="s">
        <v>32</v>
      </c>
    </row>
    <row r="584" spans="1:23" x14ac:dyDescent="0.2">
      <c r="A584" s="5" t="s">
        <v>694</v>
      </c>
      <c r="B584" s="6" t="s">
        <v>27</v>
      </c>
      <c r="C584" s="6" t="s">
        <v>45</v>
      </c>
      <c r="D584" s="65" t="str">
        <f t="shared" si="29"/>
        <v>053_S_c</v>
      </c>
      <c r="E584">
        <v>74</v>
      </c>
      <c r="F584" t="s">
        <v>29</v>
      </c>
      <c r="G584" t="s">
        <v>702</v>
      </c>
      <c r="I584">
        <v>8.3968498317871294</v>
      </c>
      <c r="J584" s="82">
        <v>49.3</v>
      </c>
      <c r="K584" s="82">
        <v>16.7</v>
      </c>
      <c r="L584" s="82">
        <v>4.7</v>
      </c>
      <c r="M584" s="82">
        <v>43.7</v>
      </c>
      <c r="N584" s="82">
        <v>49.4</v>
      </c>
      <c r="O584" s="44">
        <f t="shared" si="28"/>
        <v>15.959440559440555</v>
      </c>
      <c r="P584">
        <f t="shared" si="30"/>
        <v>32.760000000000005</v>
      </c>
      <c r="Q584" s="111">
        <v>0.44500000000000001</v>
      </c>
      <c r="R584">
        <v>0.72</v>
      </c>
      <c r="S584" s="65">
        <v>45</v>
      </c>
      <c r="T584">
        <v>65</v>
      </c>
      <c r="U584" t="s">
        <v>51</v>
      </c>
      <c r="V584" t="s">
        <v>32</v>
      </c>
      <c r="W584" t="s">
        <v>703</v>
      </c>
    </row>
    <row r="585" spans="1:23" x14ac:dyDescent="0.2">
      <c r="A585" s="5" t="s">
        <v>694</v>
      </c>
      <c r="B585" s="6" t="s">
        <v>33</v>
      </c>
      <c r="C585" s="6" t="s">
        <v>45</v>
      </c>
      <c r="D585" s="65" t="str">
        <f t="shared" si="29"/>
        <v>053_V_c</v>
      </c>
      <c r="E585">
        <v>90</v>
      </c>
      <c r="F585" t="s">
        <v>49</v>
      </c>
      <c r="G585" t="s">
        <v>704</v>
      </c>
      <c r="I585">
        <v>4.1787127997688502</v>
      </c>
      <c r="J585" s="82">
        <v>8</v>
      </c>
      <c r="K585" s="82">
        <v>7.5</v>
      </c>
      <c r="L585" s="82">
        <v>8.6</v>
      </c>
      <c r="M585" s="82">
        <v>5.3</v>
      </c>
      <c r="N585" s="82">
        <v>10.7</v>
      </c>
      <c r="O585" s="44">
        <f t="shared" si="28"/>
        <v>0.28163265306122226</v>
      </c>
      <c r="P585">
        <f t="shared" si="30"/>
        <v>8.02</v>
      </c>
      <c r="Q585" s="111">
        <v>0.28299999999999997</v>
      </c>
      <c r="R585">
        <v>0.5</v>
      </c>
      <c r="S585" s="65">
        <v>18</v>
      </c>
      <c r="T585">
        <v>42</v>
      </c>
      <c r="U585" t="s">
        <v>51</v>
      </c>
      <c r="V585" t="s">
        <v>32</v>
      </c>
    </row>
    <row r="586" spans="1:23" x14ac:dyDescent="0.2">
      <c r="A586" s="5" t="s">
        <v>694</v>
      </c>
      <c r="B586" s="6" t="s">
        <v>36</v>
      </c>
      <c r="C586" s="6" t="s">
        <v>45</v>
      </c>
      <c r="D586" s="65" t="str">
        <f t="shared" si="29"/>
        <v>053_O_c</v>
      </c>
      <c r="E586">
        <v>92</v>
      </c>
      <c r="F586" t="s">
        <v>39</v>
      </c>
      <c r="G586" t="s">
        <v>705</v>
      </c>
      <c r="I586">
        <v>3.8469351363399999</v>
      </c>
      <c r="J586" s="82">
        <v>42.4</v>
      </c>
      <c r="K586" s="82">
        <v>39.299999999999997</v>
      </c>
      <c r="L586" s="82">
        <v>41.4</v>
      </c>
      <c r="M586">
        <v>35.6</v>
      </c>
      <c r="N586" s="82">
        <v>37</v>
      </c>
      <c r="O586" s="44">
        <f t="shared" si="28"/>
        <v>0.22808233564377214</v>
      </c>
      <c r="P586">
        <f t="shared" si="30"/>
        <v>39.14</v>
      </c>
      <c r="Q586" s="111">
        <v>0.40600000000000003</v>
      </c>
      <c r="R586">
        <v>0.55700000000000005</v>
      </c>
      <c r="S586" s="65">
        <v>14</v>
      </c>
      <c r="T586">
        <v>35</v>
      </c>
      <c r="U586" t="s">
        <v>54</v>
      </c>
      <c r="V586" t="s">
        <v>32</v>
      </c>
    </row>
    <row r="587" spans="1:23" x14ac:dyDescent="0.2">
      <c r="A587" s="5" t="s">
        <v>694</v>
      </c>
      <c r="B587" s="6" t="s">
        <v>33</v>
      </c>
      <c r="C587" s="6" t="s">
        <v>52</v>
      </c>
      <c r="D587" s="65" t="str">
        <f t="shared" si="29"/>
        <v>053_V_d</v>
      </c>
      <c r="E587">
        <v>110</v>
      </c>
      <c r="F587" t="s">
        <v>29</v>
      </c>
      <c r="G587" t="s">
        <v>706</v>
      </c>
      <c r="I587">
        <v>2.0017362437905999</v>
      </c>
      <c r="J587" s="82">
        <v>24</v>
      </c>
      <c r="K587" s="82">
        <v>16.3</v>
      </c>
      <c r="L587" s="82">
        <v>15.1</v>
      </c>
      <c r="M587">
        <v>5.3</v>
      </c>
      <c r="N587" s="82">
        <v>59.3</v>
      </c>
      <c r="O587" s="44">
        <f t="shared" si="28"/>
        <v>3.8806699615595859</v>
      </c>
      <c r="P587">
        <f t="shared" si="30"/>
        <v>24</v>
      </c>
      <c r="Q587" s="111">
        <v>0.28899999999999998</v>
      </c>
      <c r="R587">
        <v>0.48199999999999998</v>
      </c>
      <c r="S587" s="65">
        <v>20</v>
      </c>
      <c r="T587">
        <v>15</v>
      </c>
      <c r="U587" t="s">
        <v>54</v>
      </c>
      <c r="V587" t="s">
        <v>32</v>
      </c>
    </row>
    <row r="588" spans="1:23" ht="16" x14ac:dyDescent="0.2">
      <c r="A588" s="5" t="s">
        <v>694</v>
      </c>
      <c r="B588" s="6" t="s">
        <v>27</v>
      </c>
      <c r="C588" s="6" t="s">
        <v>52</v>
      </c>
      <c r="D588" s="65" t="str">
        <f t="shared" si="29"/>
        <v>053_S_d</v>
      </c>
      <c r="E588">
        <v>126</v>
      </c>
      <c r="F588" t="s">
        <v>43</v>
      </c>
      <c r="G588" t="s">
        <v>707</v>
      </c>
      <c r="H588" t="s">
        <v>147</v>
      </c>
      <c r="I588">
        <v>0</v>
      </c>
      <c r="J588" s="82">
        <v>1.1000000000000001</v>
      </c>
      <c r="K588" s="82">
        <v>1</v>
      </c>
      <c r="L588" s="84">
        <v>1</v>
      </c>
      <c r="M588">
        <v>1</v>
      </c>
      <c r="N588" s="82">
        <v>0.9</v>
      </c>
      <c r="O588" s="44">
        <f t="shared" si="28"/>
        <v>2.4390243902439068E-3</v>
      </c>
      <c r="P588">
        <f t="shared" si="30"/>
        <v>1</v>
      </c>
      <c r="Q588" s="111" t="s">
        <v>57</v>
      </c>
      <c r="R588" t="s">
        <v>57</v>
      </c>
      <c r="S588" s="65" t="s">
        <v>57</v>
      </c>
      <c r="T588" t="s">
        <v>57</v>
      </c>
      <c r="V588" t="s">
        <v>32</v>
      </c>
      <c r="W588" s="6" t="s">
        <v>67</v>
      </c>
    </row>
    <row r="589" spans="1:23" ht="16" x14ac:dyDescent="0.2">
      <c r="A589" s="5" t="s">
        <v>694</v>
      </c>
      <c r="B589" s="6" t="s">
        <v>36</v>
      </c>
      <c r="C589" s="6" t="s">
        <v>52</v>
      </c>
      <c r="D589" s="65" t="str">
        <f t="shared" si="29"/>
        <v>053_O_d</v>
      </c>
      <c r="E589">
        <v>137</v>
      </c>
      <c r="F589" t="s">
        <v>49</v>
      </c>
      <c r="G589" t="s">
        <v>708</v>
      </c>
      <c r="I589">
        <v>3.9732900509751201</v>
      </c>
      <c r="J589" s="81"/>
      <c r="K589" s="82">
        <v>7.1</v>
      </c>
      <c r="L589" s="84">
        <v>44.3</v>
      </c>
      <c r="M589" s="82">
        <v>44.4</v>
      </c>
      <c r="N589" s="82">
        <v>42.9</v>
      </c>
      <c r="O589" s="44">
        <f t="shared" si="28"/>
        <v>14.484029227557411</v>
      </c>
      <c r="P589">
        <f t="shared" si="30"/>
        <v>34.674999999999997</v>
      </c>
      <c r="Q589" s="111">
        <v>0.308</v>
      </c>
      <c r="R589">
        <v>0.60099999999999998</v>
      </c>
      <c r="S589" s="65">
        <v>35</v>
      </c>
      <c r="T589">
        <v>42</v>
      </c>
      <c r="U589" t="s">
        <v>51</v>
      </c>
      <c r="V589" t="s">
        <v>32</v>
      </c>
    </row>
    <row r="590" spans="1:23" ht="16" x14ac:dyDescent="0.2">
      <c r="A590" s="5" t="s">
        <v>709</v>
      </c>
      <c r="B590" s="6" t="s">
        <v>27</v>
      </c>
      <c r="C590" s="6" t="s">
        <v>28</v>
      </c>
      <c r="D590" s="65" t="str">
        <f t="shared" si="29"/>
        <v>054_S_a</v>
      </c>
      <c r="E590">
        <v>7</v>
      </c>
      <c r="F590" t="s">
        <v>82</v>
      </c>
      <c r="G590" t="s">
        <v>710</v>
      </c>
      <c r="I590">
        <v>3.3174350027031001</v>
      </c>
      <c r="J590" s="84">
        <v>17.7</v>
      </c>
      <c r="K590" s="82">
        <v>6.5</v>
      </c>
      <c r="L590" s="82">
        <v>4.9000000000000004</v>
      </c>
      <c r="M590" s="82">
        <v>26.4</v>
      </c>
      <c r="N590" s="82">
        <v>23.8</v>
      </c>
      <c r="O590" s="44">
        <f t="shared" si="28"/>
        <v>7.3621021021020967</v>
      </c>
      <c r="P590">
        <f t="shared" si="30"/>
        <v>15.86</v>
      </c>
      <c r="Q590" s="111">
        <v>0.26400000000000001</v>
      </c>
      <c r="R590">
        <v>0.46600000000000003</v>
      </c>
      <c r="S590" s="65">
        <v>12</v>
      </c>
      <c r="T590">
        <v>23</v>
      </c>
      <c r="U590" t="s">
        <v>31</v>
      </c>
      <c r="V590" t="s">
        <v>32</v>
      </c>
    </row>
    <row r="591" spans="1:23" x14ac:dyDescent="0.2">
      <c r="A591" s="5" t="s">
        <v>709</v>
      </c>
      <c r="B591" s="6" t="s">
        <v>36</v>
      </c>
      <c r="C591" s="6" t="s">
        <v>28</v>
      </c>
      <c r="D591" s="65" t="str">
        <f t="shared" si="29"/>
        <v>054_O_a</v>
      </c>
      <c r="E591">
        <v>19</v>
      </c>
      <c r="F591" t="s">
        <v>41</v>
      </c>
      <c r="G591" t="s">
        <v>711</v>
      </c>
      <c r="I591">
        <v>2.1226798791277601</v>
      </c>
      <c r="J591" s="82">
        <v>12.2</v>
      </c>
      <c r="K591" s="82">
        <v>6.8</v>
      </c>
      <c r="L591" s="82">
        <v>2.1</v>
      </c>
      <c r="M591" s="82">
        <v>25.8</v>
      </c>
      <c r="N591" s="82">
        <v>23.8</v>
      </c>
      <c r="O591" s="44">
        <f t="shared" si="28"/>
        <v>8.9616915422885519</v>
      </c>
      <c r="P591">
        <f t="shared" si="30"/>
        <v>14.14</v>
      </c>
      <c r="Q591" s="111">
        <v>0.11600000000000001</v>
      </c>
      <c r="R591">
        <v>0.23200000000000001</v>
      </c>
      <c r="S591" s="65">
        <v>23</v>
      </c>
      <c r="T591">
        <v>37</v>
      </c>
      <c r="U591" t="s">
        <v>31</v>
      </c>
      <c r="V591" t="s">
        <v>32</v>
      </c>
    </row>
    <row r="592" spans="1:23" ht="16" x14ac:dyDescent="0.2">
      <c r="A592" s="1" t="s">
        <v>709</v>
      </c>
      <c r="B592" t="s">
        <v>33</v>
      </c>
      <c r="C592" t="s">
        <v>28</v>
      </c>
      <c r="D592" s="65" t="str">
        <f t="shared" si="29"/>
        <v>054_V_a</v>
      </c>
      <c r="E592">
        <v>20</v>
      </c>
      <c r="F592" t="s">
        <v>63</v>
      </c>
      <c r="G592" t="s">
        <v>712</v>
      </c>
      <c r="I592">
        <v>2.5387777277184398</v>
      </c>
      <c r="J592" s="84">
        <v>3</v>
      </c>
      <c r="K592" s="82">
        <v>18.399999999999999</v>
      </c>
      <c r="L592" s="82">
        <v>16.2</v>
      </c>
      <c r="M592" s="82">
        <v>24.4</v>
      </c>
      <c r="N592" s="82">
        <v>11.6</v>
      </c>
      <c r="O592" s="44">
        <f t="shared" si="28"/>
        <v>5.2550537634408636</v>
      </c>
      <c r="P592">
        <f t="shared" si="30"/>
        <v>14.719999999999999</v>
      </c>
      <c r="Q592" s="111">
        <v>0.11799999999999999</v>
      </c>
      <c r="R592">
        <v>0.27100000000000002</v>
      </c>
      <c r="S592" s="65">
        <v>23</v>
      </c>
      <c r="T592">
        <v>19</v>
      </c>
      <c r="V592" t="s">
        <v>32</v>
      </c>
    </row>
    <row r="593" spans="1:23" x14ac:dyDescent="0.2">
      <c r="A593" s="5" t="s">
        <v>709</v>
      </c>
      <c r="B593" s="6" t="s">
        <v>36</v>
      </c>
      <c r="C593" s="6" t="s">
        <v>38</v>
      </c>
      <c r="D593" s="65" t="str">
        <f t="shared" si="29"/>
        <v>054_O_b</v>
      </c>
      <c r="E593">
        <v>55</v>
      </c>
      <c r="F593" t="s">
        <v>43</v>
      </c>
      <c r="G593" t="s">
        <v>713</v>
      </c>
      <c r="I593">
        <v>0.783298570876786</v>
      </c>
      <c r="J593" s="82">
        <v>5.3</v>
      </c>
      <c r="K593" s="82">
        <v>3.1</v>
      </c>
      <c r="L593" s="82">
        <v>15.6</v>
      </c>
      <c r="M593" s="82">
        <v>6.5</v>
      </c>
      <c r="N593" s="82">
        <v>21.9</v>
      </c>
      <c r="O593" s="44">
        <f t="shared" si="28"/>
        <v>3.9671038251366122</v>
      </c>
      <c r="P593">
        <f t="shared" si="30"/>
        <v>10.48</v>
      </c>
      <c r="Q593" s="111">
        <v>2.7E-2</v>
      </c>
      <c r="R593">
        <v>0.128</v>
      </c>
      <c r="S593" s="65">
        <v>5</v>
      </c>
      <c r="T593">
        <v>42</v>
      </c>
      <c r="U593" t="s">
        <v>31</v>
      </c>
      <c r="V593" t="s">
        <v>32</v>
      </c>
    </row>
    <row r="594" spans="1:23" x14ac:dyDescent="0.2">
      <c r="A594" s="1" t="s">
        <v>709</v>
      </c>
      <c r="B594" t="s">
        <v>33</v>
      </c>
      <c r="C594" t="s">
        <v>38</v>
      </c>
      <c r="D594" s="65" t="str">
        <f t="shared" si="29"/>
        <v>054_V_b</v>
      </c>
      <c r="E594">
        <v>55</v>
      </c>
      <c r="F594" t="s">
        <v>63</v>
      </c>
      <c r="G594" t="s">
        <v>714</v>
      </c>
      <c r="I594">
        <v>2.5985322518346901</v>
      </c>
      <c r="J594" s="82">
        <v>15.3</v>
      </c>
      <c r="K594" s="82">
        <v>2.4</v>
      </c>
      <c r="L594" s="82">
        <v>16.2</v>
      </c>
      <c r="M594" s="82">
        <v>5.9</v>
      </c>
      <c r="N594" s="82">
        <v>3.1</v>
      </c>
      <c r="O594" s="44">
        <f t="shared" si="28"/>
        <v>4.7266331658291492</v>
      </c>
      <c r="P594">
        <f t="shared" si="30"/>
        <v>8.58</v>
      </c>
      <c r="Q594" s="111">
        <v>9.7000000000000003E-2</v>
      </c>
      <c r="R594">
        <v>0.25900000000000001</v>
      </c>
      <c r="S594" s="65">
        <v>19</v>
      </c>
      <c r="T594">
        <v>21</v>
      </c>
      <c r="U594" t="s">
        <v>31</v>
      </c>
      <c r="V594" t="s">
        <v>32</v>
      </c>
    </row>
    <row r="595" spans="1:23" x14ac:dyDescent="0.2">
      <c r="A595" s="5" t="s">
        <v>709</v>
      </c>
      <c r="B595" s="6" t="s">
        <v>27</v>
      </c>
      <c r="C595" s="6" t="s">
        <v>38</v>
      </c>
      <c r="D595" s="65" t="str">
        <f t="shared" si="29"/>
        <v>054_S_b</v>
      </c>
      <c r="E595">
        <v>63</v>
      </c>
      <c r="F595" t="s">
        <v>82</v>
      </c>
      <c r="G595" t="s">
        <v>715</v>
      </c>
      <c r="I595">
        <v>4.1485431060378497</v>
      </c>
      <c r="J595" s="82">
        <v>30.3</v>
      </c>
      <c r="K595" s="82">
        <v>32.200000000000003</v>
      </c>
      <c r="L595" s="82">
        <v>30.1</v>
      </c>
      <c r="M595" s="82">
        <v>44.6</v>
      </c>
      <c r="N595" s="82">
        <v>51.7</v>
      </c>
      <c r="O595" s="44">
        <f t="shared" si="28"/>
        <v>1.4007774538386906</v>
      </c>
      <c r="P595">
        <f t="shared" si="30"/>
        <v>37.779999999999994</v>
      </c>
      <c r="Q595" s="111">
        <v>0.125</v>
      </c>
      <c r="R595">
        <v>0.36799999999999999</v>
      </c>
      <c r="S595" s="65">
        <v>12</v>
      </c>
      <c r="T595">
        <v>20</v>
      </c>
      <c r="U595" t="s">
        <v>31</v>
      </c>
      <c r="V595" t="s">
        <v>32</v>
      </c>
    </row>
    <row r="596" spans="1:23" x14ac:dyDescent="0.2">
      <c r="A596" s="5" t="s">
        <v>709</v>
      </c>
      <c r="B596" s="6" t="s">
        <v>33</v>
      </c>
      <c r="C596" s="6" t="s">
        <v>45</v>
      </c>
      <c r="D596" s="65" t="str">
        <f t="shared" si="29"/>
        <v>054_V_c</v>
      </c>
      <c r="E596">
        <v>74</v>
      </c>
      <c r="F596" t="s">
        <v>82</v>
      </c>
      <c r="G596" t="s">
        <v>716</v>
      </c>
      <c r="I596">
        <v>2.2675935365480702</v>
      </c>
      <c r="J596" s="82">
        <v>34.9</v>
      </c>
      <c r="K596" s="82">
        <v>14.3</v>
      </c>
      <c r="L596" s="82">
        <v>3.5</v>
      </c>
      <c r="M596" s="82">
        <v>12.1</v>
      </c>
      <c r="N596" s="82">
        <v>14.2</v>
      </c>
      <c r="O596" s="44">
        <f t="shared" si="28"/>
        <v>10.934156378600825</v>
      </c>
      <c r="P596">
        <f t="shared" si="30"/>
        <v>15.8</v>
      </c>
      <c r="Q596" s="111">
        <v>0.22700000000000001</v>
      </c>
      <c r="R596">
        <v>0.49199999999999999</v>
      </c>
      <c r="S596" s="65">
        <v>41</v>
      </c>
      <c r="T596">
        <v>81</v>
      </c>
      <c r="U596" t="s">
        <v>51</v>
      </c>
      <c r="V596" t="s">
        <v>32</v>
      </c>
    </row>
    <row r="597" spans="1:23" x14ac:dyDescent="0.2">
      <c r="A597" s="5" t="s">
        <v>709</v>
      </c>
      <c r="B597" s="6" t="s">
        <v>36</v>
      </c>
      <c r="C597" s="6" t="s">
        <v>45</v>
      </c>
      <c r="D597" s="65" t="str">
        <f t="shared" si="29"/>
        <v>054_O_c</v>
      </c>
      <c r="E597">
        <v>83</v>
      </c>
      <c r="F597" t="s">
        <v>39</v>
      </c>
      <c r="G597" t="s">
        <v>717</v>
      </c>
      <c r="I597">
        <v>3.0899603337436701</v>
      </c>
      <c r="J597" s="82">
        <v>21.9</v>
      </c>
      <c r="K597" s="82">
        <v>17</v>
      </c>
      <c r="L597" s="82">
        <v>7.7</v>
      </c>
      <c r="M597" s="82">
        <v>15.2</v>
      </c>
      <c r="N597" s="82">
        <v>26.8</v>
      </c>
      <c r="O597" s="44">
        <f t="shared" si="28"/>
        <v>2.2466019417475702</v>
      </c>
      <c r="P597">
        <f t="shared" si="30"/>
        <v>17.72</v>
      </c>
      <c r="Q597" s="111">
        <v>0.254</v>
      </c>
      <c r="R597">
        <v>0.56299999999999994</v>
      </c>
      <c r="S597" s="65">
        <v>20</v>
      </c>
      <c r="T597">
        <v>202</v>
      </c>
      <c r="U597" t="s">
        <v>72</v>
      </c>
      <c r="V597" t="s">
        <v>32</v>
      </c>
    </row>
    <row r="598" spans="1:23" x14ac:dyDescent="0.2">
      <c r="A598" s="5" t="s">
        <v>709</v>
      </c>
      <c r="B598" s="6" t="s">
        <v>27</v>
      </c>
      <c r="C598" s="6" t="s">
        <v>45</v>
      </c>
      <c r="D598" s="65" t="str">
        <f t="shared" si="29"/>
        <v>054_S_c</v>
      </c>
      <c r="E598">
        <v>103</v>
      </c>
      <c r="F598" t="s">
        <v>43</v>
      </c>
      <c r="G598" t="s">
        <v>718</v>
      </c>
      <c r="I598">
        <v>3.7521791674166298</v>
      </c>
      <c r="J598" s="82">
        <v>23.8</v>
      </c>
      <c r="K598" s="82">
        <v>28.2</v>
      </c>
      <c r="L598" s="82">
        <v>32</v>
      </c>
      <c r="M598">
        <v>27.6</v>
      </c>
      <c r="N598" s="82">
        <v>27.7</v>
      </c>
      <c r="O598" s="44">
        <f t="shared" si="28"/>
        <v>0.40382317801673401</v>
      </c>
      <c r="P598">
        <f t="shared" si="30"/>
        <v>27.859999999999996</v>
      </c>
      <c r="Q598" s="111">
        <v>0.42599999999999999</v>
      </c>
      <c r="R598">
        <v>0.53900000000000003</v>
      </c>
      <c r="S598" s="65">
        <v>23</v>
      </c>
      <c r="T598">
        <v>48</v>
      </c>
      <c r="U598" t="s">
        <v>72</v>
      </c>
      <c r="V598" t="s">
        <v>32</v>
      </c>
    </row>
    <row r="599" spans="1:23" x14ac:dyDescent="0.2">
      <c r="A599" s="5" t="s">
        <v>709</v>
      </c>
      <c r="B599" s="6" t="s">
        <v>27</v>
      </c>
      <c r="C599" s="6" t="s">
        <v>52</v>
      </c>
      <c r="D599" s="65" t="str">
        <f t="shared" si="29"/>
        <v>054_S_d</v>
      </c>
      <c r="E599">
        <v>109</v>
      </c>
      <c r="F599" t="s">
        <v>41</v>
      </c>
      <c r="G599" t="s">
        <v>719</v>
      </c>
      <c r="H599" t="s">
        <v>56</v>
      </c>
      <c r="I599">
        <v>0</v>
      </c>
      <c r="J599" s="82">
        <v>1.1000000000000001</v>
      </c>
      <c r="K599" s="82">
        <v>1</v>
      </c>
      <c r="L599" s="82">
        <v>0.9</v>
      </c>
      <c r="M599">
        <v>1</v>
      </c>
      <c r="N599" s="82">
        <v>1</v>
      </c>
      <c r="O599" s="44">
        <f t="shared" si="28"/>
        <v>6.6666666666666706E-3</v>
      </c>
      <c r="P599">
        <f t="shared" si="30"/>
        <v>1</v>
      </c>
      <c r="R599" t="s">
        <v>57</v>
      </c>
      <c r="S599" s="65" t="s">
        <v>57</v>
      </c>
      <c r="T599" t="s">
        <v>57</v>
      </c>
      <c r="U599" t="s">
        <v>57</v>
      </c>
      <c r="V599" t="s">
        <v>32</v>
      </c>
      <c r="W599" t="s">
        <v>67</v>
      </c>
    </row>
    <row r="600" spans="1:23" ht="16" x14ac:dyDescent="0.2">
      <c r="A600" s="5" t="s">
        <v>709</v>
      </c>
      <c r="B600" s="6" t="s">
        <v>33</v>
      </c>
      <c r="C600" s="6" t="s">
        <v>52</v>
      </c>
      <c r="D600" s="65" t="str">
        <f t="shared" si="29"/>
        <v>054_V_d</v>
      </c>
      <c r="E600">
        <v>123</v>
      </c>
      <c r="F600" t="s">
        <v>34</v>
      </c>
      <c r="G600" t="s">
        <v>720</v>
      </c>
      <c r="I600">
        <v>3.0144513118972598</v>
      </c>
      <c r="J600" s="82">
        <v>6.5</v>
      </c>
      <c r="K600" s="82">
        <v>23.1</v>
      </c>
      <c r="L600" s="84">
        <v>42.9</v>
      </c>
      <c r="M600">
        <v>32.700000000000003</v>
      </c>
      <c r="N600" s="82">
        <v>8.4</v>
      </c>
      <c r="O600" s="44">
        <f t="shared" si="28"/>
        <v>9.1102661596958185</v>
      </c>
      <c r="P600">
        <f t="shared" si="30"/>
        <v>22.720000000000002</v>
      </c>
      <c r="Q600" s="111">
        <v>0.26900000000000002</v>
      </c>
      <c r="R600">
        <v>0.56100000000000005</v>
      </c>
      <c r="S600" s="65">
        <v>11</v>
      </c>
      <c r="T600">
        <v>20</v>
      </c>
      <c r="U600" t="s">
        <v>54</v>
      </c>
      <c r="V600" t="s">
        <v>32</v>
      </c>
    </row>
    <row r="601" spans="1:23" ht="16" x14ac:dyDescent="0.2">
      <c r="A601" s="5" t="s">
        <v>709</v>
      </c>
      <c r="B601" s="6" t="s">
        <v>36</v>
      </c>
      <c r="C601" s="6" t="s">
        <v>52</v>
      </c>
      <c r="D601" s="65" t="str">
        <f t="shared" si="29"/>
        <v>054_O_d</v>
      </c>
      <c r="E601">
        <v>131</v>
      </c>
      <c r="F601" t="s">
        <v>70</v>
      </c>
      <c r="G601" t="s">
        <v>721</v>
      </c>
      <c r="I601">
        <v>1.4413328668882299</v>
      </c>
      <c r="J601" s="82">
        <v>4.4000000000000004</v>
      </c>
      <c r="K601" s="82">
        <v>12.8</v>
      </c>
      <c r="L601" s="84">
        <v>18.899999999999999</v>
      </c>
      <c r="M601">
        <v>13.5</v>
      </c>
      <c r="N601" s="82">
        <v>24.1</v>
      </c>
      <c r="O601" s="44">
        <f t="shared" si="28"/>
        <v>2.8930107526881694</v>
      </c>
      <c r="P601">
        <f t="shared" si="30"/>
        <v>14.74</v>
      </c>
      <c r="Q601" s="111">
        <v>8.5000000000000006E-2</v>
      </c>
      <c r="R601">
        <v>0.17100000000000001</v>
      </c>
      <c r="S601" s="65">
        <v>11</v>
      </c>
      <c r="T601">
        <v>32</v>
      </c>
      <c r="U601" t="s">
        <v>54</v>
      </c>
      <c r="V601" t="s">
        <v>32</v>
      </c>
    </row>
    <row r="602" spans="1:23" ht="16" x14ac:dyDescent="0.2">
      <c r="A602" s="1" t="s">
        <v>722</v>
      </c>
      <c r="B602" t="s">
        <v>33</v>
      </c>
      <c r="C602" t="s">
        <v>28</v>
      </c>
      <c r="D602" s="65" t="str">
        <f t="shared" si="29"/>
        <v>055_V_a</v>
      </c>
      <c r="E602">
        <v>7</v>
      </c>
      <c r="F602" t="s">
        <v>29</v>
      </c>
      <c r="G602" t="s">
        <v>723</v>
      </c>
      <c r="I602">
        <v>3.4610507691551602</v>
      </c>
      <c r="J602" s="84">
        <v>17.2</v>
      </c>
      <c r="K602" s="82">
        <v>34</v>
      </c>
      <c r="L602" s="82">
        <v>3.1</v>
      </c>
      <c r="M602" s="82">
        <v>38.9</v>
      </c>
      <c r="N602" s="82">
        <v>27.7</v>
      </c>
      <c r="O602" s="44">
        <f t="shared" si="28"/>
        <v>11.489270386266094</v>
      </c>
      <c r="P602">
        <f t="shared" si="30"/>
        <v>24.18</v>
      </c>
      <c r="Q602" s="111">
        <v>0.313</v>
      </c>
      <c r="R602">
        <v>0.46300000000000002</v>
      </c>
      <c r="S602" s="65">
        <v>11</v>
      </c>
      <c r="T602">
        <v>7</v>
      </c>
      <c r="U602" t="s">
        <v>31</v>
      </c>
      <c r="V602" t="s">
        <v>32</v>
      </c>
    </row>
    <row r="603" spans="1:23" x14ac:dyDescent="0.2">
      <c r="A603" s="5" t="s">
        <v>722</v>
      </c>
      <c r="B603" s="6" t="s">
        <v>36</v>
      </c>
      <c r="C603" s="6" t="s">
        <v>28</v>
      </c>
      <c r="D603" s="65" t="str">
        <f t="shared" si="29"/>
        <v>055_O_a</v>
      </c>
      <c r="E603">
        <v>19</v>
      </c>
      <c r="F603" t="s">
        <v>49</v>
      </c>
      <c r="G603" t="s">
        <v>724</v>
      </c>
      <c r="I603">
        <v>4.7434187243078396</v>
      </c>
      <c r="J603" s="82">
        <v>25.8</v>
      </c>
      <c r="K603" s="82">
        <v>24.7</v>
      </c>
      <c r="L603" s="82">
        <v>30.9</v>
      </c>
      <c r="M603" s="82">
        <v>18.7</v>
      </c>
      <c r="N603" s="82">
        <v>35.299999999999997</v>
      </c>
      <c r="O603" s="44">
        <f t="shared" si="28"/>
        <v>1.0020313020312954</v>
      </c>
      <c r="P603">
        <f t="shared" si="30"/>
        <v>27.080000000000002</v>
      </c>
      <c r="Q603" s="111">
        <v>0.26100000000000001</v>
      </c>
      <c r="R603">
        <v>0.32600000000000001</v>
      </c>
      <c r="S603" s="65">
        <v>10</v>
      </c>
      <c r="T603">
        <v>11</v>
      </c>
      <c r="U603" t="s">
        <v>31</v>
      </c>
      <c r="V603" t="s">
        <v>32</v>
      </c>
    </row>
    <row r="604" spans="1:23" x14ac:dyDescent="0.2">
      <c r="A604" s="5" t="s">
        <v>722</v>
      </c>
      <c r="B604" s="6" t="s">
        <v>27</v>
      </c>
      <c r="C604" s="6" t="s">
        <v>28</v>
      </c>
      <c r="D604" s="65" t="str">
        <f t="shared" si="29"/>
        <v>055_S_a</v>
      </c>
      <c r="E604">
        <v>32</v>
      </c>
      <c r="F604" t="s">
        <v>68</v>
      </c>
      <c r="G604" t="s">
        <v>725</v>
      </c>
      <c r="I604">
        <v>5.9986186432006496</v>
      </c>
      <c r="J604" s="82">
        <v>27.2</v>
      </c>
      <c r="K604" s="82">
        <v>32</v>
      </c>
      <c r="L604" s="82">
        <v>40.4</v>
      </c>
      <c r="M604" s="82">
        <v>42.2</v>
      </c>
      <c r="N604" s="82">
        <v>50.4</v>
      </c>
      <c r="O604" s="44">
        <f t="shared" si="28"/>
        <v>1.4107193229901243</v>
      </c>
      <c r="P604">
        <f t="shared" si="30"/>
        <v>38.440000000000005</v>
      </c>
      <c r="Q604" s="111">
        <v>0.442</v>
      </c>
      <c r="R604">
        <v>0.56499999999999995</v>
      </c>
      <c r="S604" s="65">
        <v>21</v>
      </c>
      <c r="T604">
        <v>15</v>
      </c>
      <c r="U604" t="s">
        <v>31</v>
      </c>
      <c r="V604" t="s">
        <v>32</v>
      </c>
    </row>
    <row r="605" spans="1:23" x14ac:dyDescent="0.2">
      <c r="A605" s="5" t="s">
        <v>722</v>
      </c>
      <c r="B605" s="6" t="s">
        <v>36</v>
      </c>
      <c r="C605" s="6" t="s">
        <v>38</v>
      </c>
      <c r="D605" s="65" t="str">
        <f t="shared" si="29"/>
        <v>055_O_b</v>
      </c>
      <c r="E605">
        <v>40</v>
      </c>
      <c r="F605" t="s">
        <v>41</v>
      </c>
      <c r="G605" t="s">
        <v>726</v>
      </c>
      <c r="I605">
        <v>2.3408761953993298</v>
      </c>
      <c r="J605" s="82">
        <v>5.6</v>
      </c>
      <c r="K605" s="82">
        <v>30</v>
      </c>
      <c r="L605" s="82">
        <v>3.1</v>
      </c>
      <c r="M605" s="82">
        <v>28.6</v>
      </c>
      <c r="N605" s="82">
        <v>12.4</v>
      </c>
      <c r="O605" s="44">
        <f t="shared" si="28"/>
        <v>12.41421495789994</v>
      </c>
      <c r="P605">
        <f t="shared" si="30"/>
        <v>15.940000000000003</v>
      </c>
      <c r="Q605" s="111">
        <v>0.16900000000000001</v>
      </c>
      <c r="R605">
        <v>0.23799999999999999</v>
      </c>
      <c r="S605" s="65">
        <v>9</v>
      </c>
      <c r="T605">
        <v>31</v>
      </c>
      <c r="U605" t="s">
        <v>51</v>
      </c>
      <c r="V605" t="s">
        <v>32</v>
      </c>
    </row>
    <row r="606" spans="1:23" x14ac:dyDescent="0.2">
      <c r="A606" s="1" t="s">
        <v>722</v>
      </c>
      <c r="B606" t="s">
        <v>33</v>
      </c>
      <c r="C606" t="s">
        <v>38</v>
      </c>
      <c r="D606" s="65" t="str">
        <f t="shared" si="29"/>
        <v>055_V_b</v>
      </c>
      <c r="E606">
        <v>46</v>
      </c>
      <c r="F606" t="s">
        <v>49</v>
      </c>
      <c r="G606" t="s">
        <v>727</v>
      </c>
      <c r="I606">
        <v>2.38364313249195</v>
      </c>
      <c r="J606" s="82">
        <v>23.6</v>
      </c>
      <c r="K606" s="82">
        <v>32.5</v>
      </c>
      <c r="L606" s="82">
        <v>7.3</v>
      </c>
      <c r="M606" s="82">
        <v>6</v>
      </c>
      <c r="N606" s="82">
        <v>7.5</v>
      </c>
      <c r="O606" s="44">
        <f t="shared" si="28"/>
        <v>9.5756003842459148</v>
      </c>
      <c r="P606">
        <f t="shared" si="30"/>
        <v>15.38</v>
      </c>
      <c r="Q606" s="111">
        <v>0.24299999999999999</v>
      </c>
      <c r="R606">
        <v>0.36499999999999999</v>
      </c>
      <c r="S606" s="65">
        <v>8</v>
      </c>
      <c r="T606" s="43">
        <v>14</v>
      </c>
      <c r="U606" t="s">
        <v>31</v>
      </c>
      <c r="V606" t="s">
        <v>32</v>
      </c>
    </row>
    <row r="607" spans="1:23" x14ac:dyDescent="0.2">
      <c r="A607" s="5" t="s">
        <v>722</v>
      </c>
      <c r="B607" s="6" t="s">
        <v>27</v>
      </c>
      <c r="C607" s="6" t="s">
        <v>38</v>
      </c>
      <c r="D607" s="65" t="str">
        <f t="shared" si="29"/>
        <v>055_S_b</v>
      </c>
      <c r="E607">
        <v>61</v>
      </c>
      <c r="F607" t="s">
        <v>68</v>
      </c>
      <c r="G607" t="s">
        <v>728</v>
      </c>
      <c r="I607">
        <v>5.7643019234925399</v>
      </c>
      <c r="J607" s="82">
        <v>41.9</v>
      </c>
      <c r="K607" s="82">
        <v>41.4</v>
      </c>
      <c r="L607" s="82">
        <v>20</v>
      </c>
      <c r="M607" s="82">
        <v>30.3</v>
      </c>
      <c r="N607" s="82">
        <v>35.6</v>
      </c>
      <c r="O607" s="44">
        <f t="shared" si="28"/>
        <v>3.2477045908183642</v>
      </c>
      <c r="P607">
        <f t="shared" si="30"/>
        <v>33.839999999999996</v>
      </c>
      <c r="Q607" s="111">
        <v>0.36599999999999999</v>
      </c>
      <c r="R607">
        <v>0.622</v>
      </c>
      <c r="S607" s="65">
        <v>22</v>
      </c>
      <c r="T607">
        <v>36</v>
      </c>
      <c r="U607" t="s">
        <v>31</v>
      </c>
      <c r="V607" t="s">
        <v>32</v>
      </c>
    </row>
    <row r="608" spans="1:23" x14ac:dyDescent="0.2">
      <c r="A608" s="5" t="s">
        <v>722</v>
      </c>
      <c r="B608" s="6" t="s">
        <v>27</v>
      </c>
      <c r="C608" s="6" t="s">
        <v>45</v>
      </c>
      <c r="D608" s="65" t="str">
        <f t="shared" si="29"/>
        <v>055_S_c</v>
      </c>
      <c r="E608">
        <v>91</v>
      </c>
      <c r="F608" t="s">
        <v>43</v>
      </c>
      <c r="G608" t="s">
        <v>729</v>
      </c>
      <c r="I608">
        <v>5.9188914847337504</v>
      </c>
      <c r="J608" s="82">
        <v>5.5</v>
      </c>
      <c r="K608" s="82">
        <v>34.299999999999997</v>
      </c>
      <c r="L608" s="82">
        <v>49.1</v>
      </c>
      <c r="M608">
        <v>16.899999999999999</v>
      </c>
      <c r="N608" s="82">
        <v>21.1</v>
      </c>
      <c r="O608" s="44">
        <f t="shared" ref="O608:O671" si="31">VAR(J608:M608)/AVERAGE(J608:M608)</f>
        <v>13.922495274102067</v>
      </c>
      <c r="P608">
        <f t="shared" si="30"/>
        <v>25.380000000000003</v>
      </c>
      <c r="Q608" s="111">
        <v>0.375</v>
      </c>
      <c r="R608">
        <v>0.50900000000000001</v>
      </c>
      <c r="S608" s="65">
        <v>21</v>
      </c>
      <c r="T608">
        <v>81</v>
      </c>
      <c r="U608" t="s">
        <v>47</v>
      </c>
      <c r="V608" t="s">
        <v>32</v>
      </c>
      <c r="W608" t="s">
        <v>730</v>
      </c>
    </row>
    <row r="609" spans="1:23" x14ac:dyDescent="0.2">
      <c r="A609" s="5" t="s">
        <v>722</v>
      </c>
      <c r="B609" s="6" t="s">
        <v>33</v>
      </c>
      <c r="C609" s="6" t="s">
        <v>45</v>
      </c>
      <c r="D609" s="65" t="str">
        <f t="shared" si="29"/>
        <v>055_V_c</v>
      </c>
      <c r="E609">
        <v>92</v>
      </c>
      <c r="F609" t="s">
        <v>68</v>
      </c>
      <c r="G609" t="s">
        <v>731</v>
      </c>
      <c r="I609">
        <v>5.2251430269707999</v>
      </c>
      <c r="J609" s="82">
        <v>22.3</v>
      </c>
      <c r="K609" s="82">
        <v>33.4</v>
      </c>
      <c r="L609" s="82">
        <v>36</v>
      </c>
      <c r="M609">
        <v>7.2</v>
      </c>
      <c r="N609" s="82">
        <v>43.9</v>
      </c>
      <c r="O609" s="44">
        <f t="shared" si="31"/>
        <v>6.9482642399730334</v>
      </c>
      <c r="P609">
        <f t="shared" si="30"/>
        <v>28.560000000000002</v>
      </c>
      <c r="Q609" s="111">
        <v>0.376</v>
      </c>
      <c r="R609">
        <v>0.60299999999999998</v>
      </c>
      <c r="S609" s="65">
        <v>8</v>
      </c>
      <c r="T609">
        <v>5</v>
      </c>
      <c r="U609" t="s">
        <v>54</v>
      </c>
      <c r="V609" t="s">
        <v>32</v>
      </c>
    </row>
    <row r="610" spans="1:23" x14ac:dyDescent="0.2">
      <c r="A610" s="5" t="s">
        <v>722</v>
      </c>
      <c r="B610" s="6" t="s">
        <v>36</v>
      </c>
      <c r="C610" s="6" t="s">
        <v>45</v>
      </c>
      <c r="D610" s="65" t="str">
        <f t="shared" si="29"/>
        <v>055_O_c</v>
      </c>
      <c r="E610">
        <v>93</v>
      </c>
      <c r="F610" t="s">
        <v>82</v>
      </c>
      <c r="G610" t="s">
        <v>732</v>
      </c>
      <c r="I610">
        <v>3.5692284954182698</v>
      </c>
      <c r="J610" s="82">
        <v>12.9</v>
      </c>
      <c r="K610" s="82">
        <v>28.6</v>
      </c>
      <c r="L610" s="82">
        <v>31.3</v>
      </c>
      <c r="M610">
        <v>31</v>
      </c>
      <c r="N610" s="82">
        <v>43.9</v>
      </c>
      <c r="O610" s="44">
        <f t="shared" si="31"/>
        <v>2.9730250481695606</v>
      </c>
      <c r="P610">
        <f t="shared" si="30"/>
        <v>29.54</v>
      </c>
      <c r="Q610" s="111">
        <v>0.187</v>
      </c>
      <c r="R610">
        <v>0.38100000000000001</v>
      </c>
      <c r="S610" s="65">
        <v>9</v>
      </c>
      <c r="T610">
        <v>3</v>
      </c>
      <c r="U610" t="s">
        <v>31</v>
      </c>
      <c r="V610" t="s">
        <v>32</v>
      </c>
    </row>
    <row r="611" spans="1:23" x14ac:dyDescent="0.2">
      <c r="A611" s="5" t="s">
        <v>722</v>
      </c>
      <c r="B611" s="6" t="s">
        <v>33</v>
      </c>
      <c r="C611" s="6" t="s">
        <v>52</v>
      </c>
      <c r="D611" s="65" t="str">
        <f t="shared" si="29"/>
        <v>055_V_d</v>
      </c>
      <c r="E611">
        <v>111</v>
      </c>
      <c r="F611" t="s">
        <v>68</v>
      </c>
      <c r="G611" t="s">
        <v>733</v>
      </c>
      <c r="I611">
        <v>0.63251050821551402</v>
      </c>
      <c r="J611" s="82">
        <v>44.9</v>
      </c>
      <c r="K611" s="82">
        <v>56.9</v>
      </c>
      <c r="L611" s="82">
        <v>34.700000000000003</v>
      </c>
      <c r="M611">
        <v>13.2</v>
      </c>
      <c r="N611" s="82">
        <v>23.3</v>
      </c>
      <c r="O611" s="44">
        <f t="shared" si="31"/>
        <v>9.1688042752171004</v>
      </c>
      <c r="P611">
        <f t="shared" si="30"/>
        <v>34.6</v>
      </c>
      <c r="Q611" s="111">
        <v>0.32200000000000001</v>
      </c>
      <c r="R611">
        <v>0.41499999999999998</v>
      </c>
      <c r="S611" s="65">
        <v>11</v>
      </c>
      <c r="T611">
        <v>20</v>
      </c>
      <c r="U611" t="s">
        <v>54</v>
      </c>
      <c r="V611" t="s">
        <v>32</v>
      </c>
    </row>
    <row r="612" spans="1:23" ht="16" x14ac:dyDescent="0.2">
      <c r="A612" s="5" t="s">
        <v>722</v>
      </c>
      <c r="B612" s="6" t="s">
        <v>36</v>
      </c>
      <c r="C612" s="6" t="s">
        <v>52</v>
      </c>
      <c r="D612" s="65" t="str">
        <f t="shared" si="29"/>
        <v>055_O_d</v>
      </c>
      <c r="E612">
        <v>121</v>
      </c>
      <c r="F612" t="s">
        <v>82</v>
      </c>
      <c r="G612" t="s">
        <v>734</v>
      </c>
      <c r="I612">
        <v>3.38985208624623</v>
      </c>
      <c r="J612" s="82">
        <v>40.9</v>
      </c>
      <c r="K612" s="82">
        <v>54.2</v>
      </c>
      <c r="L612" s="84">
        <v>57.1</v>
      </c>
      <c r="M612">
        <v>53.2</v>
      </c>
      <c r="N612" s="82">
        <v>31.3</v>
      </c>
      <c r="O612" s="44">
        <f t="shared" si="31"/>
        <v>0.99844206426486948</v>
      </c>
      <c r="P612">
        <f t="shared" si="30"/>
        <v>47.339999999999996</v>
      </c>
      <c r="Q612" s="111">
        <v>0.28299999999999997</v>
      </c>
      <c r="R612">
        <v>0.433</v>
      </c>
      <c r="S612" s="65">
        <v>15</v>
      </c>
      <c r="T612">
        <v>19</v>
      </c>
      <c r="U612" t="s">
        <v>31</v>
      </c>
      <c r="V612" t="s">
        <v>32</v>
      </c>
    </row>
    <row r="613" spans="1:23" ht="16" x14ac:dyDescent="0.2">
      <c r="A613" s="5" t="s">
        <v>722</v>
      </c>
      <c r="B613" s="6" t="s">
        <v>27</v>
      </c>
      <c r="C613" s="6" t="s">
        <v>52</v>
      </c>
      <c r="D613" s="65" t="str">
        <f t="shared" si="29"/>
        <v>055_S_d</v>
      </c>
      <c r="E613">
        <v>129</v>
      </c>
      <c r="F613" t="s">
        <v>68</v>
      </c>
      <c r="G613" t="s">
        <v>735</v>
      </c>
      <c r="H613" t="s">
        <v>56</v>
      </c>
      <c r="I613">
        <v>0</v>
      </c>
      <c r="J613" s="82">
        <v>1.1000000000000001</v>
      </c>
      <c r="K613" s="82">
        <v>1</v>
      </c>
      <c r="L613" s="84">
        <v>1</v>
      </c>
      <c r="M613">
        <v>1</v>
      </c>
      <c r="N613" s="82">
        <v>0.9</v>
      </c>
      <c r="O613" s="44">
        <f t="shared" si="31"/>
        <v>2.4390243902439068E-3</v>
      </c>
      <c r="P613">
        <f t="shared" si="30"/>
        <v>1</v>
      </c>
      <c r="Q613" s="111" t="s">
        <v>57</v>
      </c>
      <c r="R613" t="s">
        <v>57</v>
      </c>
      <c r="S613" s="65" t="s">
        <v>57</v>
      </c>
      <c r="T613" t="s">
        <v>57</v>
      </c>
      <c r="V613" t="s">
        <v>32</v>
      </c>
      <c r="W613" t="s">
        <v>67</v>
      </c>
    </row>
    <row r="614" spans="1:23" ht="16" x14ac:dyDescent="0.2">
      <c r="A614" s="5" t="s">
        <v>736</v>
      </c>
      <c r="B614" s="6" t="s">
        <v>33</v>
      </c>
      <c r="C614" s="6" t="s">
        <v>28</v>
      </c>
      <c r="D614" s="65" t="str">
        <f t="shared" si="29"/>
        <v>056_V_a</v>
      </c>
      <c r="E614">
        <v>14</v>
      </c>
      <c r="F614" t="s">
        <v>41</v>
      </c>
      <c r="G614" t="s">
        <v>737</v>
      </c>
      <c r="I614">
        <v>2.6866748619937799</v>
      </c>
      <c r="J614" s="84">
        <v>45</v>
      </c>
      <c r="K614" s="82">
        <v>40.5</v>
      </c>
      <c r="L614" s="82">
        <v>8.4</v>
      </c>
      <c r="M614" s="82">
        <v>33</v>
      </c>
      <c r="N614" s="82">
        <v>35</v>
      </c>
      <c r="O614" s="44">
        <f t="shared" si="31"/>
        <v>8.3940898345153592</v>
      </c>
      <c r="P614">
        <f t="shared" si="30"/>
        <v>32.380000000000003</v>
      </c>
      <c r="Q614" s="111">
        <v>0.39800000000000002</v>
      </c>
      <c r="R614">
        <v>0.39300000000000002</v>
      </c>
      <c r="S614" s="65">
        <v>19</v>
      </c>
      <c r="T614">
        <v>10</v>
      </c>
      <c r="U614" t="s">
        <v>72</v>
      </c>
      <c r="V614" t="s">
        <v>32</v>
      </c>
    </row>
    <row r="615" spans="1:23" x14ac:dyDescent="0.2">
      <c r="A615" s="5" t="s">
        <v>736</v>
      </c>
      <c r="B615" s="6" t="s">
        <v>27</v>
      </c>
      <c r="C615" s="6" t="s">
        <v>28</v>
      </c>
      <c r="D615" s="65" t="str">
        <f t="shared" si="29"/>
        <v>056_S_a</v>
      </c>
      <c r="E615">
        <v>28</v>
      </c>
      <c r="F615" t="s">
        <v>49</v>
      </c>
      <c r="G615" t="s">
        <v>738</v>
      </c>
      <c r="I615">
        <v>3.6186885245901599</v>
      </c>
      <c r="J615" s="43">
        <v>1.6</v>
      </c>
      <c r="K615" t="s">
        <v>57</v>
      </c>
      <c r="L615" s="82">
        <v>41.7</v>
      </c>
      <c r="M615" s="82">
        <v>46.7</v>
      </c>
      <c r="N615" s="82">
        <v>30.8</v>
      </c>
      <c r="O615" s="44">
        <f t="shared" si="31"/>
        <v>20.372333333333344</v>
      </c>
      <c r="P615">
        <f t="shared" si="30"/>
        <v>30.2</v>
      </c>
      <c r="Q615" s="111">
        <v>0.19600000000000001</v>
      </c>
      <c r="R615">
        <v>0.46700000000000003</v>
      </c>
      <c r="S615" s="65">
        <v>10</v>
      </c>
      <c r="T615">
        <v>4</v>
      </c>
      <c r="U615" t="s">
        <v>31</v>
      </c>
      <c r="V615" t="s">
        <v>32</v>
      </c>
    </row>
    <row r="616" spans="1:23" x14ac:dyDescent="0.2">
      <c r="A616" s="5" t="s">
        <v>736</v>
      </c>
      <c r="B616" s="6" t="s">
        <v>36</v>
      </c>
      <c r="C616" s="6" t="s">
        <v>28</v>
      </c>
      <c r="D616" s="65" t="str">
        <f t="shared" si="29"/>
        <v>056_O_a</v>
      </c>
      <c r="E616">
        <v>36</v>
      </c>
      <c r="F616" t="s">
        <v>34</v>
      </c>
      <c r="G616" t="s">
        <v>739</v>
      </c>
      <c r="I616">
        <v>3.8653208049567298</v>
      </c>
      <c r="J616" s="82">
        <v>24.7</v>
      </c>
      <c r="K616" s="82">
        <v>29.5</v>
      </c>
      <c r="L616" s="82">
        <v>36.799999999999997</v>
      </c>
      <c r="M616" s="82">
        <v>33.200000000000003</v>
      </c>
      <c r="N616" s="82">
        <v>43.4</v>
      </c>
      <c r="O616" s="44">
        <f t="shared" si="31"/>
        <v>0.86323134728931672</v>
      </c>
      <c r="P616">
        <f t="shared" si="30"/>
        <v>33.519999999999996</v>
      </c>
      <c r="Q616" s="111">
        <v>0.29399999999999998</v>
      </c>
      <c r="R616">
        <v>0.503</v>
      </c>
      <c r="S616" s="65">
        <v>24</v>
      </c>
      <c r="T616">
        <v>17</v>
      </c>
      <c r="U616" t="s">
        <v>31</v>
      </c>
      <c r="V616" t="s">
        <v>32</v>
      </c>
    </row>
    <row r="617" spans="1:23" x14ac:dyDescent="0.2">
      <c r="A617" s="5" t="s">
        <v>736</v>
      </c>
      <c r="B617" s="6" t="s">
        <v>27</v>
      </c>
      <c r="C617" s="6" t="s">
        <v>38</v>
      </c>
      <c r="D617" s="65" t="str">
        <f t="shared" si="29"/>
        <v>056_S_b</v>
      </c>
      <c r="E617">
        <v>47</v>
      </c>
      <c r="F617" t="s">
        <v>34</v>
      </c>
      <c r="G617" t="s">
        <v>740</v>
      </c>
      <c r="I617">
        <v>4.9133566758894203</v>
      </c>
      <c r="J617" s="82">
        <v>6</v>
      </c>
      <c r="K617" s="82">
        <v>7.3</v>
      </c>
      <c r="L617" s="82">
        <v>4.7</v>
      </c>
      <c r="M617" s="82">
        <v>11</v>
      </c>
      <c r="N617" s="82">
        <v>18.100000000000001</v>
      </c>
      <c r="O617" s="44">
        <f t="shared" si="31"/>
        <v>1.0174712643678159</v>
      </c>
      <c r="P617">
        <f t="shared" si="30"/>
        <v>9.42</v>
      </c>
      <c r="Q617" s="111">
        <v>0.38300000000000001</v>
      </c>
      <c r="R617">
        <v>0.47599999999999998</v>
      </c>
      <c r="S617" s="65">
        <v>1</v>
      </c>
      <c r="T617" s="43">
        <v>11</v>
      </c>
      <c r="U617" t="s">
        <v>54</v>
      </c>
      <c r="V617" t="s">
        <v>32</v>
      </c>
    </row>
    <row r="618" spans="1:23" x14ac:dyDescent="0.2">
      <c r="A618" s="5" t="s">
        <v>736</v>
      </c>
      <c r="B618" s="6" t="s">
        <v>36</v>
      </c>
      <c r="C618" s="6" t="s">
        <v>38</v>
      </c>
      <c r="D618" s="65" t="str">
        <f t="shared" si="29"/>
        <v>056_O_b</v>
      </c>
      <c r="E618">
        <v>47</v>
      </c>
      <c r="F618" t="s">
        <v>82</v>
      </c>
      <c r="G618" t="s">
        <v>741</v>
      </c>
      <c r="I618">
        <v>1.9989397908963999</v>
      </c>
      <c r="J618" s="82">
        <v>4.4000000000000004</v>
      </c>
      <c r="K618" s="82">
        <v>16.399999999999999</v>
      </c>
      <c r="L618" s="82">
        <v>28.5</v>
      </c>
      <c r="M618" s="82">
        <v>34.700000000000003</v>
      </c>
      <c r="N618" s="82">
        <v>35</v>
      </c>
      <c r="O618" s="44">
        <f t="shared" si="31"/>
        <v>8.5819047619047595</v>
      </c>
      <c r="P618">
        <f t="shared" si="30"/>
        <v>23.8</v>
      </c>
      <c r="Q618" s="111">
        <v>7.0999999999999994E-2</v>
      </c>
      <c r="R618">
        <v>0.20200000000000001</v>
      </c>
      <c r="S618" s="65">
        <v>9</v>
      </c>
      <c r="T618" s="43">
        <v>5</v>
      </c>
      <c r="U618" t="s">
        <v>54</v>
      </c>
      <c r="V618" t="s">
        <v>32</v>
      </c>
    </row>
    <row r="619" spans="1:23" x14ac:dyDescent="0.2">
      <c r="A619" s="1" t="s">
        <v>736</v>
      </c>
      <c r="B619" t="s">
        <v>33</v>
      </c>
      <c r="C619" t="s">
        <v>38</v>
      </c>
      <c r="D619" s="65" t="str">
        <f t="shared" si="29"/>
        <v>056_V_b</v>
      </c>
      <c r="E619">
        <v>72</v>
      </c>
      <c r="F619" t="s">
        <v>70</v>
      </c>
      <c r="G619" t="s">
        <v>742</v>
      </c>
      <c r="I619">
        <v>3.4898496339948699</v>
      </c>
      <c r="J619" s="82">
        <v>5.8</v>
      </c>
      <c r="K619" s="82">
        <v>3.5</v>
      </c>
      <c r="L619" s="82">
        <v>39</v>
      </c>
      <c r="M619" s="82">
        <v>44.1</v>
      </c>
      <c r="N619" s="82">
        <v>44.1</v>
      </c>
      <c r="O619" s="44">
        <f t="shared" si="31"/>
        <v>19.873881673881677</v>
      </c>
      <c r="P619">
        <f t="shared" si="30"/>
        <v>27.3</v>
      </c>
      <c r="Q619" s="111">
        <v>0.184</v>
      </c>
      <c r="R619">
        <v>0.27900000000000003</v>
      </c>
      <c r="S619" s="65">
        <v>28</v>
      </c>
      <c r="T619">
        <v>18</v>
      </c>
      <c r="U619" t="s">
        <v>31</v>
      </c>
      <c r="V619" t="s">
        <v>32</v>
      </c>
    </row>
    <row r="620" spans="1:23" x14ac:dyDescent="0.2">
      <c r="A620" s="5" t="s">
        <v>736</v>
      </c>
      <c r="B620" s="6" t="s">
        <v>27</v>
      </c>
      <c r="C620" s="6" t="s">
        <v>45</v>
      </c>
      <c r="D620" s="65" t="str">
        <f t="shared" si="29"/>
        <v>056_S_c</v>
      </c>
      <c r="E620">
        <v>80</v>
      </c>
      <c r="F620" t="s">
        <v>29</v>
      </c>
      <c r="G620" t="s">
        <v>743</v>
      </c>
      <c r="I620">
        <v>5.1841263485183999</v>
      </c>
      <c r="J620" s="82">
        <v>41.3</v>
      </c>
      <c r="K620" s="82">
        <v>33.299999999999997</v>
      </c>
      <c r="L620" s="82">
        <v>13.3</v>
      </c>
      <c r="M620" s="82">
        <v>20.7</v>
      </c>
      <c r="N620" s="82">
        <v>54.2</v>
      </c>
      <c r="O620" s="44">
        <f t="shared" si="31"/>
        <v>5.788459177409452</v>
      </c>
      <c r="P620">
        <f t="shared" si="30"/>
        <v>32.56</v>
      </c>
      <c r="Q620" s="111">
        <v>0.54200000000000004</v>
      </c>
      <c r="R620">
        <v>0.58099999999999996</v>
      </c>
      <c r="S620" s="65">
        <v>13</v>
      </c>
      <c r="T620">
        <v>7</v>
      </c>
      <c r="U620" t="s">
        <v>31</v>
      </c>
      <c r="V620" t="s">
        <v>32</v>
      </c>
    </row>
    <row r="621" spans="1:23" x14ac:dyDescent="0.2">
      <c r="A621" s="5" t="s">
        <v>736</v>
      </c>
      <c r="B621" s="6" t="s">
        <v>33</v>
      </c>
      <c r="C621" s="6" t="s">
        <v>45</v>
      </c>
      <c r="D621" s="65" t="str">
        <f t="shared" si="29"/>
        <v>056_V_c</v>
      </c>
      <c r="E621">
        <v>94</v>
      </c>
      <c r="F621" t="s">
        <v>68</v>
      </c>
      <c r="G621" t="s">
        <v>744</v>
      </c>
      <c r="I621">
        <v>4.5508231963087296</v>
      </c>
      <c r="J621" s="82">
        <v>4.3</v>
      </c>
      <c r="K621" s="82">
        <v>34.700000000000003</v>
      </c>
      <c r="L621" s="82">
        <v>55.9</v>
      </c>
      <c r="M621">
        <v>42.7</v>
      </c>
      <c r="N621" s="82">
        <v>52.9</v>
      </c>
      <c r="O621" s="44">
        <f t="shared" si="31"/>
        <v>13.926744186046498</v>
      </c>
      <c r="P621">
        <f t="shared" si="30"/>
        <v>38.100000000000009</v>
      </c>
      <c r="Q621" s="111">
        <v>0.30299999999999999</v>
      </c>
      <c r="R621">
        <v>0.51200000000000001</v>
      </c>
      <c r="S621" s="65">
        <v>10</v>
      </c>
      <c r="T621">
        <v>20</v>
      </c>
      <c r="U621" t="s">
        <v>31</v>
      </c>
      <c r="V621" t="s">
        <v>32</v>
      </c>
    </row>
    <row r="622" spans="1:23" x14ac:dyDescent="0.2">
      <c r="A622" s="5" t="s">
        <v>736</v>
      </c>
      <c r="B622" s="6" t="s">
        <v>36</v>
      </c>
      <c r="C622" s="6" t="s">
        <v>45</v>
      </c>
      <c r="D622" s="65" t="str">
        <f t="shared" si="29"/>
        <v>056_O_c</v>
      </c>
      <c r="E622">
        <v>103</v>
      </c>
      <c r="F622" t="s">
        <v>82</v>
      </c>
      <c r="G622" t="s">
        <v>745</v>
      </c>
      <c r="I622">
        <v>3.0642796533902401</v>
      </c>
      <c r="J622" s="82">
        <v>39.299999999999997</v>
      </c>
      <c r="K622" s="82">
        <v>37.9</v>
      </c>
      <c r="L622" s="82">
        <v>38.700000000000003</v>
      </c>
      <c r="M622">
        <v>14</v>
      </c>
      <c r="N622" s="82">
        <v>31.4</v>
      </c>
      <c r="O622" s="44">
        <f t="shared" si="31"/>
        <v>4.6814216063638856</v>
      </c>
      <c r="P622">
        <f t="shared" si="30"/>
        <v>32.26</v>
      </c>
      <c r="Q622" s="111">
        <v>0.23400000000000001</v>
      </c>
      <c r="R622">
        <v>0.41299999999999998</v>
      </c>
      <c r="S622" s="65">
        <v>5</v>
      </c>
      <c r="T622">
        <v>3</v>
      </c>
      <c r="U622" t="s">
        <v>72</v>
      </c>
      <c r="V622" t="s">
        <v>32</v>
      </c>
    </row>
    <row r="623" spans="1:23" ht="16" x14ac:dyDescent="0.2">
      <c r="A623" s="5" t="s">
        <v>736</v>
      </c>
      <c r="B623" s="6" t="s">
        <v>27</v>
      </c>
      <c r="C623" s="6" t="s">
        <v>52</v>
      </c>
      <c r="D623" s="65" t="str">
        <f t="shared" si="29"/>
        <v>056_S_d</v>
      </c>
      <c r="E623">
        <v>123</v>
      </c>
      <c r="F623" t="s">
        <v>43</v>
      </c>
      <c r="G623" t="s">
        <v>746</v>
      </c>
      <c r="H623" t="s">
        <v>56</v>
      </c>
      <c r="I623">
        <v>0</v>
      </c>
      <c r="J623" s="82">
        <v>1</v>
      </c>
      <c r="K623" s="82">
        <v>1</v>
      </c>
      <c r="L623" s="84">
        <v>1</v>
      </c>
      <c r="M623">
        <v>1</v>
      </c>
      <c r="N623" s="82">
        <v>1</v>
      </c>
      <c r="O623" s="44">
        <f t="shared" si="31"/>
        <v>0</v>
      </c>
      <c r="P623">
        <f t="shared" si="30"/>
        <v>1</v>
      </c>
      <c r="Q623" s="111" t="s">
        <v>57</v>
      </c>
      <c r="R623" t="s">
        <v>57</v>
      </c>
      <c r="S623" s="65" t="s">
        <v>57</v>
      </c>
      <c r="T623" t="s">
        <v>57</v>
      </c>
      <c r="V623" t="s">
        <v>32</v>
      </c>
      <c r="W623" t="s">
        <v>67</v>
      </c>
    </row>
    <row r="624" spans="1:23" ht="16" x14ac:dyDescent="0.2">
      <c r="A624" s="5" t="s">
        <v>736</v>
      </c>
      <c r="B624" s="6" t="s">
        <v>33</v>
      </c>
      <c r="C624" s="6" t="s">
        <v>52</v>
      </c>
      <c r="D624" s="65" t="str">
        <f t="shared" si="29"/>
        <v>056_V_d</v>
      </c>
      <c r="E624">
        <v>140</v>
      </c>
      <c r="F624" t="s">
        <v>49</v>
      </c>
      <c r="G624" t="s">
        <v>747</v>
      </c>
      <c r="I624">
        <v>4.2971790179932903</v>
      </c>
      <c r="J624" s="82">
        <v>31.2</v>
      </c>
      <c r="K624" s="82">
        <v>39.6</v>
      </c>
      <c r="L624" s="84">
        <v>5</v>
      </c>
      <c r="M624" s="82">
        <v>39.700000000000003</v>
      </c>
      <c r="N624" s="82">
        <v>51.5</v>
      </c>
      <c r="O624" s="44">
        <f t="shared" si="31"/>
        <v>9.323261183261188</v>
      </c>
      <c r="P624">
        <f t="shared" si="30"/>
        <v>33.4</v>
      </c>
      <c r="Q624" s="111">
        <v>0.38100000000000001</v>
      </c>
      <c r="R624">
        <v>0.50700000000000001</v>
      </c>
      <c r="S624" s="65">
        <v>7</v>
      </c>
      <c r="T624">
        <v>13</v>
      </c>
      <c r="U624" t="s">
        <v>54</v>
      </c>
      <c r="V624" t="s">
        <v>32</v>
      </c>
    </row>
    <row r="625" spans="1:23" ht="16" x14ac:dyDescent="0.2">
      <c r="A625" s="5" t="s">
        <v>736</v>
      </c>
      <c r="B625" s="6" t="s">
        <v>36</v>
      </c>
      <c r="C625" s="6" t="s">
        <v>52</v>
      </c>
      <c r="D625" s="65" t="str">
        <f t="shared" si="29"/>
        <v>056_O_d</v>
      </c>
      <c r="E625">
        <v>141</v>
      </c>
      <c r="F625" t="s">
        <v>34</v>
      </c>
      <c r="G625" t="s">
        <v>748</v>
      </c>
      <c r="I625">
        <v>2.6041139240506301</v>
      </c>
      <c r="J625" s="82">
        <v>33</v>
      </c>
      <c r="K625" s="82">
        <v>30.7</v>
      </c>
      <c r="L625" s="84">
        <v>27.5</v>
      </c>
      <c r="M625" s="82">
        <v>29.9</v>
      </c>
      <c r="N625" s="82">
        <v>42.3</v>
      </c>
      <c r="O625" s="44">
        <f t="shared" si="31"/>
        <v>0.17007982383704928</v>
      </c>
      <c r="P625">
        <f t="shared" si="30"/>
        <v>32.679999999999993</v>
      </c>
      <c r="Q625" s="111">
        <v>0.314</v>
      </c>
      <c r="R625">
        <v>0.42199999999999999</v>
      </c>
      <c r="S625" s="65">
        <v>16</v>
      </c>
      <c r="T625">
        <v>3</v>
      </c>
      <c r="U625" t="s">
        <v>47</v>
      </c>
      <c r="V625" t="s">
        <v>32</v>
      </c>
    </row>
    <row r="626" spans="1:23" ht="16" x14ac:dyDescent="0.2">
      <c r="A626" s="1" t="s">
        <v>749</v>
      </c>
      <c r="B626" t="s">
        <v>33</v>
      </c>
      <c r="C626" t="s">
        <v>28</v>
      </c>
      <c r="D626" s="65" t="str">
        <f t="shared" si="29"/>
        <v>057_V_a</v>
      </c>
      <c r="E626">
        <v>5</v>
      </c>
      <c r="F626" t="s">
        <v>41</v>
      </c>
      <c r="G626" t="s">
        <v>750</v>
      </c>
      <c r="I626">
        <v>3.8718789848731099</v>
      </c>
      <c r="J626" s="84">
        <v>12.9</v>
      </c>
      <c r="K626" s="82">
        <v>46</v>
      </c>
      <c r="L626" s="82">
        <v>34.1</v>
      </c>
      <c r="M626" s="82">
        <v>37.299999999999997</v>
      </c>
      <c r="N626" s="82">
        <v>38</v>
      </c>
      <c r="O626" s="44">
        <f t="shared" si="31"/>
        <v>6.0576873880787847</v>
      </c>
      <c r="P626">
        <f t="shared" si="30"/>
        <v>33.660000000000004</v>
      </c>
      <c r="Q626" s="111">
        <v>0.25800000000000001</v>
      </c>
      <c r="R626">
        <v>0.438</v>
      </c>
      <c r="S626" s="65">
        <v>14</v>
      </c>
      <c r="T626">
        <v>21</v>
      </c>
      <c r="U626" t="s">
        <v>31</v>
      </c>
      <c r="V626" t="s">
        <v>32</v>
      </c>
    </row>
    <row r="627" spans="1:23" ht="16" x14ac:dyDescent="0.2">
      <c r="A627" s="5" t="s">
        <v>749</v>
      </c>
      <c r="B627" s="6" t="s">
        <v>27</v>
      </c>
      <c r="C627" s="6" t="s">
        <v>28</v>
      </c>
      <c r="D627" s="65" t="str">
        <f t="shared" si="29"/>
        <v>057_S_a</v>
      </c>
      <c r="E627">
        <v>17</v>
      </c>
      <c r="F627" t="s">
        <v>39</v>
      </c>
      <c r="G627" t="s">
        <v>751</v>
      </c>
      <c r="I627">
        <v>4.7055062036561202</v>
      </c>
      <c r="J627" s="84">
        <v>13.4</v>
      </c>
      <c r="K627" s="97">
        <v>33.9</v>
      </c>
      <c r="L627" s="82">
        <v>28.7</v>
      </c>
      <c r="M627" s="82">
        <v>38.9</v>
      </c>
      <c r="N627" s="82">
        <v>22.7</v>
      </c>
      <c r="O627" s="44">
        <f t="shared" si="31"/>
        <v>4.2375108790252236</v>
      </c>
      <c r="P627">
        <f t="shared" si="30"/>
        <v>27.52</v>
      </c>
      <c r="Q627" s="111">
        <v>0.42099999999999999</v>
      </c>
      <c r="R627">
        <v>0.501</v>
      </c>
      <c r="S627" s="65">
        <v>59</v>
      </c>
      <c r="T627">
        <v>36</v>
      </c>
      <c r="U627" t="s">
        <v>72</v>
      </c>
      <c r="V627" t="s">
        <v>32</v>
      </c>
    </row>
    <row r="628" spans="1:23" x14ac:dyDescent="0.2">
      <c r="A628" s="5" t="s">
        <v>749</v>
      </c>
      <c r="B628" s="6" t="s">
        <v>36</v>
      </c>
      <c r="C628" s="6" t="s">
        <v>28</v>
      </c>
      <c r="D628" s="65" t="str">
        <f t="shared" si="29"/>
        <v>057_O_a</v>
      </c>
      <c r="E628">
        <v>26</v>
      </c>
      <c r="F628" t="s">
        <v>41</v>
      </c>
      <c r="G628" t="s">
        <v>752</v>
      </c>
      <c r="I628">
        <v>4.4091083570958496</v>
      </c>
      <c r="J628" s="82">
        <v>2.2000000000000002</v>
      </c>
      <c r="K628" t="s">
        <v>57</v>
      </c>
      <c r="L628" s="82">
        <v>18.2</v>
      </c>
      <c r="M628" s="82">
        <v>3.6</v>
      </c>
      <c r="N628" s="82">
        <v>17.7</v>
      </c>
      <c r="O628" s="44">
        <f t="shared" si="31"/>
        <v>9.8149999999999942</v>
      </c>
      <c r="P628">
        <f t="shared" si="30"/>
        <v>10.425000000000001</v>
      </c>
      <c r="Q628" s="111">
        <v>0.187</v>
      </c>
      <c r="R628">
        <v>0.34599999999999997</v>
      </c>
      <c r="S628" s="65">
        <v>22</v>
      </c>
      <c r="T628">
        <v>24</v>
      </c>
      <c r="U628" t="s">
        <v>72</v>
      </c>
      <c r="V628" t="s">
        <v>32</v>
      </c>
    </row>
    <row r="629" spans="1:23" x14ac:dyDescent="0.2">
      <c r="A629" s="1" t="s">
        <v>749</v>
      </c>
      <c r="B629" t="s">
        <v>33</v>
      </c>
      <c r="C629" t="s">
        <v>38</v>
      </c>
      <c r="D629" s="65" t="str">
        <f t="shared" si="29"/>
        <v>057_V_b</v>
      </c>
      <c r="E629">
        <v>46</v>
      </c>
      <c r="F629" t="s">
        <v>68</v>
      </c>
      <c r="G629" t="s">
        <v>753</v>
      </c>
      <c r="I629">
        <v>1.8680017954269399</v>
      </c>
      <c r="J629" s="82">
        <v>37.299999999999997</v>
      </c>
      <c r="K629" s="82">
        <v>58.3</v>
      </c>
      <c r="L629" s="82">
        <v>38.200000000000003</v>
      </c>
      <c r="M629" s="82">
        <v>40.9</v>
      </c>
      <c r="N629" s="82">
        <v>46.7</v>
      </c>
      <c r="O629" s="44">
        <f t="shared" si="31"/>
        <v>2.2301659988551625</v>
      </c>
      <c r="P629">
        <f t="shared" si="30"/>
        <v>44.280000000000008</v>
      </c>
      <c r="Q629" s="111">
        <v>0.217</v>
      </c>
      <c r="R629">
        <v>0.32500000000000001</v>
      </c>
      <c r="S629" s="65">
        <v>5</v>
      </c>
      <c r="T629" s="43">
        <v>48</v>
      </c>
      <c r="U629" t="s">
        <v>31</v>
      </c>
      <c r="V629" t="s">
        <v>32</v>
      </c>
    </row>
    <row r="630" spans="1:23" x14ac:dyDescent="0.2">
      <c r="A630" s="5" t="s">
        <v>749</v>
      </c>
      <c r="B630" s="6" t="s">
        <v>27</v>
      </c>
      <c r="C630" s="6" t="s">
        <v>38</v>
      </c>
      <c r="D630" s="65" t="str">
        <f t="shared" si="29"/>
        <v>057_S_b</v>
      </c>
      <c r="E630">
        <v>70</v>
      </c>
      <c r="F630" t="s">
        <v>49</v>
      </c>
      <c r="G630" t="s">
        <v>754</v>
      </c>
      <c r="I630">
        <v>6.4627168769716103</v>
      </c>
      <c r="J630" s="82">
        <v>32.799999999999997</v>
      </c>
      <c r="K630" s="82">
        <v>35.5</v>
      </c>
      <c r="L630" s="82">
        <v>36.5</v>
      </c>
      <c r="M630" s="82">
        <v>38.299999999999997</v>
      </c>
      <c r="N630" s="82">
        <v>44.5</v>
      </c>
      <c r="O630" s="44">
        <f t="shared" si="31"/>
        <v>0.14747262986256698</v>
      </c>
      <c r="P630">
        <f t="shared" si="30"/>
        <v>37.519999999999996</v>
      </c>
      <c r="Q630" s="111">
        <v>0.495</v>
      </c>
      <c r="R630">
        <v>0.95499999999999996</v>
      </c>
      <c r="S630" s="65">
        <v>23</v>
      </c>
      <c r="T630">
        <v>20</v>
      </c>
      <c r="U630" t="s">
        <v>31</v>
      </c>
      <c r="V630" t="s">
        <v>32</v>
      </c>
    </row>
    <row r="631" spans="1:23" x14ac:dyDescent="0.2">
      <c r="A631" s="5" t="s">
        <v>749</v>
      </c>
      <c r="B631" s="6" t="s">
        <v>36</v>
      </c>
      <c r="C631" s="6" t="s">
        <v>38</v>
      </c>
      <c r="D631" s="65" t="str">
        <f t="shared" si="29"/>
        <v>057_O_b</v>
      </c>
      <c r="E631">
        <v>72</v>
      </c>
      <c r="F631" t="s">
        <v>41</v>
      </c>
      <c r="G631" t="s">
        <v>755</v>
      </c>
      <c r="I631">
        <v>0.41152982215057698</v>
      </c>
      <c r="J631" s="82">
        <v>3.3</v>
      </c>
      <c r="K631" s="82">
        <v>38.799999999999997</v>
      </c>
      <c r="L631" s="82">
        <v>35.1</v>
      </c>
      <c r="M631" s="82">
        <v>37</v>
      </c>
      <c r="N631" s="82">
        <v>38.700000000000003</v>
      </c>
      <c r="O631" s="44">
        <f t="shared" si="31"/>
        <v>10.005020431990671</v>
      </c>
      <c r="P631">
        <f t="shared" si="30"/>
        <v>30.579999999999995</v>
      </c>
      <c r="Q631" s="111">
        <v>0.14099999999999999</v>
      </c>
      <c r="R631">
        <v>0.28299999999999997</v>
      </c>
      <c r="S631" s="65">
        <v>6</v>
      </c>
      <c r="T631">
        <v>2</v>
      </c>
      <c r="U631" t="s">
        <v>31</v>
      </c>
      <c r="V631" t="s">
        <v>32</v>
      </c>
    </row>
    <row r="632" spans="1:23" x14ac:dyDescent="0.2">
      <c r="A632" s="5" t="s">
        <v>749</v>
      </c>
      <c r="B632" s="6" t="s">
        <v>27</v>
      </c>
      <c r="C632" s="6" t="s">
        <v>45</v>
      </c>
      <c r="D632" s="65" t="str">
        <f t="shared" si="29"/>
        <v>057_S_c</v>
      </c>
      <c r="E632">
        <v>81</v>
      </c>
      <c r="F632" t="s">
        <v>29</v>
      </c>
      <c r="G632" t="s">
        <v>756</v>
      </c>
      <c r="I632">
        <v>3.89670621292538</v>
      </c>
      <c r="J632" s="82">
        <v>48.4</v>
      </c>
      <c r="K632" s="82">
        <v>18.8</v>
      </c>
      <c r="L632" s="82">
        <v>2.7</v>
      </c>
      <c r="M632" s="82">
        <v>7.6</v>
      </c>
      <c r="N632" s="82">
        <v>46.8</v>
      </c>
      <c r="O632" s="44">
        <f t="shared" si="31"/>
        <v>21.668602150537637</v>
      </c>
      <c r="P632">
        <f t="shared" si="30"/>
        <v>24.86</v>
      </c>
      <c r="Q632" s="111">
        <v>0.376</v>
      </c>
      <c r="R632">
        <v>0.63100000000000001</v>
      </c>
      <c r="S632" s="65">
        <v>16</v>
      </c>
      <c r="T632">
        <v>75</v>
      </c>
      <c r="U632" t="s">
        <v>72</v>
      </c>
      <c r="V632" t="s">
        <v>32</v>
      </c>
    </row>
    <row r="633" spans="1:23" x14ac:dyDescent="0.2">
      <c r="A633" s="5" t="s">
        <v>749</v>
      </c>
      <c r="B633" s="6" t="s">
        <v>36</v>
      </c>
      <c r="C633" s="6" t="s">
        <v>45</v>
      </c>
      <c r="D633" s="65" t="str">
        <f t="shared" si="29"/>
        <v>057_O_c</v>
      </c>
      <c r="E633">
        <v>83</v>
      </c>
      <c r="F633" t="s">
        <v>82</v>
      </c>
      <c r="G633" t="s">
        <v>757</v>
      </c>
      <c r="I633">
        <v>0.39141704281220102</v>
      </c>
      <c r="J633" s="82">
        <v>32.9</v>
      </c>
      <c r="K633" s="82">
        <v>33</v>
      </c>
      <c r="L633" s="82">
        <v>5.4</v>
      </c>
      <c r="M633" s="82">
        <v>3.8</v>
      </c>
      <c r="N633" s="82">
        <v>18.8</v>
      </c>
      <c r="O633" s="44">
        <f t="shared" si="31"/>
        <v>14.29218819351974</v>
      </c>
      <c r="P633">
        <f t="shared" si="30"/>
        <v>18.78</v>
      </c>
      <c r="Q633" s="111">
        <v>0.14199999999999999</v>
      </c>
      <c r="R633">
        <v>0.308</v>
      </c>
      <c r="S633" s="65">
        <v>20</v>
      </c>
      <c r="T633">
        <v>25</v>
      </c>
      <c r="U633" t="s">
        <v>72</v>
      </c>
      <c r="V633" t="s">
        <v>32</v>
      </c>
    </row>
    <row r="634" spans="1:23" x14ac:dyDescent="0.2">
      <c r="A634" s="5" t="s">
        <v>749</v>
      </c>
      <c r="B634" s="6" t="s">
        <v>33</v>
      </c>
      <c r="C634" s="6" t="s">
        <v>45</v>
      </c>
      <c r="D634" s="65" t="str">
        <f t="shared" si="29"/>
        <v>057_V_c</v>
      </c>
      <c r="E634">
        <v>94</v>
      </c>
      <c r="F634" t="s">
        <v>49</v>
      </c>
      <c r="G634" t="s">
        <v>758</v>
      </c>
      <c r="I634">
        <v>5.7594274328859099</v>
      </c>
      <c r="J634" s="82">
        <v>36.9</v>
      </c>
      <c r="K634" s="82">
        <v>42.2</v>
      </c>
      <c r="L634" s="82">
        <v>42.6</v>
      </c>
      <c r="M634">
        <v>41.3</v>
      </c>
      <c r="N634" s="82">
        <v>38.5</v>
      </c>
      <c r="O634" s="44">
        <f t="shared" si="31"/>
        <v>0.16891615541922309</v>
      </c>
      <c r="P634">
        <f t="shared" si="30"/>
        <v>40.299999999999997</v>
      </c>
      <c r="Q634" s="111">
        <v>0.22500000000000001</v>
      </c>
      <c r="R634">
        <v>0.59399999999999997</v>
      </c>
      <c r="S634" s="65">
        <v>32</v>
      </c>
      <c r="T634">
        <v>19</v>
      </c>
      <c r="U634" t="s">
        <v>51</v>
      </c>
      <c r="V634" t="s">
        <v>32</v>
      </c>
    </row>
    <row r="635" spans="1:23" x14ac:dyDescent="0.2">
      <c r="A635" s="5" t="s">
        <v>749</v>
      </c>
      <c r="B635" s="6" t="s">
        <v>33</v>
      </c>
      <c r="C635" s="6" t="s">
        <v>52</v>
      </c>
      <c r="D635" s="65" t="str">
        <f t="shared" si="29"/>
        <v>057_V_d</v>
      </c>
      <c r="E635">
        <v>110</v>
      </c>
      <c r="F635" t="s">
        <v>63</v>
      </c>
      <c r="G635" t="s">
        <v>759</v>
      </c>
      <c r="I635">
        <v>2.6501982231562899</v>
      </c>
      <c r="J635" s="82">
        <v>41.6</v>
      </c>
      <c r="K635" s="82">
        <v>42.3</v>
      </c>
      <c r="L635" s="82">
        <v>68.3</v>
      </c>
      <c r="M635">
        <v>46.5</v>
      </c>
      <c r="N635" s="82">
        <v>25.9</v>
      </c>
      <c r="O635" s="44">
        <f t="shared" si="31"/>
        <v>3.1979030364032948</v>
      </c>
      <c r="P635">
        <f t="shared" si="30"/>
        <v>44.92</v>
      </c>
      <c r="Q635" s="111">
        <v>0.26500000000000001</v>
      </c>
      <c r="R635">
        <v>0.39200000000000002</v>
      </c>
      <c r="S635" s="65">
        <v>25</v>
      </c>
      <c r="T635">
        <v>5</v>
      </c>
      <c r="U635" t="s">
        <v>54</v>
      </c>
      <c r="V635" t="s">
        <v>32</v>
      </c>
    </row>
    <row r="636" spans="1:23" ht="16" x14ac:dyDescent="0.2">
      <c r="A636" s="5" t="s">
        <v>749</v>
      </c>
      <c r="B636" s="6" t="s">
        <v>36</v>
      </c>
      <c r="C636" s="6" t="s">
        <v>52</v>
      </c>
      <c r="D636" s="65" t="str">
        <f t="shared" si="29"/>
        <v>057_O_d</v>
      </c>
      <c r="E636">
        <v>136</v>
      </c>
      <c r="F636" t="s">
        <v>43</v>
      </c>
      <c r="G636" t="s">
        <v>760</v>
      </c>
      <c r="I636">
        <v>5.3691347299443999</v>
      </c>
      <c r="J636" s="82">
        <v>20.8</v>
      </c>
      <c r="K636" s="82">
        <v>37.200000000000003</v>
      </c>
      <c r="L636" s="84">
        <v>56.6</v>
      </c>
      <c r="M636" s="82">
        <v>46.4</v>
      </c>
      <c r="N636" s="82">
        <v>49.1</v>
      </c>
      <c r="O636" s="44">
        <f t="shared" si="31"/>
        <v>5.737060041407867</v>
      </c>
      <c r="P636">
        <f t="shared" si="30"/>
        <v>42.019999999999996</v>
      </c>
      <c r="Q636" s="111">
        <v>0.2</v>
      </c>
      <c r="R636">
        <v>0.32300000000000001</v>
      </c>
      <c r="S636" s="65">
        <v>12</v>
      </c>
      <c r="T636">
        <v>4</v>
      </c>
      <c r="U636" t="s">
        <v>72</v>
      </c>
      <c r="V636" t="s">
        <v>32</v>
      </c>
    </row>
    <row r="637" spans="1:23" ht="16" x14ac:dyDescent="0.2">
      <c r="A637" s="5" t="s">
        <v>749</v>
      </c>
      <c r="B637" s="6" t="s">
        <v>27</v>
      </c>
      <c r="C637" s="6" t="s">
        <v>52</v>
      </c>
      <c r="D637" s="65" t="str">
        <f t="shared" si="29"/>
        <v>057_S_d</v>
      </c>
      <c r="E637">
        <v>138</v>
      </c>
      <c r="F637" t="s">
        <v>49</v>
      </c>
      <c r="G637" t="s">
        <v>761</v>
      </c>
      <c r="H637" t="s">
        <v>56</v>
      </c>
      <c r="I637">
        <v>0</v>
      </c>
      <c r="J637" s="81"/>
      <c r="K637" s="82">
        <v>1</v>
      </c>
      <c r="L637" s="84">
        <v>1</v>
      </c>
      <c r="M637" s="82">
        <v>1</v>
      </c>
      <c r="N637" s="82">
        <v>0.9</v>
      </c>
      <c r="O637" s="44">
        <f t="shared" si="31"/>
        <v>0</v>
      </c>
      <c r="P637">
        <f t="shared" si="30"/>
        <v>0.97499999999999998</v>
      </c>
      <c r="Q637" s="111" t="s">
        <v>57</v>
      </c>
      <c r="R637" t="s">
        <v>57</v>
      </c>
      <c r="S637" s="65" t="s">
        <v>57</v>
      </c>
      <c r="T637" t="s">
        <v>57</v>
      </c>
      <c r="V637" t="s">
        <v>32</v>
      </c>
      <c r="W637" t="s">
        <v>67</v>
      </c>
    </row>
    <row r="638" spans="1:23" ht="16" x14ac:dyDescent="0.2">
      <c r="A638" s="1" t="s">
        <v>762</v>
      </c>
      <c r="B638" t="s">
        <v>33</v>
      </c>
      <c r="C638" t="s">
        <v>28</v>
      </c>
      <c r="D638" s="65" t="str">
        <f t="shared" si="29"/>
        <v>058_V_a</v>
      </c>
      <c r="E638">
        <v>20</v>
      </c>
      <c r="F638" t="s">
        <v>41</v>
      </c>
      <c r="G638" t="s">
        <v>763</v>
      </c>
      <c r="I638">
        <v>3.90773593406302</v>
      </c>
      <c r="J638" s="84">
        <v>6.8</v>
      </c>
      <c r="K638" s="82">
        <v>29.1</v>
      </c>
      <c r="L638" s="82">
        <v>14.5</v>
      </c>
      <c r="M638" s="82">
        <v>34.6</v>
      </c>
      <c r="N638" s="82">
        <v>32.4</v>
      </c>
      <c r="O638" s="44">
        <f t="shared" si="31"/>
        <v>7.7523137254901968</v>
      </c>
      <c r="P638">
        <f t="shared" si="30"/>
        <v>23.48</v>
      </c>
      <c r="Q638" s="111">
        <v>0.154</v>
      </c>
      <c r="R638">
        <v>0.41899999999999998</v>
      </c>
      <c r="S638" s="65">
        <v>5</v>
      </c>
      <c r="T638">
        <v>11</v>
      </c>
      <c r="V638" t="s">
        <v>32</v>
      </c>
    </row>
    <row r="639" spans="1:23" x14ac:dyDescent="0.2">
      <c r="A639" s="5" t="s">
        <v>762</v>
      </c>
      <c r="B639" s="6" t="s">
        <v>27</v>
      </c>
      <c r="C639" s="6" t="s">
        <v>28</v>
      </c>
      <c r="D639" s="65" t="str">
        <f t="shared" si="29"/>
        <v>058_S_a</v>
      </c>
      <c r="E639">
        <v>31</v>
      </c>
      <c r="F639" t="s">
        <v>49</v>
      </c>
      <c r="G639" t="s">
        <v>764</v>
      </c>
      <c r="I639">
        <v>2.7689665636724801</v>
      </c>
      <c r="J639" s="82">
        <v>27.3</v>
      </c>
      <c r="K639" s="82">
        <v>39.6</v>
      </c>
      <c r="L639" s="82">
        <v>44.1</v>
      </c>
      <c r="M639" s="82">
        <v>26</v>
      </c>
      <c r="N639" s="82">
        <v>30.2</v>
      </c>
      <c r="O639" s="44">
        <f t="shared" si="31"/>
        <v>2.3553284671532868</v>
      </c>
      <c r="P639">
        <f t="shared" si="30"/>
        <v>33.44</v>
      </c>
      <c r="Q639" s="111">
        <v>0.28299999999999997</v>
      </c>
      <c r="R639">
        <v>0.36799999999999999</v>
      </c>
      <c r="S639" s="65">
        <v>14</v>
      </c>
      <c r="T639">
        <v>8</v>
      </c>
      <c r="U639" t="s">
        <v>31</v>
      </c>
      <c r="V639" t="s">
        <v>32</v>
      </c>
    </row>
    <row r="640" spans="1:23" x14ac:dyDescent="0.2">
      <c r="A640" s="5" t="s">
        <v>762</v>
      </c>
      <c r="B640" s="6" t="s">
        <v>36</v>
      </c>
      <c r="C640" s="6" t="s">
        <v>28</v>
      </c>
      <c r="D640" s="65" t="str">
        <f t="shared" si="29"/>
        <v>058_O_a</v>
      </c>
      <c r="E640">
        <v>31</v>
      </c>
      <c r="F640" t="s">
        <v>82</v>
      </c>
      <c r="G640" t="s">
        <v>765</v>
      </c>
      <c r="I640">
        <v>5.6500937982785304</v>
      </c>
      <c r="J640" s="82">
        <v>36.1</v>
      </c>
      <c r="K640" s="82">
        <v>36.9</v>
      </c>
      <c r="L640" s="82">
        <v>30.9</v>
      </c>
      <c r="M640" s="82">
        <v>32.799999999999997</v>
      </c>
      <c r="N640" s="82">
        <v>29.9</v>
      </c>
      <c r="O640" s="44">
        <f t="shared" si="31"/>
        <v>0.23162643257742033</v>
      </c>
      <c r="P640">
        <f t="shared" si="30"/>
        <v>33.32</v>
      </c>
      <c r="Q640" s="111">
        <v>0.4</v>
      </c>
      <c r="R640">
        <v>0.57899999999999996</v>
      </c>
      <c r="S640" s="65">
        <v>16</v>
      </c>
      <c r="T640">
        <v>32</v>
      </c>
      <c r="U640" t="s">
        <v>31</v>
      </c>
      <c r="V640" t="s">
        <v>32</v>
      </c>
    </row>
    <row r="641" spans="1:23" x14ac:dyDescent="0.2">
      <c r="A641" s="1" t="s">
        <v>762</v>
      </c>
      <c r="B641" t="s">
        <v>33</v>
      </c>
      <c r="C641" t="s">
        <v>38</v>
      </c>
      <c r="D641" s="65" t="str">
        <f t="shared" si="29"/>
        <v>058_V_b</v>
      </c>
      <c r="E641">
        <v>42</v>
      </c>
      <c r="F641" t="s">
        <v>70</v>
      </c>
      <c r="G641" t="s">
        <v>766</v>
      </c>
      <c r="I641">
        <v>3.1330411720131299</v>
      </c>
      <c r="J641" s="82">
        <v>4.2</v>
      </c>
      <c r="K641" s="82">
        <v>39</v>
      </c>
      <c r="L641" s="82">
        <v>5.2</v>
      </c>
      <c r="M641" s="82">
        <v>27.2</v>
      </c>
      <c r="N641" s="82">
        <v>40.9</v>
      </c>
      <c r="O641" s="44">
        <f t="shared" si="31"/>
        <v>15.461728395061719</v>
      </c>
      <c r="P641">
        <f t="shared" si="30"/>
        <v>23.3</v>
      </c>
      <c r="Q641" s="111">
        <v>0.27700000000000002</v>
      </c>
      <c r="R641">
        <v>0.53700000000000003</v>
      </c>
      <c r="S641" s="65">
        <v>10</v>
      </c>
      <c r="T641">
        <v>20</v>
      </c>
      <c r="U641" t="s">
        <v>31</v>
      </c>
      <c r="V641" t="s">
        <v>32</v>
      </c>
    </row>
    <row r="642" spans="1:23" x14ac:dyDescent="0.2">
      <c r="A642" s="5" t="s">
        <v>762</v>
      </c>
      <c r="B642" s="6" t="s">
        <v>36</v>
      </c>
      <c r="C642" s="6" t="s">
        <v>38</v>
      </c>
      <c r="D642" s="65" t="str">
        <f t="shared" ref="D642:D705" si="32">A642&amp;"_"&amp;B642&amp;"_"&amp;C642</f>
        <v>058_O_b</v>
      </c>
      <c r="E642">
        <v>53</v>
      </c>
      <c r="F642" t="s">
        <v>34</v>
      </c>
      <c r="G642" t="s">
        <v>767</v>
      </c>
      <c r="I642">
        <v>2.7369230769230799</v>
      </c>
      <c r="J642" s="82">
        <v>31.8</v>
      </c>
      <c r="K642" s="82">
        <v>30.9</v>
      </c>
      <c r="L642" s="82">
        <v>44.6</v>
      </c>
      <c r="M642" s="82">
        <v>41.4</v>
      </c>
      <c r="N642" s="82">
        <v>45.8</v>
      </c>
      <c r="O642" s="44">
        <f t="shared" si="31"/>
        <v>1.2665097511768533</v>
      </c>
      <c r="P642">
        <f t="shared" ref="P642:P705" si="33">AVERAGE(J642:N642)</f>
        <v>38.9</v>
      </c>
      <c r="Q642" s="111">
        <v>0.3</v>
      </c>
      <c r="R642">
        <v>0.35499999999999998</v>
      </c>
      <c r="S642" s="65">
        <v>13</v>
      </c>
      <c r="T642">
        <v>4</v>
      </c>
      <c r="U642" t="s">
        <v>31</v>
      </c>
      <c r="V642" t="s">
        <v>32</v>
      </c>
    </row>
    <row r="643" spans="1:23" x14ac:dyDescent="0.2">
      <c r="A643" s="5" t="s">
        <v>762</v>
      </c>
      <c r="B643" s="6" t="s">
        <v>27</v>
      </c>
      <c r="C643" s="6" t="s">
        <v>38</v>
      </c>
      <c r="D643" s="65" t="str">
        <f t="shared" si="32"/>
        <v>058_S_b</v>
      </c>
      <c r="E643">
        <v>59</v>
      </c>
      <c r="F643" t="s">
        <v>29</v>
      </c>
      <c r="G643" t="s">
        <v>768</v>
      </c>
      <c r="I643">
        <v>2.1971785175979099</v>
      </c>
      <c r="J643" s="82">
        <v>29</v>
      </c>
      <c r="K643" s="82">
        <v>11.4</v>
      </c>
      <c r="L643" s="82">
        <v>30.3</v>
      </c>
      <c r="M643" s="82">
        <v>18.3</v>
      </c>
      <c r="N643" s="82">
        <v>36.299999999999997</v>
      </c>
      <c r="O643" s="44">
        <f t="shared" si="31"/>
        <v>3.6507865168539335</v>
      </c>
      <c r="P643">
        <f t="shared" si="33"/>
        <v>25.06</v>
      </c>
      <c r="Q643" s="111">
        <v>0.106</v>
      </c>
      <c r="R643">
        <v>0.28499999999999998</v>
      </c>
      <c r="S643" s="65">
        <v>6</v>
      </c>
      <c r="T643">
        <v>15</v>
      </c>
      <c r="U643" t="s">
        <v>31</v>
      </c>
      <c r="V643" t="s">
        <v>32</v>
      </c>
    </row>
    <row r="644" spans="1:23" x14ac:dyDescent="0.2">
      <c r="A644" s="5" t="s">
        <v>762</v>
      </c>
      <c r="B644" s="6" t="s">
        <v>36</v>
      </c>
      <c r="C644" s="6" t="s">
        <v>45</v>
      </c>
      <c r="D644" s="65" t="str">
        <f t="shared" si="32"/>
        <v>058_O_c</v>
      </c>
      <c r="E644">
        <v>92</v>
      </c>
      <c r="F644" t="s">
        <v>49</v>
      </c>
      <c r="G644" t="s">
        <v>769</v>
      </c>
      <c r="I644">
        <v>3.55205438739877</v>
      </c>
      <c r="J644" s="82">
        <v>51.1</v>
      </c>
      <c r="K644" s="82">
        <v>45.5</v>
      </c>
      <c r="L644" s="82">
        <v>43.6</v>
      </c>
      <c r="M644">
        <v>25.1</v>
      </c>
      <c r="N644" s="82">
        <v>46.6</v>
      </c>
      <c r="O644" s="44">
        <f t="shared" si="31"/>
        <v>3.0764871949990087</v>
      </c>
      <c r="P644">
        <f t="shared" si="33"/>
        <v>42.379999999999995</v>
      </c>
      <c r="Q644" s="111">
        <v>0.38200000000000001</v>
      </c>
      <c r="R644">
        <v>0.497</v>
      </c>
      <c r="S644" s="65">
        <v>10</v>
      </c>
      <c r="T644">
        <v>46</v>
      </c>
      <c r="U644" t="s">
        <v>54</v>
      </c>
      <c r="V644" t="s">
        <v>32</v>
      </c>
    </row>
    <row r="645" spans="1:23" x14ac:dyDescent="0.2">
      <c r="A645" s="5" t="s">
        <v>762</v>
      </c>
      <c r="B645" s="6" t="s">
        <v>27</v>
      </c>
      <c r="C645" s="6" t="s">
        <v>45</v>
      </c>
      <c r="D645" s="65" t="str">
        <f t="shared" si="32"/>
        <v>058_S_c</v>
      </c>
      <c r="E645">
        <v>93</v>
      </c>
      <c r="F645" t="s">
        <v>49</v>
      </c>
      <c r="G645" t="s">
        <v>770</v>
      </c>
      <c r="I645">
        <v>5.8264558084540301</v>
      </c>
      <c r="J645" s="82">
        <v>41.6</v>
      </c>
      <c r="K645" s="82">
        <v>46.7</v>
      </c>
      <c r="L645" s="82">
        <v>43.5</v>
      </c>
      <c r="M645">
        <v>42.5</v>
      </c>
      <c r="N645" s="82">
        <v>23.8</v>
      </c>
      <c r="O645" s="44">
        <f t="shared" si="31"/>
        <v>0.11342512908777976</v>
      </c>
      <c r="P645">
        <f t="shared" si="33"/>
        <v>39.620000000000005</v>
      </c>
      <c r="Q645" s="111">
        <v>0.47899999999999998</v>
      </c>
      <c r="R645">
        <v>0.68100000000000005</v>
      </c>
      <c r="S645" s="65">
        <v>13</v>
      </c>
      <c r="T645">
        <v>25</v>
      </c>
      <c r="U645" t="s">
        <v>31</v>
      </c>
      <c r="V645" t="s">
        <v>32</v>
      </c>
    </row>
    <row r="646" spans="1:23" x14ac:dyDescent="0.2">
      <c r="A646" s="5" t="s">
        <v>762</v>
      </c>
      <c r="B646" s="6" t="s">
        <v>33</v>
      </c>
      <c r="C646" s="6" t="s">
        <v>45</v>
      </c>
      <c r="D646" s="65" t="str">
        <f t="shared" si="32"/>
        <v>058_V_c</v>
      </c>
      <c r="E646">
        <v>107</v>
      </c>
      <c r="F646" t="s">
        <v>82</v>
      </c>
      <c r="G646" t="s">
        <v>771</v>
      </c>
      <c r="I646">
        <v>4.5204580602400801</v>
      </c>
      <c r="J646" s="82">
        <v>15.7</v>
      </c>
      <c r="K646" s="82">
        <v>5.4</v>
      </c>
      <c r="L646" s="82">
        <v>28.6</v>
      </c>
      <c r="M646">
        <v>6.7</v>
      </c>
      <c r="N646" s="82">
        <v>30.3</v>
      </c>
      <c r="O646" s="44">
        <f t="shared" si="31"/>
        <v>8.1148936170212771</v>
      </c>
      <c r="P646">
        <f t="shared" si="33"/>
        <v>17.34</v>
      </c>
      <c r="Q646" s="111">
        <v>0.39100000000000001</v>
      </c>
      <c r="R646">
        <v>0.58699999999999997</v>
      </c>
      <c r="S646" s="65">
        <v>23</v>
      </c>
      <c r="T646">
        <v>35</v>
      </c>
      <c r="U646" t="s">
        <v>72</v>
      </c>
      <c r="V646" t="s">
        <v>32</v>
      </c>
    </row>
    <row r="647" spans="1:23" x14ac:dyDescent="0.2">
      <c r="A647" s="5" t="s">
        <v>762</v>
      </c>
      <c r="B647" s="6" t="s">
        <v>27</v>
      </c>
      <c r="C647" s="6" t="s">
        <v>52</v>
      </c>
      <c r="D647" s="65" t="str">
        <f t="shared" si="32"/>
        <v>058_S_d</v>
      </c>
      <c r="E647">
        <v>113</v>
      </c>
      <c r="F647" t="s">
        <v>68</v>
      </c>
      <c r="G647" t="s">
        <v>772</v>
      </c>
      <c r="H647" t="s">
        <v>56</v>
      </c>
      <c r="I647">
        <v>0</v>
      </c>
      <c r="J647" s="82">
        <v>1</v>
      </c>
      <c r="K647" s="82">
        <v>1</v>
      </c>
      <c r="L647" s="82">
        <v>1</v>
      </c>
      <c r="M647">
        <v>1</v>
      </c>
      <c r="N647" s="82">
        <v>1</v>
      </c>
      <c r="O647" s="44">
        <f t="shared" si="31"/>
        <v>0</v>
      </c>
      <c r="P647">
        <f t="shared" si="33"/>
        <v>1</v>
      </c>
      <c r="Q647" s="111" t="s">
        <v>57</v>
      </c>
      <c r="R647" t="s">
        <v>57</v>
      </c>
      <c r="S647" s="65" t="s">
        <v>57</v>
      </c>
      <c r="T647" t="s">
        <v>57</v>
      </c>
      <c r="V647" t="s">
        <v>32</v>
      </c>
      <c r="W647" t="s">
        <v>67</v>
      </c>
    </row>
    <row r="648" spans="1:23" ht="16" x14ac:dyDescent="0.2">
      <c r="A648" s="5" t="s">
        <v>762</v>
      </c>
      <c r="B648" s="6" t="s">
        <v>33</v>
      </c>
      <c r="C648" s="6" t="s">
        <v>52</v>
      </c>
      <c r="D648" s="65" t="str">
        <f t="shared" si="32"/>
        <v>058_V_d</v>
      </c>
      <c r="E648">
        <v>133</v>
      </c>
      <c r="F648" t="s">
        <v>63</v>
      </c>
      <c r="G648" t="s">
        <v>773</v>
      </c>
      <c r="I648">
        <v>1.0349524815205899</v>
      </c>
      <c r="J648" s="82">
        <v>34.5</v>
      </c>
      <c r="K648" s="82">
        <v>36.4</v>
      </c>
      <c r="L648" s="84">
        <v>19.2</v>
      </c>
      <c r="M648" s="82">
        <v>25.5</v>
      </c>
      <c r="N648" s="82">
        <v>25.6</v>
      </c>
      <c r="O648" s="44">
        <f t="shared" si="31"/>
        <v>2.2290657439446289</v>
      </c>
      <c r="P648">
        <f t="shared" si="33"/>
        <v>28.240000000000002</v>
      </c>
      <c r="Q648" s="111">
        <v>0.16800000000000001</v>
      </c>
      <c r="R648">
        <v>0.21</v>
      </c>
      <c r="S648" s="65">
        <v>13</v>
      </c>
      <c r="T648">
        <v>15</v>
      </c>
      <c r="U648" t="s">
        <v>51</v>
      </c>
      <c r="V648" t="s">
        <v>32</v>
      </c>
    </row>
    <row r="649" spans="1:23" ht="16" x14ac:dyDescent="0.2">
      <c r="A649" s="5" t="s">
        <v>762</v>
      </c>
      <c r="B649" s="6" t="s">
        <v>36</v>
      </c>
      <c r="C649" s="6" t="s">
        <v>52</v>
      </c>
      <c r="D649" s="65" t="str">
        <f t="shared" si="32"/>
        <v>058_O_d</v>
      </c>
      <c r="E649">
        <v>134</v>
      </c>
      <c r="F649" t="s">
        <v>34</v>
      </c>
      <c r="G649" t="s">
        <v>774</v>
      </c>
      <c r="I649">
        <v>4.2400681100698501</v>
      </c>
      <c r="J649" s="82">
        <v>47.2</v>
      </c>
      <c r="K649" s="82">
        <v>47.5</v>
      </c>
      <c r="L649" s="84">
        <v>42.7</v>
      </c>
      <c r="M649" s="82">
        <v>46.5</v>
      </c>
      <c r="N649" s="82">
        <v>26.1</v>
      </c>
      <c r="O649" s="44">
        <f t="shared" si="31"/>
        <v>0.10750407830342568</v>
      </c>
      <c r="P649">
        <f t="shared" si="33"/>
        <v>42</v>
      </c>
      <c r="Q649" s="111">
        <v>0.38100000000000001</v>
      </c>
      <c r="R649">
        <v>0.44</v>
      </c>
      <c r="S649" s="65">
        <v>11</v>
      </c>
      <c r="T649">
        <v>38</v>
      </c>
      <c r="U649" t="s">
        <v>54</v>
      </c>
      <c r="V649" t="s">
        <v>32</v>
      </c>
    </row>
    <row r="650" spans="1:23" ht="16" x14ac:dyDescent="0.2">
      <c r="A650" s="5" t="s">
        <v>775</v>
      </c>
      <c r="B650" s="6" t="s">
        <v>27</v>
      </c>
      <c r="C650" s="6" t="s">
        <v>28</v>
      </c>
      <c r="D650" s="65" t="str">
        <f t="shared" si="32"/>
        <v>059_S_a</v>
      </c>
      <c r="E650">
        <v>7</v>
      </c>
      <c r="F650" t="s">
        <v>41</v>
      </c>
      <c r="G650" t="s">
        <v>776</v>
      </c>
      <c r="I650">
        <v>2.8232540423649701</v>
      </c>
      <c r="J650" s="84">
        <v>4.0999999999999996</v>
      </c>
      <c r="K650" s="82">
        <v>4.3</v>
      </c>
      <c r="L650" s="82">
        <v>22.1</v>
      </c>
      <c r="M650" s="82">
        <v>5</v>
      </c>
      <c r="N650" s="82">
        <v>39.9</v>
      </c>
      <c r="O650" s="44">
        <f t="shared" si="31"/>
        <v>8.7754929577464793</v>
      </c>
      <c r="P650">
        <f t="shared" si="33"/>
        <v>15.080000000000002</v>
      </c>
      <c r="Q650" s="111">
        <v>0.113</v>
      </c>
      <c r="R650">
        <v>0.28000000000000003</v>
      </c>
      <c r="S650" s="65">
        <v>15</v>
      </c>
      <c r="T650">
        <v>27</v>
      </c>
      <c r="U650" t="s">
        <v>31</v>
      </c>
      <c r="V650" t="s">
        <v>32</v>
      </c>
    </row>
    <row r="651" spans="1:23" ht="16" x14ac:dyDescent="0.2">
      <c r="A651" s="1" t="s">
        <v>775</v>
      </c>
      <c r="B651" t="s">
        <v>33</v>
      </c>
      <c r="C651" t="s">
        <v>28</v>
      </c>
      <c r="D651" s="65" t="str">
        <f t="shared" si="32"/>
        <v>059_V_a</v>
      </c>
      <c r="E651">
        <v>15</v>
      </c>
      <c r="F651" t="s">
        <v>82</v>
      </c>
      <c r="G651" t="s">
        <v>777</v>
      </c>
      <c r="I651">
        <v>1.64080222976248</v>
      </c>
      <c r="J651" s="84">
        <v>4.0999999999999996</v>
      </c>
      <c r="K651" s="82">
        <v>24.6</v>
      </c>
      <c r="L651" s="82">
        <v>35.6</v>
      </c>
      <c r="M651" s="82">
        <v>23.1</v>
      </c>
      <c r="N651" s="82">
        <v>25.6</v>
      </c>
      <c r="O651" s="44">
        <f t="shared" si="31"/>
        <v>7.8299008390541536</v>
      </c>
      <c r="P651">
        <f t="shared" si="33"/>
        <v>22.6</v>
      </c>
      <c r="Q651" s="111">
        <v>0.17499999999999999</v>
      </c>
      <c r="R651" s="47">
        <v>0.40600000000000003</v>
      </c>
      <c r="S651" s="65">
        <v>13</v>
      </c>
      <c r="T651">
        <v>12</v>
      </c>
      <c r="U651" t="s">
        <v>31</v>
      </c>
      <c r="V651" t="s">
        <v>32</v>
      </c>
    </row>
    <row r="652" spans="1:23" ht="16" x14ac:dyDescent="0.2">
      <c r="A652" s="5" t="s">
        <v>775</v>
      </c>
      <c r="B652" s="6" t="s">
        <v>36</v>
      </c>
      <c r="C652" s="6" t="s">
        <v>28</v>
      </c>
      <c r="D652" s="65" t="str">
        <f t="shared" si="32"/>
        <v>059_O_a</v>
      </c>
      <c r="E652">
        <v>16</v>
      </c>
      <c r="F652" t="s">
        <v>29</v>
      </c>
      <c r="G652" t="s">
        <v>778</v>
      </c>
      <c r="I652">
        <v>3.6759154444335098</v>
      </c>
      <c r="J652" s="84">
        <v>40.799999999999997</v>
      </c>
      <c r="K652" s="82">
        <v>37.9</v>
      </c>
      <c r="L652" s="82">
        <v>39.9</v>
      </c>
      <c r="M652" s="82">
        <v>41.3</v>
      </c>
      <c r="N652" s="82">
        <v>47.9</v>
      </c>
      <c r="O652" s="44">
        <f t="shared" si="31"/>
        <v>5.6264331874087921E-2</v>
      </c>
      <c r="P652">
        <f t="shared" si="33"/>
        <v>41.559999999999995</v>
      </c>
      <c r="Q652" s="111">
        <v>0.32</v>
      </c>
      <c r="R652">
        <v>0.29199999999999998</v>
      </c>
      <c r="S652" s="65">
        <v>10</v>
      </c>
      <c r="T652">
        <v>26</v>
      </c>
      <c r="U652" t="s">
        <v>47</v>
      </c>
      <c r="V652" t="s">
        <v>32</v>
      </c>
    </row>
    <row r="653" spans="1:23" x14ac:dyDescent="0.2">
      <c r="A653" s="5" t="s">
        <v>775</v>
      </c>
      <c r="B653" s="6" t="s">
        <v>27</v>
      </c>
      <c r="C653" s="6" t="s">
        <v>38</v>
      </c>
      <c r="D653" s="65" t="str">
        <f t="shared" si="32"/>
        <v>059_S_b</v>
      </c>
      <c r="E653">
        <v>50</v>
      </c>
      <c r="F653" t="s">
        <v>70</v>
      </c>
      <c r="G653" t="s">
        <v>779</v>
      </c>
      <c r="I653">
        <v>3.2324335690067501</v>
      </c>
      <c r="J653" s="82">
        <v>7.8</v>
      </c>
      <c r="K653" s="82">
        <v>46.6</v>
      </c>
      <c r="L653" s="82">
        <v>15</v>
      </c>
      <c r="M653" s="82">
        <v>34.299999999999997</v>
      </c>
      <c r="N653" s="82">
        <v>43.4</v>
      </c>
      <c r="O653" s="44">
        <f t="shared" si="31"/>
        <v>12.156444873031177</v>
      </c>
      <c r="P653">
        <f t="shared" si="33"/>
        <v>29.419999999999998</v>
      </c>
      <c r="Q653" s="111">
        <v>0.316</v>
      </c>
      <c r="R653">
        <v>0.498</v>
      </c>
      <c r="S653" s="65">
        <v>14</v>
      </c>
      <c r="T653">
        <v>32</v>
      </c>
      <c r="U653" t="s">
        <v>31</v>
      </c>
      <c r="V653" t="s">
        <v>32</v>
      </c>
    </row>
    <row r="654" spans="1:23" x14ac:dyDescent="0.2">
      <c r="A654" s="5" t="s">
        <v>775</v>
      </c>
      <c r="B654" s="6" t="s">
        <v>36</v>
      </c>
      <c r="C654" s="6" t="s">
        <v>38</v>
      </c>
      <c r="D654" s="65" t="str">
        <f t="shared" si="32"/>
        <v>059_O_b</v>
      </c>
      <c r="E654">
        <v>67</v>
      </c>
      <c r="F654" t="s">
        <v>39</v>
      </c>
      <c r="G654" t="s">
        <v>780</v>
      </c>
      <c r="I654">
        <v>1.67767179035226</v>
      </c>
      <c r="J654" s="82">
        <v>21.3</v>
      </c>
      <c r="K654" s="82">
        <v>21.9</v>
      </c>
      <c r="L654" t="s">
        <v>57</v>
      </c>
      <c r="M654" s="82">
        <v>2.2999999999999998</v>
      </c>
      <c r="N654" s="82">
        <v>26.2</v>
      </c>
      <c r="O654" s="44">
        <f t="shared" si="31"/>
        <v>8.1925274725274697</v>
      </c>
      <c r="P654">
        <f t="shared" si="33"/>
        <v>17.925000000000001</v>
      </c>
      <c r="Q654" s="111">
        <v>8.7999999999999995E-2</v>
      </c>
      <c r="R654">
        <v>0.17100000000000001</v>
      </c>
      <c r="S654" s="65">
        <v>5</v>
      </c>
      <c r="T654">
        <v>4</v>
      </c>
      <c r="U654" t="s">
        <v>31</v>
      </c>
      <c r="V654" t="s">
        <v>32</v>
      </c>
    </row>
    <row r="655" spans="1:23" x14ac:dyDescent="0.2">
      <c r="A655" s="1" t="s">
        <v>775</v>
      </c>
      <c r="B655" t="s">
        <v>33</v>
      </c>
      <c r="C655" t="s">
        <v>38</v>
      </c>
      <c r="D655" s="65" t="str">
        <f t="shared" si="32"/>
        <v>059_V_b</v>
      </c>
      <c r="E655">
        <v>71</v>
      </c>
      <c r="F655" t="s">
        <v>41</v>
      </c>
      <c r="G655" t="s">
        <v>781</v>
      </c>
      <c r="I655">
        <v>2.8158423337034399</v>
      </c>
      <c r="J655" s="82">
        <v>43.7</v>
      </c>
      <c r="K655" s="82">
        <v>17.100000000000001</v>
      </c>
      <c r="L655" s="82">
        <v>25.8</v>
      </c>
      <c r="M655" s="82">
        <v>32.6</v>
      </c>
      <c r="N655" s="82">
        <v>50.4</v>
      </c>
      <c r="O655" s="44">
        <f t="shared" si="31"/>
        <v>4.2319910514541244</v>
      </c>
      <c r="P655">
        <f t="shared" si="33"/>
        <v>33.92</v>
      </c>
      <c r="Q655" s="111">
        <v>0.254</v>
      </c>
      <c r="R655">
        <v>0.48599999999999999</v>
      </c>
      <c r="S655" s="65">
        <v>16</v>
      </c>
      <c r="T655">
        <v>59</v>
      </c>
      <c r="U655" t="s">
        <v>47</v>
      </c>
      <c r="V655" t="s">
        <v>32</v>
      </c>
    </row>
    <row r="656" spans="1:23" x14ac:dyDescent="0.2">
      <c r="A656" s="5" t="s">
        <v>775</v>
      </c>
      <c r="B656" s="6" t="s">
        <v>33</v>
      </c>
      <c r="C656" s="6" t="s">
        <v>45</v>
      </c>
      <c r="D656" s="65" t="str">
        <f t="shared" si="32"/>
        <v>059_V_c</v>
      </c>
      <c r="E656">
        <v>77</v>
      </c>
      <c r="F656" t="s">
        <v>68</v>
      </c>
      <c r="G656" t="s">
        <v>782</v>
      </c>
      <c r="I656">
        <v>2.13575356220713</v>
      </c>
      <c r="J656" s="82">
        <v>27.9</v>
      </c>
      <c r="K656" s="82">
        <v>21.4</v>
      </c>
      <c r="L656" s="82">
        <v>30.4</v>
      </c>
      <c r="M656" s="82">
        <v>25.3</v>
      </c>
      <c r="N656" s="82">
        <v>20.2</v>
      </c>
      <c r="O656" s="44">
        <f t="shared" si="31"/>
        <v>0.56342857142858171</v>
      </c>
      <c r="P656">
        <f t="shared" si="33"/>
        <v>25.04</v>
      </c>
      <c r="Q656" s="111">
        <v>0.16400000000000001</v>
      </c>
      <c r="R656">
        <v>0.371</v>
      </c>
      <c r="S656" s="65">
        <v>8</v>
      </c>
      <c r="T656">
        <v>52</v>
      </c>
      <c r="U656" t="s">
        <v>47</v>
      </c>
      <c r="V656" t="s">
        <v>32</v>
      </c>
    </row>
    <row r="657" spans="1:23" x14ac:dyDescent="0.2">
      <c r="A657" s="5" t="s">
        <v>775</v>
      </c>
      <c r="B657" s="6" t="s">
        <v>36</v>
      </c>
      <c r="C657" s="6" t="s">
        <v>45</v>
      </c>
      <c r="D657" s="65" t="str">
        <f t="shared" si="32"/>
        <v>059_O_c</v>
      </c>
      <c r="E657">
        <v>79</v>
      </c>
      <c r="F657" t="s">
        <v>34</v>
      </c>
      <c r="G657" t="s">
        <v>783</v>
      </c>
      <c r="I657">
        <v>2.8148087933837602</v>
      </c>
      <c r="J657" s="82">
        <v>6.8</v>
      </c>
      <c r="K657" s="82">
        <v>31.6</v>
      </c>
      <c r="L657" s="82">
        <v>36.4</v>
      </c>
      <c r="M657" s="70" t="s">
        <v>57</v>
      </c>
      <c r="N657" s="82">
        <v>38.799999999999997</v>
      </c>
      <c r="O657" s="44">
        <f t="shared" si="31"/>
        <v>10.121925133689835</v>
      </c>
      <c r="P657">
        <f t="shared" si="33"/>
        <v>28.4</v>
      </c>
      <c r="Q657" s="111">
        <v>0.156</v>
      </c>
      <c r="R657">
        <v>0.219</v>
      </c>
      <c r="S657" s="65">
        <v>14</v>
      </c>
      <c r="T657">
        <v>38</v>
      </c>
      <c r="U657" t="s">
        <v>47</v>
      </c>
      <c r="V657" t="s">
        <v>32</v>
      </c>
    </row>
    <row r="658" spans="1:23" x14ac:dyDescent="0.2">
      <c r="A658" s="5" t="s">
        <v>775</v>
      </c>
      <c r="B658" s="6" t="s">
        <v>27</v>
      </c>
      <c r="C658" s="6" t="s">
        <v>45</v>
      </c>
      <c r="D658" s="65" t="str">
        <f t="shared" si="32"/>
        <v>059_S_c</v>
      </c>
      <c r="E658">
        <v>100</v>
      </c>
      <c r="F658" t="s">
        <v>82</v>
      </c>
      <c r="G658" t="s">
        <v>784</v>
      </c>
      <c r="I658">
        <v>5.89571231342312</v>
      </c>
      <c r="J658" s="82">
        <v>6.3</v>
      </c>
      <c r="K658" s="82">
        <v>12.3</v>
      </c>
      <c r="L658" s="82">
        <v>34.4</v>
      </c>
      <c r="M658">
        <v>43.3</v>
      </c>
      <c r="N658" s="82">
        <v>47.8</v>
      </c>
      <c r="O658" s="44">
        <f t="shared" si="31"/>
        <v>12.88760816891658</v>
      </c>
      <c r="P658">
        <f t="shared" si="33"/>
        <v>28.82</v>
      </c>
      <c r="Q658" s="111">
        <v>0.51100000000000001</v>
      </c>
      <c r="R658">
        <v>0.69299999999999995</v>
      </c>
      <c r="S658" s="65">
        <v>17</v>
      </c>
      <c r="T658">
        <v>69</v>
      </c>
      <c r="U658" t="s">
        <v>47</v>
      </c>
      <c r="V658" t="s">
        <v>32</v>
      </c>
    </row>
    <row r="659" spans="1:23" x14ac:dyDescent="0.2">
      <c r="A659" s="5" t="s">
        <v>775</v>
      </c>
      <c r="B659" s="6" t="s">
        <v>36</v>
      </c>
      <c r="C659" s="6" t="s">
        <v>52</v>
      </c>
      <c r="D659" s="65" t="str">
        <f t="shared" si="32"/>
        <v>059_O_d</v>
      </c>
      <c r="E659">
        <v>114</v>
      </c>
      <c r="F659" t="s">
        <v>49</v>
      </c>
      <c r="G659" t="s">
        <v>785</v>
      </c>
      <c r="I659">
        <v>3.16181401815654</v>
      </c>
      <c r="J659" s="82">
        <v>47</v>
      </c>
      <c r="K659" s="82">
        <v>49.9</v>
      </c>
      <c r="L659" s="82">
        <v>47.1</v>
      </c>
      <c r="M659">
        <v>40.4</v>
      </c>
      <c r="N659" s="82">
        <v>41.2</v>
      </c>
      <c r="O659" s="44">
        <f t="shared" si="31"/>
        <v>0.3524222704266089</v>
      </c>
      <c r="P659">
        <f t="shared" si="33"/>
        <v>45.120000000000005</v>
      </c>
      <c r="Q659" s="111">
        <v>0.45600000000000002</v>
      </c>
      <c r="R659">
        <v>0.42699999999999999</v>
      </c>
      <c r="S659" s="65">
        <v>8</v>
      </c>
      <c r="T659">
        <v>19</v>
      </c>
      <c r="U659" t="s">
        <v>54</v>
      </c>
      <c r="V659" t="s">
        <v>32</v>
      </c>
    </row>
    <row r="660" spans="1:23" ht="16" x14ac:dyDescent="0.2">
      <c r="A660" s="5" t="s">
        <v>775</v>
      </c>
      <c r="B660" s="6" t="s">
        <v>27</v>
      </c>
      <c r="C660" s="6" t="s">
        <v>52</v>
      </c>
      <c r="D660" s="65" t="str">
        <f t="shared" si="32"/>
        <v>059_S_d</v>
      </c>
      <c r="E660">
        <v>129</v>
      </c>
      <c r="F660" t="s">
        <v>70</v>
      </c>
      <c r="G660" t="s">
        <v>786</v>
      </c>
      <c r="H660" t="s">
        <v>56</v>
      </c>
      <c r="I660">
        <v>0</v>
      </c>
      <c r="J660" s="82">
        <v>1.1000000000000001</v>
      </c>
      <c r="K660" s="82">
        <v>1</v>
      </c>
      <c r="L660" s="84">
        <v>1</v>
      </c>
      <c r="M660">
        <v>1</v>
      </c>
      <c r="N660" s="82">
        <v>0.9</v>
      </c>
      <c r="O660" s="44">
        <f t="shared" si="31"/>
        <v>2.4390243902439068E-3</v>
      </c>
      <c r="P660">
        <f t="shared" si="33"/>
        <v>1</v>
      </c>
      <c r="Q660" s="111" t="s">
        <v>57</v>
      </c>
      <c r="R660" t="s">
        <v>57</v>
      </c>
      <c r="S660" s="65" t="s">
        <v>57</v>
      </c>
      <c r="T660" t="s">
        <v>57</v>
      </c>
      <c r="V660" t="s">
        <v>32</v>
      </c>
      <c r="W660" t="s">
        <v>67</v>
      </c>
    </row>
    <row r="661" spans="1:23" ht="16" x14ac:dyDescent="0.2">
      <c r="A661" s="5" t="s">
        <v>775</v>
      </c>
      <c r="B661" s="6" t="s">
        <v>33</v>
      </c>
      <c r="C661" s="6" t="s">
        <v>52</v>
      </c>
      <c r="D661" s="65" t="str">
        <f t="shared" si="32"/>
        <v>059_V_d</v>
      </c>
      <c r="E661">
        <v>143</v>
      </c>
      <c r="F661" t="s">
        <v>82</v>
      </c>
      <c r="G661" t="s">
        <v>787</v>
      </c>
      <c r="I661">
        <v>1.2497346766130899</v>
      </c>
      <c r="J661" s="82">
        <v>1.9</v>
      </c>
      <c r="K661" s="82">
        <v>16.899999999999999</v>
      </c>
      <c r="L661" s="84">
        <v>3.1</v>
      </c>
      <c r="M661" s="82">
        <v>4.9000000000000004</v>
      </c>
      <c r="N661" s="82">
        <v>13</v>
      </c>
      <c r="O661" s="44">
        <f t="shared" si="31"/>
        <v>7.1283582089552242</v>
      </c>
      <c r="P661">
        <f t="shared" si="33"/>
        <v>7.9599999999999991</v>
      </c>
      <c r="Q661" s="111">
        <v>0.13800000000000001</v>
      </c>
      <c r="R661">
        <v>0.378</v>
      </c>
      <c r="S661" s="65">
        <v>12</v>
      </c>
      <c r="T661">
        <v>19</v>
      </c>
      <c r="U661" t="s">
        <v>54</v>
      </c>
      <c r="V661" t="s">
        <v>32</v>
      </c>
    </row>
    <row r="662" spans="1:23" ht="16" x14ac:dyDescent="0.2">
      <c r="A662" s="1" t="s">
        <v>788</v>
      </c>
      <c r="B662" t="s">
        <v>27</v>
      </c>
      <c r="C662" t="s">
        <v>28</v>
      </c>
      <c r="D662" s="65" t="str">
        <f t="shared" si="32"/>
        <v>060_S_a</v>
      </c>
      <c r="E662">
        <v>9</v>
      </c>
      <c r="F662" t="s">
        <v>82</v>
      </c>
      <c r="G662" t="s">
        <v>789</v>
      </c>
      <c r="I662">
        <v>3.6988151658767801</v>
      </c>
      <c r="J662" s="84">
        <v>17.600000000000001</v>
      </c>
      <c r="K662" s="82">
        <v>28</v>
      </c>
      <c r="L662" s="82">
        <v>42.2</v>
      </c>
      <c r="M662" s="82">
        <v>31.9</v>
      </c>
      <c r="N662" s="82">
        <v>24.7</v>
      </c>
      <c r="O662" s="44">
        <f t="shared" si="31"/>
        <v>3.4551656920077867</v>
      </c>
      <c r="P662">
        <f t="shared" si="33"/>
        <v>28.880000000000003</v>
      </c>
      <c r="Q662" s="111">
        <v>0.223</v>
      </c>
      <c r="R662">
        <v>0.42399999999999999</v>
      </c>
      <c r="S662" s="65">
        <v>11</v>
      </c>
      <c r="T662">
        <v>23</v>
      </c>
      <c r="U662" t="s">
        <v>31</v>
      </c>
      <c r="V662" t="s">
        <v>32</v>
      </c>
    </row>
    <row r="663" spans="1:23" ht="16" x14ac:dyDescent="0.2">
      <c r="A663" s="5" t="s">
        <v>788</v>
      </c>
      <c r="B663" s="6" t="s">
        <v>36</v>
      </c>
      <c r="C663" s="6" t="s">
        <v>28</v>
      </c>
      <c r="D663" s="65" t="str">
        <f t="shared" si="32"/>
        <v>060_O_a</v>
      </c>
      <c r="E663">
        <v>13</v>
      </c>
      <c r="F663" t="s">
        <v>43</v>
      </c>
      <c r="G663" t="s">
        <v>790</v>
      </c>
      <c r="I663">
        <v>2.9658447009443898</v>
      </c>
      <c r="J663" s="84">
        <v>0.9</v>
      </c>
      <c r="K663" s="82">
        <v>27.9</v>
      </c>
      <c r="L663" s="82">
        <v>32.799999999999997</v>
      </c>
      <c r="M663" s="82">
        <v>34.4</v>
      </c>
      <c r="N663" s="82">
        <v>40.4</v>
      </c>
      <c r="O663" s="44">
        <f t="shared" si="31"/>
        <v>10.20027777777778</v>
      </c>
      <c r="P663">
        <f t="shared" si="33"/>
        <v>27.28</v>
      </c>
      <c r="Q663" s="111">
        <v>0.26900000000000002</v>
      </c>
      <c r="R663">
        <v>0.503</v>
      </c>
      <c r="S663" s="65">
        <v>29</v>
      </c>
      <c r="T663">
        <v>31</v>
      </c>
      <c r="U663" t="s">
        <v>51</v>
      </c>
      <c r="V663" t="s">
        <v>32</v>
      </c>
    </row>
    <row r="664" spans="1:23" x14ac:dyDescent="0.2">
      <c r="A664" s="1" t="s">
        <v>788</v>
      </c>
      <c r="B664" t="s">
        <v>33</v>
      </c>
      <c r="C664" t="s">
        <v>28</v>
      </c>
      <c r="D664" s="65" t="str">
        <f t="shared" si="32"/>
        <v>060_V_a</v>
      </c>
      <c r="E664">
        <v>22</v>
      </c>
      <c r="F664" t="s">
        <v>41</v>
      </c>
      <c r="G664" t="s">
        <v>791</v>
      </c>
      <c r="I664">
        <v>6.48108351037751</v>
      </c>
      <c r="J664" s="82">
        <v>18.600000000000001</v>
      </c>
      <c r="K664" s="82">
        <v>8.8000000000000007</v>
      </c>
      <c r="L664" s="82">
        <v>21.8</v>
      </c>
      <c r="M664" s="82">
        <v>18.399999999999999</v>
      </c>
      <c r="N664" s="82">
        <v>23.4</v>
      </c>
      <c r="O664" s="44">
        <f t="shared" si="31"/>
        <v>1.8690335305719967</v>
      </c>
      <c r="P664">
        <f t="shared" si="33"/>
        <v>18.2</v>
      </c>
      <c r="Q664" s="111">
        <v>0.14699999999999999</v>
      </c>
      <c r="R664">
        <v>0.33100000000000002</v>
      </c>
      <c r="S664" s="65">
        <v>3</v>
      </c>
      <c r="T664">
        <v>53</v>
      </c>
      <c r="U664" t="s">
        <v>31</v>
      </c>
      <c r="V664" t="s">
        <v>32</v>
      </c>
    </row>
    <row r="665" spans="1:23" x14ac:dyDescent="0.2">
      <c r="A665" s="5" t="s">
        <v>788</v>
      </c>
      <c r="B665" s="6" t="s">
        <v>36</v>
      </c>
      <c r="C665" s="6" t="s">
        <v>38</v>
      </c>
      <c r="D665" s="65" t="str">
        <f t="shared" si="32"/>
        <v>060_O_b</v>
      </c>
      <c r="E665">
        <v>44</v>
      </c>
      <c r="F665" t="s">
        <v>29</v>
      </c>
      <c r="G665" t="s">
        <v>792</v>
      </c>
      <c r="I665">
        <v>4.0548646616541397</v>
      </c>
      <c r="J665" s="82">
        <v>5.3</v>
      </c>
      <c r="K665" s="82">
        <v>32.799999999999997</v>
      </c>
      <c r="L665" s="82">
        <v>46.9</v>
      </c>
      <c r="M665" s="82">
        <v>9</v>
      </c>
      <c r="N665" s="82">
        <v>27.6</v>
      </c>
      <c r="O665" s="44">
        <f t="shared" si="31"/>
        <v>16.674326241134747</v>
      </c>
      <c r="P665">
        <f t="shared" si="33"/>
        <v>24.32</v>
      </c>
      <c r="Q665" s="111">
        <v>0.23599999999999999</v>
      </c>
      <c r="R665">
        <v>0.44600000000000001</v>
      </c>
      <c r="S665" s="65">
        <v>14</v>
      </c>
      <c r="T665">
        <v>36</v>
      </c>
      <c r="U665" t="s">
        <v>31</v>
      </c>
      <c r="V665" t="s">
        <v>32</v>
      </c>
    </row>
    <row r="666" spans="1:23" x14ac:dyDescent="0.2">
      <c r="A666" s="1" t="s">
        <v>788</v>
      </c>
      <c r="B666" t="s">
        <v>33</v>
      </c>
      <c r="C666" t="s">
        <v>38</v>
      </c>
      <c r="D666" s="65" t="str">
        <f t="shared" si="32"/>
        <v>060_V_b</v>
      </c>
      <c r="E666">
        <v>48</v>
      </c>
      <c r="F666" t="s">
        <v>29</v>
      </c>
      <c r="G666" t="s">
        <v>793</v>
      </c>
      <c r="I666">
        <v>1.32318636967406</v>
      </c>
      <c r="J666" s="82">
        <v>15.3</v>
      </c>
      <c r="K666" s="82">
        <v>18.8</v>
      </c>
      <c r="L666" s="82">
        <v>27.3</v>
      </c>
      <c r="M666" s="82">
        <v>28.3</v>
      </c>
      <c r="N666" s="82">
        <v>33.6</v>
      </c>
      <c r="O666" s="44">
        <f t="shared" si="31"/>
        <v>1.816239316239316</v>
      </c>
      <c r="P666">
        <f t="shared" si="33"/>
        <v>24.660000000000004</v>
      </c>
      <c r="Q666" s="111">
        <v>0.09</v>
      </c>
      <c r="R666">
        <v>0.22800000000000001</v>
      </c>
      <c r="S666" s="65">
        <v>9</v>
      </c>
      <c r="T666" s="43">
        <v>12</v>
      </c>
      <c r="U666" t="s">
        <v>31</v>
      </c>
      <c r="V666" t="s">
        <v>32</v>
      </c>
    </row>
    <row r="667" spans="1:23" x14ac:dyDescent="0.2">
      <c r="A667" s="5" t="s">
        <v>788</v>
      </c>
      <c r="B667" s="6" t="s">
        <v>27</v>
      </c>
      <c r="C667" s="6" t="s">
        <v>38</v>
      </c>
      <c r="D667" s="65" t="str">
        <f t="shared" si="32"/>
        <v>060_S_b</v>
      </c>
      <c r="E667">
        <v>50</v>
      </c>
      <c r="F667" t="s">
        <v>82</v>
      </c>
      <c r="G667" t="s">
        <v>794</v>
      </c>
      <c r="I667">
        <v>4.7274817988277702</v>
      </c>
      <c r="J667" s="82">
        <v>25.6</v>
      </c>
      <c r="K667" s="82">
        <v>13.2</v>
      </c>
      <c r="L667" s="82">
        <v>39</v>
      </c>
      <c r="M667" s="82">
        <v>10.5</v>
      </c>
      <c r="N667" s="82">
        <v>43.4</v>
      </c>
      <c r="O667" s="44">
        <f t="shared" si="31"/>
        <v>7.7255945639864176</v>
      </c>
      <c r="P667">
        <f t="shared" si="33"/>
        <v>26.339999999999996</v>
      </c>
      <c r="Q667" s="111">
        <v>0.30499999999999999</v>
      </c>
      <c r="R667">
        <v>0.434</v>
      </c>
      <c r="S667" s="65">
        <v>18</v>
      </c>
      <c r="T667" s="43">
        <v>32</v>
      </c>
      <c r="U667" t="s">
        <v>31</v>
      </c>
      <c r="V667" t="s">
        <v>32</v>
      </c>
    </row>
    <row r="668" spans="1:23" x14ac:dyDescent="0.2">
      <c r="A668" s="5" t="s">
        <v>788</v>
      </c>
      <c r="B668" s="6" t="s">
        <v>36</v>
      </c>
      <c r="C668" s="6" t="s">
        <v>45</v>
      </c>
      <c r="D668" s="65" t="str">
        <f t="shared" si="32"/>
        <v>060_O_c</v>
      </c>
      <c r="E668">
        <v>89</v>
      </c>
      <c r="F668" t="s">
        <v>49</v>
      </c>
      <c r="G668" t="s">
        <v>795</v>
      </c>
      <c r="I668">
        <v>3.5352258599253998</v>
      </c>
      <c r="J668" s="82">
        <v>16.2</v>
      </c>
      <c r="K668" s="82">
        <v>21.9</v>
      </c>
      <c r="L668" s="82">
        <v>15.4</v>
      </c>
      <c r="M668" s="82">
        <v>15.2</v>
      </c>
      <c r="N668" s="82">
        <v>21.1</v>
      </c>
      <c r="O668" s="44">
        <f t="shared" si="31"/>
        <v>0.58859776807375708</v>
      </c>
      <c r="P668">
        <f t="shared" si="33"/>
        <v>17.959999999999997</v>
      </c>
      <c r="Q668" s="111">
        <v>0.17799999999999999</v>
      </c>
      <c r="R668">
        <v>0.316</v>
      </c>
      <c r="S668" s="65">
        <v>23</v>
      </c>
      <c r="T668">
        <v>13</v>
      </c>
      <c r="U668" t="s">
        <v>54</v>
      </c>
      <c r="V668" t="s">
        <v>32</v>
      </c>
    </row>
    <row r="669" spans="1:23" x14ac:dyDescent="0.2">
      <c r="A669" s="5" t="s">
        <v>788</v>
      </c>
      <c r="B669" s="6" t="s">
        <v>27</v>
      </c>
      <c r="C669" s="6" t="s">
        <v>45</v>
      </c>
      <c r="D669" s="65" t="str">
        <f t="shared" si="32"/>
        <v>060_S_c</v>
      </c>
      <c r="E669">
        <v>91</v>
      </c>
      <c r="F669" t="s">
        <v>70</v>
      </c>
      <c r="G669" t="s">
        <v>796</v>
      </c>
      <c r="I669">
        <v>4.7618222830903099</v>
      </c>
      <c r="J669" s="82">
        <v>38.6</v>
      </c>
      <c r="K669" s="82">
        <v>35.1</v>
      </c>
      <c r="L669" s="82">
        <v>39.6</v>
      </c>
      <c r="M669">
        <v>37.9</v>
      </c>
      <c r="N669" s="82">
        <v>41.4</v>
      </c>
      <c r="O669" s="44">
        <f t="shared" si="31"/>
        <v>9.8589065255731897E-2</v>
      </c>
      <c r="P669">
        <f t="shared" si="33"/>
        <v>38.520000000000003</v>
      </c>
      <c r="Q669" s="111">
        <v>0.39800000000000002</v>
      </c>
      <c r="R669">
        <v>0.40500000000000003</v>
      </c>
      <c r="S669" s="65">
        <v>10</v>
      </c>
      <c r="T669">
        <v>36</v>
      </c>
      <c r="U669" t="s">
        <v>47</v>
      </c>
      <c r="V669" t="s">
        <v>32</v>
      </c>
    </row>
    <row r="670" spans="1:23" x14ac:dyDescent="0.2">
      <c r="A670" s="5" t="s">
        <v>788</v>
      </c>
      <c r="B670" s="6" t="s">
        <v>33</v>
      </c>
      <c r="C670" s="6" t="s">
        <v>45</v>
      </c>
      <c r="D670" s="65" t="str">
        <f t="shared" si="32"/>
        <v>060_V_c</v>
      </c>
      <c r="E670">
        <v>91</v>
      </c>
      <c r="F670" t="s">
        <v>63</v>
      </c>
      <c r="G670" t="s">
        <v>797</v>
      </c>
      <c r="I670">
        <v>2.7157496173366602</v>
      </c>
      <c r="J670" s="82">
        <v>6.5</v>
      </c>
      <c r="K670" s="82">
        <v>24.5</v>
      </c>
      <c r="L670" s="82">
        <v>17.5</v>
      </c>
      <c r="M670">
        <v>2.6</v>
      </c>
      <c r="N670" s="82">
        <v>18.7</v>
      </c>
      <c r="O670" s="44">
        <f t="shared" si="31"/>
        <v>7.8984344422700579</v>
      </c>
      <c r="P670">
        <f t="shared" si="33"/>
        <v>13.959999999999999</v>
      </c>
      <c r="Q670" s="111">
        <v>0.14899999999999999</v>
      </c>
      <c r="R670">
        <v>0.34899999999999998</v>
      </c>
      <c r="S670" s="65">
        <v>4</v>
      </c>
      <c r="T670">
        <v>29</v>
      </c>
      <c r="U670" t="s">
        <v>47</v>
      </c>
      <c r="V670" t="s">
        <v>32</v>
      </c>
    </row>
    <row r="671" spans="1:23" x14ac:dyDescent="0.2">
      <c r="A671" s="5" t="s">
        <v>788</v>
      </c>
      <c r="B671" s="6" t="s">
        <v>36</v>
      </c>
      <c r="C671" s="6" t="s">
        <v>52</v>
      </c>
      <c r="D671" s="65" t="str">
        <f t="shared" si="32"/>
        <v>060_O_d</v>
      </c>
      <c r="E671">
        <v>114</v>
      </c>
      <c r="F671" t="s">
        <v>29</v>
      </c>
      <c r="G671" t="s">
        <v>798</v>
      </c>
      <c r="I671">
        <v>1.06680297701807</v>
      </c>
      <c r="J671" s="82">
        <v>2</v>
      </c>
      <c r="K671" s="82">
        <v>2.2999999999999998</v>
      </c>
      <c r="L671" s="82">
        <v>6.8</v>
      </c>
      <c r="M671">
        <v>39.1</v>
      </c>
      <c r="N671" s="82">
        <v>40.9</v>
      </c>
      <c r="O671" s="44">
        <f t="shared" si="31"/>
        <v>25.347410358565735</v>
      </c>
      <c r="P671">
        <f t="shared" si="33"/>
        <v>18.22</v>
      </c>
      <c r="Q671" s="111">
        <v>7.1999999999999995E-2</v>
      </c>
      <c r="R671">
        <v>0.113</v>
      </c>
      <c r="S671" s="65">
        <v>6</v>
      </c>
      <c r="T671">
        <v>10</v>
      </c>
      <c r="U671" t="s">
        <v>54</v>
      </c>
      <c r="V671" t="s">
        <v>32</v>
      </c>
    </row>
    <row r="672" spans="1:23" x14ac:dyDescent="0.2">
      <c r="A672" s="5" t="s">
        <v>788</v>
      </c>
      <c r="B672" s="6" t="s">
        <v>33</v>
      </c>
      <c r="C672" s="6" t="s">
        <v>52</v>
      </c>
      <c r="D672" s="65" t="str">
        <f t="shared" si="32"/>
        <v>060_V_d</v>
      </c>
      <c r="E672">
        <v>118</v>
      </c>
      <c r="F672" t="s">
        <v>43</v>
      </c>
      <c r="G672" t="s">
        <v>799</v>
      </c>
      <c r="I672">
        <v>2.47209857315113</v>
      </c>
      <c r="J672" s="82">
        <v>21.5</v>
      </c>
      <c r="K672" s="82">
        <v>19.2</v>
      </c>
      <c r="L672" s="82">
        <v>28.4</v>
      </c>
      <c r="M672">
        <v>27.7</v>
      </c>
      <c r="N672" s="82">
        <v>28.9</v>
      </c>
      <c r="O672" s="44">
        <f t="shared" ref="O672:O735" si="34">VAR(J672:M672)/AVERAGE(J672:M672)</f>
        <v>0.85647382920109971</v>
      </c>
      <c r="P672">
        <f t="shared" si="33"/>
        <v>25.139999999999997</v>
      </c>
      <c r="Q672" s="111">
        <v>0.13</v>
      </c>
      <c r="R672">
        <v>0.29499999999999998</v>
      </c>
      <c r="S672" s="65">
        <v>7</v>
      </c>
      <c r="T672">
        <v>46</v>
      </c>
      <c r="U672" t="s">
        <v>54</v>
      </c>
      <c r="V672" t="s">
        <v>32</v>
      </c>
    </row>
    <row r="673" spans="1:23" ht="16" x14ac:dyDescent="0.2">
      <c r="A673" s="5" t="s">
        <v>788</v>
      </c>
      <c r="B673" s="6" t="s">
        <v>27</v>
      </c>
      <c r="C673" s="6" t="s">
        <v>52</v>
      </c>
      <c r="D673" s="65" t="str">
        <f t="shared" si="32"/>
        <v>060_S_d</v>
      </c>
      <c r="E673">
        <v>132</v>
      </c>
      <c r="F673" t="s">
        <v>43</v>
      </c>
      <c r="G673" t="s">
        <v>800</v>
      </c>
      <c r="H673" t="s">
        <v>56</v>
      </c>
      <c r="I673">
        <v>0</v>
      </c>
      <c r="J673" s="82">
        <v>1.1000000000000001</v>
      </c>
      <c r="K673" s="82">
        <v>1</v>
      </c>
      <c r="L673" s="84">
        <v>1</v>
      </c>
      <c r="M673">
        <v>1.5</v>
      </c>
      <c r="N673" s="82">
        <v>0.9</v>
      </c>
      <c r="O673" s="44">
        <f t="shared" si="34"/>
        <v>4.9275362318840825E-2</v>
      </c>
      <c r="P673">
        <f t="shared" si="33"/>
        <v>1.1000000000000001</v>
      </c>
      <c r="Q673" s="111" t="s">
        <v>57</v>
      </c>
      <c r="R673" t="s">
        <v>57</v>
      </c>
      <c r="S673" s="65" t="s">
        <v>57</v>
      </c>
      <c r="T673" t="s">
        <v>57</v>
      </c>
      <c r="V673" t="s">
        <v>32</v>
      </c>
      <c r="W673" t="s">
        <v>67</v>
      </c>
    </row>
    <row r="674" spans="1:23" ht="16" x14ac:dyDescent="0.2">
      <c r="A674" s="1" t="s">
        <v>801</v>
      </c>
      <c r="B674" t="s">
        <v>36</v>
      </c>
      <c r="C674" t="s">
        <v>28</v>
      </c>
      <c r="D674" s="65" t="str">
        <f t="shared" si="32"/>
        <v>062_O_a</v>
      </c>
      <c r="E674">
        <v>10</v>
      </c>
      <c r="F674" t="s">
        <v>82</v>
      </c>
      <c r="G674" t="s">
        <v>802</v>
      </c>
      <c r="I674">
        <v>1.2527330011723301</v>
      </c>
      <c r="J674" s="84">
        <v>24.1</v>
      </c>
      <c r="K674" s="82">
        <v>16.7</v>
      </c>
      <c r="L674" s="82">
        <v>23.1</v>
      </c>
      <c r="M674" s="82">
        <v>23</v>
      </c>
      <c r="N674" s="82">
        <v>33.299999999999997</v>
      </c>
      <c r="O674" s="44">
        <f t="shared" si="34"/>
        <v>0.52792481779823242</v>
      </c>
      <c r="P674">
        <f t="shared" si="33"/>
        <v>24.04</v>
      </c>
      <c r="Q674" s="111">
        <v>9.4E-2</v>
      </c>
      <c r="R674">
        <v>0.16500000000000001</v>
      </c>
      <c r="S674" s="65">
        <v>4</v>
      </c>
      <c r="T674" s="47">
        <v>11</v>
      </c>
      <c r="U674" s="47" t="s">
        <v>54</v>
      </c>
      <c r="V674" t="s">
        <v>32</v>
      </c>
    </row>
    <row r="675" spans="1:23" ht="16" x14ac:dyDescent="0.2">
      <c r="A675" s="51" t="s">
        <v>801</v>
      </c>
      <c r="B675" s="46" t="s">
        <v>33</v>
      </c>
      <c r="C675" s="46" t="s">
        <v>28</v>
      </c>
      <c r="D675" s="67" t="str">
        <f t="shared" si="32"/>
        <v>062_V_a</v>
      </c>
      <c r="E675" s="47">
        <v>11</v>
      </c>
      <c r="F675" s="47" t="s">
        <v>68</v>
      </c>
      <c r="G675" s="47" t="s">
        <v>803</v>
      </c>
      <c r="H675" s="47" t="s">
        <v>56</v>
      </c>
      <c r="I675">
        <v>2.1470539419087098</v>
      </c>
      <c r="J675" s="84">
        <v>1.3</v>
      </c>
      <c r="K675" s="82">
        <v>1</v>
      </c>
      <c r="L675" s="82">
        <v>1</v>
      </c>
      <c r="M675" s="82">
        <v>1</v>
      </c>
      <c r="N675" s="82">
        <v>0.9</v>
      </c>
      <c r="O675" s="48">
        <f t="shared" si="34"/>
        <v>2.0930232558139777E-2</v>
      </c>
      <c r="P675">
        <f t="shared" si="33"/>
        <v>1.04</v>
      </c>
      <c r="Q675" s="111" t="s">
        <v>57</v>
      </c>
      <c r="R675" t="s">
        <v>57</v>
      </c>
      <c r="S675" s="65" t="s">
        <v>57</v>
      </c>
      <c r="T675" t="s">
        <v>57</v>
      </c>
      <c r="U675" s="47" t="s">
        <v>57</v>
      </c>
      <c r="V675" t="s">
        <v>32</v>
      </c>
      <c r="W675" s="47" t="s">
        <v>67</v>
      </c>
    </row>
    <row r="676" spans="1:23" ht="16" x14ac:dyDescent="0.2">
      <c r="A676" s="5" t="s">
        <v>801</v>
      </c>
      <c r="B676" s="6" t="s">
        <v>27</v>
      </c>
      <c r="C676" s="6" t="s">
        <v>28</v>
      </c>
      <c r="D676" s="65" t="str">
        <f t="shared" si="32"/>
        <v>062_S_a</v>
      </c>
      <c r="E676">
        <v>12</v>
      </c>
      <c r="F676" t="s">
        <v>39</v>
      </c>
      <c r="G676" t="s">
        <v>804</v>
      </c>
      <c r="I676">
        <v>2.9203858755005498</v>
      </c>
      <c r="J676" s="84">
        <v>35.1</v>
      </c>
      <c r="K676" s="82">
        <v>7</v>
      </c>
      <c r="L676" s="82">
        <v>24.2</v>
      </c>
      <c r="M676" s="82">
        <v>2.6</v>
      </c>
      <c r="N676" s="82">
        <v>31.9</v>
      </c>
      <c r="O676" s="44">
        <f t="shared" si="34"/>
        <v>13.287034349298507</v>
      </c>
      <c r="P676">
        <f t="shared" si="33"/>
        <v>20.159999999999997</v>
      </c>
      <c r="Q676" s="111">
        <v>0.186</v>
      </c>
      <c r="R676">
        <v>0.29799999999999999</v>
      </c>
      <c r="S676" s="65">
        <v>16</v>
      </c>
      <c r="T676" s="47">
        <v>19</v>
      </c>
      <c r="U676" s="47" t="s">
        <v>54</v>
      </c>
      <c r="V676" t="s">
        <v>32</v>
      </c>
    </row>
    <row r="677" spans="1:23" x14ac:dyDescent="0.2">
      <c r="A677" s="1" t="s">
        <v>801</v>
      </c>
      <c r="B677" t="s">
        <v>33</v>
      </c>
      <c r="C677" t="s">
        <v>38</v>
      </c>
      <c r="D677" s="65" t="str">
        <f t="shared" si="32"/>
        <v>062_V_b</v>
      </c>
      <c r="E677">
        <v>37</v>
      </c>
      <c r="F677" t="s">
        <v>39</v>
      </c>
      <c r="G677" t="s">
        <v>805</v>
      </c>
      <c r="I677">
        <v>1.1191612531433399</v>
      </c>
      <c r="J677" s="82">
        <v>29</v>
      </c>
      <c r="K677" s="82">
        <v>22.7</v>
      </c>
      <c r="L677" s="82">
        <v>29.5</v>
      </c>
      <c r="M677" s="82">
        <v>29.4</v>
      </c>
      <c r="N677" s="82">
        <v>32.799999999999997</v>
      </c>
      <c r="O677" s="44">
        <f t="shared" si="34"/>
        <v>0.39553948161543034</v>
      </c>
      <c r="P677">
        <f t="shared" si="33"/>
        <v>28.679999999999996</v>
      </c>
      <c r="Q677" s="111">
        <v>0.10199999999999999</v>
      </c>
      <c r="R677">
        <v>0.246</v>
      </c>
      <c r="S677" s="65">
        <v>10</v>
      </c>
      <c r="T677">
        <v>29</v>
      </c>
      <c r="U677" t="s">
        <v>31</v>
      </c>
      <c r="V677" t="s">
        <v>32</v>
      </c>
    </row>
    <row r="678" spans="1:23" x14ac:dyDescent="0.2">
      <c r="A678" s="5" t="s">
        <v>801</v>
      </c>
      <c r="B678" s="6" t="s">
        <v>36</v>
      </c>
      <c r="C678" s="6" t="s">
        <v>38</v>
      </c>
      <c r="D678" s="65" t="str">
        <f t="shared" si="32"/>
        <v>062_O_b</v>
      </c>
      <c r="E678">
        <v>42</v>
      </c>
      <c r="F678" t="s">
        <v>43</v>
      </c>
      <c r="G678" t="s">
        <v>806</v>
      </c>
      <c r="I678">
        <v>1.8392978024753699</v>
      </c>
      <c r="J678" s="82">
        <v>7.9</v>
      </c>
      <c r="K678" s="82">
        <v>4.3</v>
      </c>
      <c r="L678" s="82">
        <v>34.4</v>
      </c>
      <c r="M678" s="82">
        <v>6.6</v>
      </c>
      <c r="N678" s="82">
        <v>38</v>
      </c>
      <c r="O678" s="44">
        <f t="shared" si="34"/>
        <v>15.044110275689228</v>
      </c>
      <c r="P678">
        <f t="shared" si="33"/>
        <v>18.239999999999998</v>
      </c>
      <c r="Q678" s="111">
        <v>0.14199999999999999</v>
      </c>
      <c r="R678">
        <v>0.23400000000000001</v>
      </c>
      <c r="S678" s="65">
        <v>11</v>
      </c>
      <c r="T678">
        <v>10</v>
      </c>
      <c r="U678" t="s">
        <v>31</v>
      </c>
      <c r="V678" t="s">
        <v>32</v>
      </c>
    </row>
    <row r="679" spans="1:23" x14ac:dyDescent="0.2">
      <c r="A679" s="5" t="s">
        <v>801</v>
      </c>
      <c r="B679" s="6" t="s">
        <v>27</v>
      </c>
      <c r="C679" s="6" t="s">
        <v>38</v>
      </c>
      <c r="D679" s="65" t="str">
        <f t="shared" si="32"/>
        <v>062_S_b</v>
      </c>
      <c r="E679">
        <v>72</v>
      </c>
      <c r="F679" t="s">
        <v>82</v>
      </c>
      <c r="G679" t="s">
        <v>807</v>
      </c>
      <c r="I679">
        <v>1.1348246610818999</v>
      </c>
      <c r="J679" s="82">
        <v>31.6</v>
      </c>
      <c r="K679" s="82">
        <v>2.9</v>
      </c>
      <c r="L679" s="82">
        <v>31.4</v>
      </c>
      <c r="M679" s="82">
        <v>31.8</v>
      </c>
      <c r="N679" s="82">
        <v>42.1</v>
      </c>
      <c r="O679" s="44">
        <f t="shared" si="34"/>
        <v>8.4319003752985306</v>
      </c>
      <c r="P679">
        <f t="shared" si="33"/>
        <v>27.96</v>
      </c>
      <c r="Q679" s="111">
        <v>0.125</v>
      </c>
      <c r="R679">
        <v>0.23300000000000001</v>
      </c>
      <c r="S679" s="65">
        <v>15</v>
      </c>
      <c r="T679">
        <v>51</v>
      </c>
      <c r="U679" t="s">
        <v>31</v>
      </c>
      <c r="V679" t="s">
        <v>32</v>
      </c>
    </row>
    <row r="680" spans="1:23" x14ac:dyDescent="0.2">
      <c r="A680" s="5" t="s">
        <v>801</v>
      </c>
      <c r="B680" s="6" t="s">
        <v>36</v>
      </c>
      <c r="C680" s="6" t="s">
        <v>45</v>
      </c>
      <c r="D680" s="65" t="str">
        <f t="shared" si="32"/>
        <v>062_O_c</v>
      </c>
      <c r="E680">
        <v>73</v>
      </c>
      <c r="F680" t="s">
        <v>43</v>
      </c>
      <c r="G680" t="s">
        <v>808</v>
      </c>
      <c r="I680">
        <v>3.34306312824621</v>
      </c>
      <c r="J680" s="82">
        <v>40.700000000000003</v>
      </c>
      <c r="K680" s="82" t="s">
        <v>57</v>
      </c>
      <c r="L680" s="82">
        <v>37.5</v>
      </c>
      <c r="M680" s="82">
        <v>35.9</v>
      </c>
      <c r="N680" s="82">
        <v>38.1</v>
      </c>
      <c r="O680" s="44">
        <f t="shared" si="34"/>
        <v>0.15705521472392667</v>
      </c>
      <c r="P680">
        <f t="shared" si="33"/>
        <v>38.049999999999997</v>
      </c>
      <c r="Q680" s="111">
        <v>0.153</v>
      </c>
      <c r="R680">
        <v>0.32200000000000001</v>
      </c>
      <c r="S680" s="65">
        <v>16</v>
      </c>
      <c r="T680">
        <v>41</v>
      </c>
      <c r="U680" t="s">
        <v>51</v>
      </c>
      <c r="V680" t="s">
        <v>32</v>
      </c>
    </row>
    <row r="681" spans="1:23" x14ac:dyDescent="0.2">
      <c r="A681" s="5" t="s">
        <v>801</v>
      </c>
      <c r="B681" s="6" t="s">
        <v>27</v>
      </c>
      <c r="C681" s="6" t="s">
        <v>45</v>
      </c>
      <c r="D681" s="65" t="str">
        <f t="shared" si="32"/>
        <v>062_S_c</v>
      </c>
      <c r="E681">
        <v>104</v>
      </c>
      <c r="F681" t="s">
        <v>41</v>
      </c>
      <c r="G681" t="s">
        <v>809</v>
      </c>
      <c r="I681">
        <v>10.9939529532089</v>
      </c>
      <c r="J681" s="82">
        <v>43.4</v>
      </c>
      <c r="K681" s="82">
        <v>5.3</v>
      </c>
      <c r="L681" s="82">
        <v>12.4</v>
      </c>
      <c r="M681">
        <v>10</v>
      </c>
      <c r="N681" s="82">
        <v>53.7</v>
      </c>
      <c r="O681" s="44">
        <f t="shared" si="34"/>
        <v>16.907782466010318</v>
      </c>
      <c r="P681">
        <f t="shared" si="33"/>
        <v>24.96</v>
      </c>
      <c r="Q681" s="111">
        <v>0.39300000000000002</v>
      </c>
      <c r="R681">
        <v>0.71599999999999997</v>
      </c>
      <c r="S681" s="65">
        <v>28</v>
      </c>
      <c r="T681">
        <v>9</v>
      </c>
      <c r="U681" t="s">
        <v>72</v>
      </c>
      <c r="V681" t="s">
        <v>32</v>
      </c>
    </row>
    <row r="682" spans="1:23" x14ac:dyDescent="0.2">
      <c r="A682" s="5" t="s">
        <v>801</v>
      </c>
      <c r="B682" s="6" t="s">
        <v>33</v>
      </c>
      <c r="C682" s="6" t="s">
        <v>45</v>
      </c>
      <c r="D682" s="65" t="str">
        <f t="shared" si="32"/>
        <v>062_V_c</v>
      </c>
      <c r="E682">
        <v>107</v>
      </c>
      <c r="F682" t="s">
        <v>43</v>
      </c>
      <c r="G682" t="s">
        <v>810</v>
      </c>
      <c r="I682">
        <v>2.2972089255468</v>
      </c>
      <c r="J682" s="82">
        <v>32.200000000000003</v>
      </c>
      <c r="K682" s="82">
        <v>25.7</v>
      </c>
      <c r="L682" s="82">
        <v>7.9</v>
      </c>
      <c r="M682">
        <v>7.4</v>
      </c>
      <c r="N682" s="82">
        <v>25.3</v>
      </c>
      <c r="O682" s="44">
        <f t="shared" si="34"/>
        <v>8.6510018214936153</v>
      </c>
      <c r="P682">
        <f t="shared" si="33"/>
        <v>19.700000000000003</v>
      </c>
      <c r="Q682" s="111">
        <v>9.4E-2</v>
      </c>
      <c r="R682">
        <v>0.48499999999999999</v>
      </c>
      <c r="S682" s="65">
        <v>16</v>
      </c>
      <c r="T682">
        <v>22</v>
      </c>
      <c r="U682" t="s">
        <v>72</v>
      </c>
      <c r="V682" t="s">
        <v>32</v>
      </c>
    </row>
    <row r="683" spans="1:23" x14ac:dyDescent="0.2">
      <c r="A683" s="5" t="s">
        <v>801</v>
      </c>
      <c r="B683" s="6" t="s">
        <v>27</v>
      </c>
      <c r="C683" s="6" t="s">
        <v>52</v>
      </c>
      <c r="D683" s="65" t="str">
        <f t="shared" si="32"/>
        <v>062_S_d</v>
      </c>
      <c r="E683">
        <v>116</v>
      </c>
      <c r="F683" t="s">
        <v>70</v>
      </c>
      <c r="G683" t="s">
        <v>811</v>
      </c>
      <c r="H683" t="s">
        <v>56</v>
      </c>
      <c r="I683">
        <v>0</v>
      </c>
      <c r="J683" s="82">
        <v>1.1000000000000001</v>
      </c>
      <c r="K683" s="82">
        <v>1</v>
      </c>
      <c r="L683" s="82">
        <v>1</v>
      </c>
      <c r="M683">
        <v>1</v>
      </c>
      <c r="N683" s="82">
        <v>1</v>
      </c>
      <c r="O683" s="44">
        <f t="shared" si="34"/>
        <v>2.4390243902439068E-3</v>
      </c>
      <c r="P683">
        <f t="shared" si="33"/>
        <v>1.02</v>
      </c>
      <c r="Q683" s="111" t="s">
        <v>57</v>
      </c>
      <c r="R683" t="s">
        <v>57</v>
      </c>
      <c r="S683" s="65" t="s">
        <v>57</v>
      </c>
      <c r="T683" t="s">
        <v>57</v>
      </c>
      <c r="V683" t="s">
        <v>32</v>
      </c>
    </row>
    <row r="684" spans="1:23" ht="16" x14ac:dyDescent="0.2">
      <c r="A684" s="5" t="s">
        <v>801</v>
      </c>
      <c r="B684" s="6" t="s">
        <v>36</v>
      </c>
      <c r="C684" s="6" t="s">
        <v>52</v>
      </c>
      <c r="D684" s="65" t="str">
        <f t="shared" si="32"/>
        <v>062_O_d</v>
      </c>
      <c r="E684">
        <v>130</v>
      </c>
      <c r="F684" t="s">
        <v>68</v>
      </c>
      <c r="G684" t="s">
        <v>812</v>
      </c>
      <c r="I684">
        <v>2.5238938053097302</v>
      </c>
      <c r="J684" s="82">
        <v>37</v>
      </c>
      <c r="K684" s="82">
        <v>4.4000000000000004</v>
      </c>
      <c r="L684" s="84">
        <v>40.9</v>
      </c>
      <c r="M684" s="43">
        <v>39</v>
      </c>
      <c r="N684" s="82">
        <v>19</v>
      </c>
      <c r="O684" s="44">
        <f t="shared" si="34"/>
        <v>9.9340203352569425</v>
      </c>
      <c r="P684">
        <f t="shared" si="33"/>
        <v>28.060000000000002</v>
      </c>
      <c r="Q684" s="111">
        <v>0.314</v>
      </c>
      <c r="R684">
        <v>0.35199999999999998</v>
      </c>
      <c r="S684" s="65">
        <v>7</v>
      </c>
      <c r="T684">
        <v>33</v>
      </c>
      <c r="U684" t="s">
        <v>47</v>
      </c>
      <c r="V684" t="s">
        <v>32</v>
      </c>
    </row>
    <row r="685" spans="1:23" ht="16" x14ac:dyDescent="0.2">
      <c r="A685" s="5" t="s">
        <v>801</v>
      </c>
      <c r="B685" s="6" t="s">
        <v>33</v>
      </c>
      <c r="C685" s="6" t="s">
        <v>52</v>
      </c>
      <c r="D685" s="65" t="str">
        <f t="shared" si="32"/>
        <v>062_V_d</v>
      </c>
      <c r="E685">
        <v>142</v>
      </c>
      <c r="F685" t="s">
        <v>39</v>
      </c>
      <c r="G685" t="s">
        <v>813</v>
      </c>
      <c r="I685">
        <v>3.4294378959590102</v>
      </c>
      <c r="J685" s="82">
        <v>28.1</v>
      </c>
      <c r="K685" s="82">
        <v>10.3</v>
      </c>
      <c r="L685" s="84">
        <v>31.6</v>
      </c>
      <c r="M685" s="82">
        <v>20.7</v>
      </c>
      <c r="N685" s="82">
        <v>37</v>
      </c>
      <c r="O685" s="44">
        <f t="shared" si="34"/>
        <v>3.9122013965453886</v>
      </c>
      <c r="P685">
        <f t="shared" si="33"/>
        <v>25.54</v>
      </c>
      <c r="Q685" s="111">
        <v>0.16700000000000001</v>
      </c>
      <c r="R685">
        <v>0.42199999999999999</v>
      </c>
      <c r="S685" s="65">
        <v>7</v>
      </c>
      <c r="T685">
        <v>54</v>
      </c>
      <c r="U685" t="s">
        <v>51</v>
      </c>
      <c r="V685" t="s">
        <v>32</v>
      </c>
    </row>
    <row r="686" spans="1:23" ht="16" x14ac:dyDescent="0.2">
      <c r="A686" s="5" t="s">
        <v>814</v>
      </c>
      <c r="B686" s="6" t="s">
        <v>27</v>
      </c>
      <c r="C686" s="6" t="s">
        <v>28</v>
      </c>
      <c r="D686" s="65" t="str">
        <f t="shared" si="32"/>
        <v>063_S_a</v>
      </c>
      <c r="E686">
        <v>1</v>
      </c>
      <c r="F686" t="s">
        <v>43</v>
      </c>
      <c r="G686" t="s">
        <v>815</v>
      </c>
      <c r="I686">
        <v>2.2412584719655002</v>
      </c>
      <c r="J686" s="84">
        <v>22.7</v>
      </c>
      <c r="K686" s="82">
        <v>29</v>
      </c>
      <c r="L686" s="82">
        <v>9.1</v>
      </c>
      <c r="M686" s="82">
        <v>9.4</v>
      </c>
      <c r="N686" s="82">
        <v>28.7</v>
      </c>
      <c r="O686" s="44">
        <f t="shared" si="34"/>
        <v>5.6115859449192786</v>
      </c>
      <c r="P686">
        <f t="shared" si="33"/>
        <v>19.78</v>
      </c>
      <c r="Q686" s="111">
        <v>0.33300000000000002</v>
      </c>
      <c r="R686">
        <v>0.49</v>
      </c>
      <c r="S686" s="65">
        <v>18</v>
      </c>
      <c r="T686">
        <v>28</v>
      </c>
      <c r="U686" t="s">
        <v>31</v>
      </c>
      <c r="V686" t="s">
        <v>32</v>
      </c>
    </row>
    <row r="687" spans="1:23" ht="16" x14ac:dyDescent="0.2">
      <c r="A687" s="1" t="s">
        <v>814</v>
      </c>
      <c r="B687" t="s">
        <v>33</v>
      </c>
      <c r="C687" t="s">
        <v>28</v>
      </c>
      <c r="D687" s="65" t="str">
        <f t="shared" si="32"/>
        <v>063_V_a</v>
      </c>
      <c r="E687">
        <v>5</v>
      </c>
      <c r="F687" t="s">
        <v>34</v>
      </c>
      <c r="G687" t="s">
        <v>816</v>
      </c>
      <c r="I687">
        <v>0.66255781972746597</v>
      </c>
      <c r="J687" s="84">
        <v>9.9</v>
      </c>
      <c r="K687" s="82">
        <v>7.1</v>
      </c>
      <c r="L687" s="82">
        <v>7.7</v>
      </c>
      <c r="M687" s="82">
        <v>26.2</v>
      </c>
      <c r="N687" s="82">
        <v>10.1</v>
      </c>
      <c r="O687" s="44">
        <f t="shared" si="34"/>
        <v>6.4557301899148651</v>
      </c>
      <c r="P687">
        <f t="shared" si="33"/>
        <v>12.2</v>
      </c>
      <c r="Q687" s="111">
        <v>0.125</v>
      </c>
      <c r="R687">
        <v>0.31900000000000001</v>
      </c>
      <c r="S687" s="65">
        <v>8</v>
      </c>
      <c r="T687">
        <v>11</v>
      </c>
      <c r="U687" t="s">
        <v>31</v>
      </c>
      <c r="V687" t="s">
        <v>32</v>
      </c>
    </row>
    <row r="688" spans="1:23" x14ac:dyDescent="0.2">
      <c r="A688" s="5" t="s">
        <v>814</v>
      </c>
      <c r="B688" s="6" t="s">
        <v>36</v>
      </c>
      <c r="C688" s="6" t="s">
        <v>28</v>
      </c>
      <c r="D688" s="65" t="str">
        <f t="shared" si="32"/>
        <v>063_O_a</v>
      </c>
      <c r="E688">
        <v>33</v>
      </c>
      <c r="F688" t="s">
        <v>70</v>
      </c>
      <c r="G688" t="s">
        <v>817</v>
      </c>
      <c r="I688">
        <v>2.98180732262903</v>
      </c>
      <c r="J688" s="82">
        <v>22.9</v>
      </c>
      <c r="K688" s="82">
        <v>24.1</v>
      </c>
      <c r="L688" s="82">
        <v>33.700000000000003</v>
      </c>
      <c r="M688" s="82">
        <v>27.1</v>
      </c>
      <c r="N688" s="82">
        <v>33.799999999999997</v>
      </c>
      <c r="O688" s="44">
        <f t="shared" si="34"/>
        <v>0.8671614100185544</v>
      </c>
      <c r="P688">
        <f t="shared" si="33"/>
        <v>28.320000000000004</v>
      </c>
      <c r="Q688" s="111">
        <v>0.191</v>
      </c>
      <c r="R688">
        <v>0.38500000000000001</v>
      </c>
      <c r="S688" s="65">
        <v>19</v>
      </c>
      <c r="T688">
        <v>21</v>
      </c>
      <c r="U688" t="s">
        <v>31</v>
      </c>
      <c r="V688" t="s">
        <v>32</v>
      </c>
    </row>
    <row r="689" spans="1:23" x14ac:dyDescent="0.2">
      <c r="A689" s="5" t="s">
        <v>814</v>
      </c>
      <c r="B689" s="6" t="s">
        <v>27</v>
      </c>
      <c r="C689" s="6" t="s">
        <v>38</v>
      </c>
      <c r="D689" s="65" t="str">
        <f t="shared" si="32"/>
        <v>063_S_b</v>
      </c>
      <c r="E689">
        <v>43</v>
      </c>
      <c r="F689" t="s">
        <v>82</v>
      </c>
      <c r="G689" t="s">
        <v>818</v>
      </c>
      <c r="I689">
        <v>4.7304845814977998</v>
      </c>
      <c r="J689" s="82">
        <v>18.2</v>
      </c>
      <c r="K689" s="82">
        <v>29</v>
      </c>
      <c r="L689" s="82">
        <v>34.700000000000003</v>
      </c>
      <c r="M689" s="82">
        <v>25.8</v>
      </c>
      <c r="N689" s="82">
        <v>25.6</v>
      </c>
      <c r="O689" s="44">
        <f t="shared" si="34"/>
        <v>1.7597957288765036</v>
      </c>
      <c r="P689">
        <f t="shared" si="33"/>
        <v>26.660000000000004</v>
      </c>
      <c r="Q689" s="111">
        <v>0.29899999999999999</v>
      </c>
      <c r="R689">
        <v>0.39800000000000002</v>
      </c>
      <c r="S689" s="65">
        <v>30</v>
      </c>
      <c r="T689">
        <v>16</v>
      </c>
      <c r="U689" t="s">
        <v>54</v>
      </c>
      <c r="V689" t="s">
        <v>32</v>
      </c>
    </row>
    <row r="690" spans="1:23" x14ac:dyDescent="0.2">
      <c r="A690" s="1" t="s">
        <v>814</v>
      </c>
      <c r="B690" t="s">
        <v>33</v>
      </c>
      <c r="C690" t="s">
        <v>38</v>
      </c>
      <c r="D690" s="65" t="str">
        <f t="shared" si="32"/>
        <v>063_V_b</v>
      </c>
      <c r="E690">
        <v>45</v>
      </c>
      <c r="F690" t="s">
        <v>82</v>
      </c>
      <c r="G690" t="s">
        <v>819</v>
      </c>
      <c r="I690">
        <v>1.0840687100033699</v>
      </c>
      <c r="J690" s="82">
        <v>3.4</v>
      </c>
      <c r="K690" s="82">
        <v>20</v>
      </c>
      <c r="L690" s="82">
        <v>8.9</v>
      </c>
      <c r="M690" s="82">
        <v>23.7</v>
      </c>
      <c r="N690" s="82">
        <v>12.7</v>
      </c>
      <c r="O690" s="44">
        <f t="shared" si="34"/>
        <v>6.3919047619047626</v>
      </c>
      <c r="P690">
        <f t="shared" si="33"/>
        <v>13.74</v>
      </c>
      <c r="Q690" s="111">
        <v>0.10199999999999999</v>
      </c>
      <c r="R690">
        <v>0.21199999999999999</v>
      </c>
      <c r="S690" s="65">
        <v>7</v>
      </c>
      <c r="T690" s="43">
        <v>1</v>
      </c>
      <c r="U690" t="s">
        <v>85</v>
      </c>
      <c r="V690" t="s">
        <v>32</v>
      </c>
    </row>
    <row r="691" spans="1:23" s="76" customFormat="1" x14ac:dyDescent="0.2">
      <c r="A691" s="77" t="s">
        <v>814</v>
      </c>
      <c r="B691" s="20" t="s">
        <v>36</v>
      </c>
      <c r="C691" s="20" t="s">
        <v>38</v>
      </c>
      <c r="D691" s="78" t="str">
        <f t="shared" si="32"/>
        <v>063_O_b</v>
      </c>
      <c r="E691" s="76">
        <v>54</v>
      </c>
      <c r="F691" s="76" t="s">
        <v>29</v>
      </c>
      <c r="G691" s="76" t="s">
        <v>820</v>
      </c>
      <c r="I691" s="76">
        <v>4.0933244507287396</v>
      </c>
      <c r="J691" s="86">
        <v>27.9</v>
      </c>
      <c r="K691" s="86">
        <v>33.5</v>
      </c>
      <c r="L691" s="86">
        <v>42.7</v>
      </c>
      <c r="M691" s="86">
        <v>41</v>
      </c>
      <c r="N691" s="86">
        <v>45</v>
      </c>
      <c r="O691" s="79">
        <f t="shared" si="34"/>
        <v>1.2997702733746861</v>
      </c>
      <c r="P691" s="76">
        <f t="shared" si="33"/>
        <v>38.019999999999996</v>
      </c>
      <c r="Q691" s="115">
        <v>0.27200000000000002</v>
      </c>
      <c r="R691" s="76">
        <v>0.55800000000000005</v>
      </c>
      <c r="S691" s="78">
        <v>15</v>
      </c>
      <c r="T691" s="76">
        <v>14</v>
      </c>
      <c r="U691" s="76" t="s">
        <v>31</v>
      </c>
      <c r="V691" t="s">
        <v>32</v>
      </c>
    </row>
    <row r="692" spans="1:23" x14ac:dyDescent="0.2">
      <c r="A692" s="5" t="s">
        <v>814</v>
      </c>
      <c r="B692" s="6" t="s">
        <v>27</v>
      </c>
      <c r="C692" s="6" t="s">
        <v>45</v>
      </c>
      <c r="D692" s="65" t="str">
        <f t="shared" si="32"/>
        <v>063_S_c</v>
      </c>
      <c r="E692">
        <v>95</v>
      </c>
      <c r="F692" t="s">
        <v>49</v>
      </c>
      <c r="G692" t="s">
        <v>821</v>
      </c>
      <c r="I692">
        <v>6.7133073825503304</v>
      </c>
      <c r="J692" s="82">
        <v>49.2</v>
      </c>
      <c r="K692" s="82">
        <v>58.2</v>
      </c>
      <c r="L692" s="82">
        <v>52.8</v>
      </c>
      <c r="M692">
        <v>52.8</v>
      </c>
      <c r="N692" s="82">
        <v>69.400000000000006</v>
      </c>
      <c r="O692" s="44">
        <f t="shared" si="34"/>
        <v>0.25859154929577471</v>
      </c>
      <c r="P692">
        <f t="shared" si="33"/>
        <v>56.48</v>
      </c>
      <c r="Q692" s="111">
        <v>0.51800000000000002</v>
      </c>
      <c r="R692">
        <v>0.621</v>
      </c>
      <c r="S692" s="65">
        <v>30</v>
      </c>
      <c r="T692">
        <v>13</v>
      </c>
      <c r="U692" t="s">
        <v>54</v>
      </c>
      <c r="V692" t="s">
        <v>32</v>
      </c>
    </row>
    <row r="693" spans="1:23" x14ac:dyDescent="0.2">
      <c r="A693" s="5" t="s">
        <v>814</v>
      </c>
      <c r="B693" s="6" t="s">
        <v>36</v>
      </c>
      <c r="C693" s="6" t="s">
        <v>45</v>
      </c>
      <c r="D693" s="65" t="str">
        <f t="shared" si="32"/>
        <v>063_O_c</v>
      </c>
      <c r="E693">
        <v>96</v>
      </c>
      <c r="F693" t="s">
        <v>34</v>
      </c>
      <c r="G693" t="s">
        <v>822</v>
      </c>
      <c r="I693">
        <v>4.9249814787375898</v>
      </c>
      <c r="J693" s="82">
        <v>35.200000000000003</v>
      </c>
      <c r="K693" s="82">
        <v>59.3</v>
      </c>
      <c r="L693" s="82">
        <v>17.899999999999999</v>
      </c>
      <c r="M693">
        <v>44</v>
      </c>
      <c r="N693" s="82">
        <v>44.7</v>
      </c>
      <c r="O693" s="44">
        <f t="shared" si="34"/>
        <v>7.6445012787723687</v>
      </c>
      <c r="P693">
        <f t="shared" si="33"/>
        <v>40.220000000000006</v>
      </c>
      <c r="Q693" s="111">
        <v>0.26</v>
      </c>
      <c r="R693">
        <v>0.505</v>
      </c>
      <c r="S693" s="65">
        <v>14</v>
      </c>
      <c r="T693">
        <v>42</v>
      </c>
      <c r="U693" t="s">
        <v>47</v>
      </c>
      <c r="V693" t="s">
        <v>32</v>
      </c>
    </row>
    <row r="694" spans="1:23" x14ac:dyDescent="0.2">
      <c r="A694" s="5" t="s">
        <v>814</v>
      </c>
      <c r="B694" s="6" t="s">
        <v>33</v>
      </c>
      <c r="C694" s="6" t="s">
        <v>45</v>
      </c>
      <c r="D694" s="65" t="str">
        <f t="shared" si="32"/>
        <v>063_V_c</v>
      </c>
      <c r="E694">
        <v>105</v>
      </c>
      <c r="F694" t="s">
        <v>70</v>
      </c>
      <c r="G694" t="s">
        <v>823</v>
      </c>
      <c r="I694">
        <v>2.95457898722427</v>
      </c>
      <c r="J694" s="82">
        <v>5.2</v>
      </c>
      <c r="K694" s="82">
        <v>25.2</v>
      </c>
      <c r="L694" s="82">
        <v>25</v>
      </c>
      <c r="M694">
        <v>24</v>
      </c>
      <c r="N694" s="82">
        <v>22.5</v>
      </c>
      <c r="O694" s="44">
        <f t="shared" si="34"/>
        <v>4.819311502938703</v>
      </c>
      <c r="P694">
        <f t="shared" si="33"/>
        <v>20.380000000000003</v>
      </c>
      <c r="Q694" s="111">
        <v>0.29299999999999998</v>
      </c>
      <c r="R694">
        <v>0.48799999999999999</v>
      </c>
      <c r="S694" s="65">
        <v>21</v>
      </c>
      <c r="T694">
        <v>57</v>
      </c>
      <c r="U694" t="s">
        <v>72</v>
      </c>
      <c r="V694" t="s">
        <v>32</v>
      </c>
    </row>
    <row r="695" spans="1:23" x14ac:dyDescent="0.2">
      <c r="A695" s="5" t="s">
        <v>814</v>
      </c>
      <c r="B695" s="6" t="s">
        <v>33</v>
      </c>
      <c r="C695" s="6" t="s">
        <v>52</v>
      </c>
      <c r="D695" s="65" t="str">
        <f t="shared" si="32"/>
        <v>063_V_d</v>
      </c>
      <c r="E695">
        <v>113</v>
      </c>
      <c r="F695" t="s">
        <v>41</v>
      </c>
      <c r="G695" t="s">
        <v>824</v>
      </c>
      <c r="I695">
        <v>0.26778339010924501</v>
      </c>
      <c r="J695" s="82">
        <v>11.6</v>
      </c>
      <c r="K695" s="82">
        <v>2.8</v>
      </c>
      <c r="L695" s="82">
        <v>12.4</v>
      </c>
      <c r="M695">
        <v>4.2</v>
      </c>
      <c r="N695" s="82">
        <v>40.200000000000003</v>
      </c>
      <c r="O695" s="44">
        <f t="shared" si="34"/>
        <v>3.163440860215057</v>
      </c>
      <c r="P695">
        <f t="shared" si="33"/>
        <v>14.24</v>
      </c>
      <c r="Q695" s="111">
        <v>5.3999999999999999E-2</v>
      </c>
      <c r="R695">
        <v>0.11799999999999999</v>
      </c>
      <c r="S695" s="65">
        <v>11</v>
      </c>
      <c r="T695">
        <v>20</v>
      </c>
      <c r="U695" t="s">
        <v>54</v>
      </c>
      <c r="V695" t="s">
        <v>32</v>
      </c>
    </row>
    <row r="696" spans="1:23" ht="16" x14ac:dyDescent="0.2">
      <c r="A696" s="5" t="s">
        <v>814</v>
      </c>
      <c r="B696" s="6" t="s">
        <v>27</v>
      </c>
      <c r="C696" s="6" t="s">
        <v>52</v>
      </c>
      <c r="D696" s="65" t="str">
        <f t="shared" si="32"/>
        <v>063_S_d</v>
      </c>
      <c r="E696">
        <v>133</v>
      </c>
      <c r="F696" t="s">
        <v>82</v>
      </c>
      <c r="G696" t="s">
        <v>825</v>
      </c>
      <c r="H696" t="s">
        <v>56</v>
      </c>
      <c r="I696">
        <v>0</v>
      </c>
      <c r="J696" s="82">
        <v>1.1000000000000001</v>
      </c>
      <c r="K696" s="82">
        <v>1</v>
      </c>
      <c r="L696" s="84">
        <v>1.1000000000000001</v>
      </c>
      <c r="M696" s="82">
        <v>1</v>
      </c>
      <c r="N696" s="82">
        <v>0.9</v>
      </c>
      <c r="O696" s="44">
        <f t="shared" si="34"/>
        <v>3.1746031746031802E-3</v>
      </c>
      <c r="P696">
        <f t="shared" si="33"/>
        <v>1.02</v>
      </c>
      <c r="Q696" s="111" t="s">
        <v>57</v>
      </c>
      <c r="R696" t="s">
        <v>57</v>
      </c>
      <c r="S696" s="65" t="s">
        <v>57</v>
      </c>
      <c r="T696" t="s">
        <v>57</v>
      </c>
      <c r="V696" t="s">
        <v>32</v>
      </c>
      <c r="W696" t="s">
        <v>67</v>
      </c>
    </row>
    <row r="697" spans="1:23" ht="16" x14ac:dyDescent="0.2">
      <c r="A697" s="5" t="s">
        <v>814</v>
      </c>
      <c r="B697" s="6" t="s">
        <v>36</v>
      </c>
      <c r="C697" s="6" t="s">
        <v>52</v>
      </c>
      <c r="D697" s="65" t="str">
        <f t="shared" si="32"/>
        <v>063_O_d</v>
      </c>
      <c r="E697">
        <v>134</v>
      </c>
      <c r="F697" t="s">
        <v>63</v>
      </c>
      <c r="G697" t="s">
        <v>826</v>
      </c>
      <c r="I697">
        <v>2.9677769768077802</v>
      </c>
      <c r="J697" s="82">
        <v>45.9</v>
      </c>
      <c r="K697" s="82">
        <v>35.6</v>
      </c>
      <c r="L697" s="98">
        <v>0.8</v>
      </c>
      <c r="M697" s="82">
        <v>37.9</v>
      </c>
      <c r="N697" s="82">
        <v>43.8</v>
      </c>
      <c r="O697" s="44">
        <f t="shared" si="34"/>
        <v>13.302384914032171</v>
      </c>
      <c r="P697">
        <f t="shared" si="33"/>
        <v>32.799999999999997</v>
      </c>
      <c r="Q697" s="111">
        <v>0.313</v>
      </c>
      <c r="R697">
        <v>0.46300000000000002</v>
      </c>
      <c r="S697" s="65">
        <v>19</v>
      </c>
      <c r="T697">
        <v>38</v>
      </c>
      <c r="U697" t="s">
        <v>54</v>
      </c>
      <c r="V697" t="s">
        <v>32</v>
      </c>
    </row>
    <row r="698" spans="1:23" ht="16" x14ac:dyDescent="0.2">
      <c r="A698" s="5" t="s">
        <v>827</v>
      </c>
      <c r="B698" s="6" t="s">
        <v>36</v>
      </c>
      <c r="C698" s="6" t="s">
        <v>28</v>
      </c>
      <c r="D698" s="65" t="str">
        <f t="shared" si="32"/>
        <v>064_O_a</v>
      </c>
      <c r="E698">
        <v>9</v>
      </c>
      <c r="F698" t="s">
        <v>68</v>
      </c>
      <c r="G698" t="s">
        <v>828</v>
      </c>
      <c r="I698">
        <v>4.7328728446102604</v>
      </c>
      <c r="J698" s="84">
        <v>43.4</v>
      </c>
      <c r="K698" s="82">
        <v>38.700000000000003</v>
      </c>
      <c r="L698" s="82">
        <v>39.700000000000003</v>
      </c>
      <c r="M698" s="82">
        <v>42.2</v>
      </c>
      <c r="N698" s="82">
        <v>43.5</v>
      </c>
      <c r="O698" s="44">
        <f t="shared" si="34"/>
        <v>0.11528455284552828</v>
      </c>
      <c r="P698">
        <f t="shared" si="33"/>
        <v>41.5</v>
      </c>
      <c r="Q698" s="111">
        <v>0.34</v>
      </c>
      <c r="R698">
        <v>0.35099999999999998</v>
      </c>
      <c r="S698" s="65">
        <v>3</v>
      </c>
      <c r="T698">
        <v>11</v>
      </c>
      <c r="U698" t="s">
        <v>31</v>
      </c>
      <c r="V698" t="s">
        <v>32</v>
      </c>
    </row>
    <row r="699" spans="1:23" ht="16" x14ac:dyDescent="0.2">
      <c r="A699" s="5" t="s">
        <v>827</v>
      </c>
      <c r="B699" s="6" t="s">
        <v>27</v>
      </c>
      <c r="C699" s="6" t="s">
        <v>28</v>
      </c>
      <c r="D699" s="65" t="str">
        <f t="shared" si="32"/>
        <v>064_S_a</v>
      </c>
      <c r="E699">
        <v>17</v>
      </c>
      <c r="F699" t="s">
        <v>34</v>
      </c>
      <c r="G699" t="s">
        <v>829</v>
      </c>
      <c r="I699">
        <v>1.08998605095074</v>
      </c>
      <c r="J699" s="84">
        <v>15.3</v>
      </c>
      <c r="K699" s="97">
        <v>20.7</v>
      </c>
      <c r="L699" s="82">
        <v>21.3</v>
      </c>
      <c r="M699" s="82">
        <v>23.6</v>
      </c>
      <c r="N699" s="82">
        <v>30.6</v>
      </c>
      <c r="O699" s="44">
        <f t="shared" si="34"/>
        <v>0.61025957972805411</v>
      </c>
      <c r="P699">
        <f t="shared" si="33"/>
        <v>22.3</v>
      </c>
      <c r="Q699" s="111">
        <v>0.151</v>
      </c>
      <c r="R699">
        <v>0.27600000000000002</v>
      </c>
      <c r="S699" s="65">
        <v>10</v>
      </c>
      <c r="T699">
        <v>22</v>
      </c>
      <c r="U699" s="47" t="s">
        <v>31</v>
      </c>
      <c r="V699" t="s">
        <v>32</v>
      </c>
    </row>
    <row r="700" spans="1:23" x14ac:dyDescent="0.2">
      <c r="A700" s="1" t="s">
        <v>827</v>
      </c>
      <c r="B700" t="s">
        <v>33</v>
      </c>
      <c r="C700" t="s">
        <v>28</v>
      </c>
      <c r="D700" s="65" t="str">
        <f t="shared" si="32"/>
        <v>064_V_a</v>
      </c>
      <c r="E700">
        <v>26</v>
      </c>
      <c r="F700" t="s">
        <v>63</v>
      </c>
      <c r="G700" t="s">
        <v>830</v>
      </c>
      <c r="I700">
        <v>0.48370805001096701</v>
      </c>
      <c r="J700" s="82">
        <v>25.3</v>
      </c>
      <c r="K700" t="s">
        <v>57</v>
      </c>
      <c r="L700" s="82">
        <v>27.7</v>
      </c>
      <c r="M700" s="82">
        <v>29.3</v>
      </c>
      <c r="N700" s="82">
        <v>32.200000000000003</v>
      </c>
      <c r="O700" s="44">
        <f t="shared" si="34"/>
        <v>0.14775212636695015</v>
      </c>
      <c r="P700">
        <f t="shared" si="33"/>
        <v>28.625</v>
      </c>
      <c r="Q700" s="111">
        <v>0.16400000000000001</v>
      </c>
      <c r="R700">
        <v>0.36699999999999999</v>
      </c>
      <c r="S700" s="65">
        <v>12</v>
      </c>
      <c r="T700">
        <v>35</v>
      </c>
      <c r="U700" t="s">
        <v>72</v>
      </c>
      <c r="V700" t="s">
        <v>32</v>
      </c>
    </row>
    <row r="701" spans="1:23" x14ac:dyDescent="0.2">
      <c r="A701" s="5" t="s">
        <v>827</v>
      </c>
      <c r="B701" s="6" t="s">
        <v>27</v>
      </c>
      <c r="C701" s="6" t="s">
        <v>38</v>
      </c>
      <c r="D701" s="65" t="str">
        <f t="shared" si="32"/>
        <v>064_S_b</v>
      </c>
      <c r="E701">
        <v>54</v>
      </c>
      <c r="F701" t="s">
        <v>34</v>
      </c>
      <c r="G701" t="s">
        <v>831</v>
      </c>
      <c r="I701">
        <v>2.5920110941918599</v>
      </c>
      <c r="J701" s="82">
        <v>35.200000000000003</v>
      </c>
      <c r="K701" s="82">
        <v>21.1</v>
      </c>
      <c r="L701" s="82">
        <v>32.200000000000003</v>
      </c>
      <c r="M701" s="82">
        <v>33.200000000000003</v>
      </c>
      <c r="N701" s="82">
        <v>41.5</v>
      </c>
      <c r="O701" s="44">
        <f t="shared" si="34"/>
        <v>1.321364009860313</v>
      </c>
      <c r="P701">
        <f t="shared" si="33"/>
        <v>32.64</v>
      </c>
      <c r="Q701" s="111">
        <v>0.221</v>
      </c>
      <c r="R701">
        <v>0.33500000000000002</v>
      </c>
      <c r="S701" s="65">
        <v>15</v>
      </c>
      <c r="T701">
        <v>13</v>
      </c>
      <c r="U701" s="76" t="s">
        <v>31</v>
      </c>
      <c r="V701" t="s">
        <v>32</v>
      </c>
    </row>
    <row r="702" spans="1:23" s="19" customFormat="1" x14ac:dyDescent="0.2">
      <c r="A702" s="27" t="s">
        <v>827</v>
      </c>
      <c r="B702" s="19" t="s">
        <v>33</v>
      </c>
      <c r="C702" s="19" t="s">
        <v>38</v>
      </c>
      <c r="D702" s="66" t="str">
        <f t="shared" si="32"/>
        <v>064_V_b</v>
      </c>
      <c r="E702" s="19">
        <v>59</v>
      </c>
      <c r="F702" s="19" t="s">
        <v>70</v>
      </c>
      <c r="G702" s="19" t="s">
        <v>832</v>
      </c>
      <c r="I702">
        <v>1.3246423566121099</v>
      </c>
      <c r="J702" s="83">
        <v>2</v>
      </c>
      <c r="K702" s="83">
        <v>15.6</v>
      </c>
      <c r="L702" s="83">
        <v>22.8</v>
      </c>
      <c r="M702" s="83">
        <v>16.2</v>
      </c>
      <c r="N702" s="83">
        <v>9.5</v>
      </c>
      <c r="O702" s="54">
        <f t="shared" si="34"/>
        <v>5.3886925795052969</v>
      </c>
      <c r="P702">
        <f t="shared" si="33"/>
        <v>13.220000000000002</v>
      </c>
      <c r="Q702" s="112">
        <v>5.3999999999999999E-2</v>
      </c>
      <c r="R702" s="19">
        <v>0.19500000000000001</v>
      </c>
      <c r="S702" s="66">
        <v>4</v>
      </c>
      <c r="T702" s="19">
        <v>36</v>
      </c>
      <c r="U702" t="s">
        <v>31</v>
      </c>
      <c r="V702" t="s">
        <v>32</v>
      </c>
    </row>
    <row r="703" spans="1:23" x14ac:dyDescent="0.2">
      <c r="A703" s="5" t="s">
        <v>827</v>
      </c>
      <c r="B703" s="6" t="s">
        <v>36</v>
      </c>
      <c r="C703" s="6" t="s">
        <v>38</v>
      </c>
      <c r="D703" s="65" t="str">
        <f t="shared" si="32"/>
        <v>064_O_b</v>
      </c>
      <c r="E703">
        <v>72</v>
      </c>
      <c r="F703" t="s">
        <v>63</v>
      </c>
      <c r="G703" t="s">
        <v>833</v>
      </c>
      <c r="I703">
        <v>2.8835865859781702</v>
      </c>
      <c r="J703" s="82">
        <v>14.4</v>
      </c>
      <c r="K703" s="82">
        <v>3.1</v>
      </c>
      <c r="L703" s="82">
        <v>34</v>
      </c>
      <c r="M703" s="82">
        <v>32.799999999999997</v>
      </c>
      <c r="N703" s="82">
        <v>15.5</v>
      </c>
      <c r="O703" s="44">
        <f t="shared" si="34"/>
        <v>10.631672597864769</v>
      </c>
      <c r="P703">
        <f t="shared" si="33"/>
        <v>19.96</v>
      </c>
      <c r="Q703" s="111">
        <v>0.16700000000000001</v>
      </c>
      <c r="R703">
        <v>0.39800000000000002</v>
      </c>
      <c r="S703" s="65">
        <v>8</v>
      </c>
      <c r="T703">
        <v>17</v>
      </c>
      <c r="U703" t="s">
        <v>31</v>
      </c>
      <c r="V703" t="s">
        <v>32</v>
      </c>
    </row>
    <row r="704" spans="1:23" x14ac:dyDescent="0.2">
      <c r="A704" s="5" t="s">
        <v>827</v>
      </c>
      <c r="B704" s="6" t="s">
        <v>33</v>
      </c>
      <c r="C704" s="6" t="s">
        <v>45</v>
      </c>
      <c r="D704" s="65" t="str">
        <f t="shared" si="32"/>
        <v>064_V_c</v>
      </c>
      <c r="E704">
        <v>78</v>
      </c>
      <c r="F704" t="s">
        <v>49</v>
      </c>
      <c r="G704" t="s">
        <v>834</v>
      </c>
      <c r="I704">
        <v>3.6917006931915299</v>
      </c>
      <c r="J704" s="82">
        <v>38.700000000000003</v>
      </c>
      <c r="K704" s="82">
        <v>39.1</v>
      </c>
      <c r="L704" s="82">
        <v>51.9</v>
      </c>
      <c r="M704" s="82">
        <v>46.7</v>
      </c>
      <c r="N704" s="82">
        <v>15.4</v>
      </c>
      <c r="O704" s="44">
        <f t="shared" si="34"/>
        <v>0.92033257747541541</v>
      </c>
      <c r="P704">
        <f t="shared" si="33"/>
        <v>38.360000000000007</v>
      </c>
      <c r="Q704" s="111">
        <v>0.24199999999999999</v>
      </c>
      <c r="R704">
        <v>0.46</v>
      </c>
      <c r="S704" s="65">
        <v>11</v>
      </c>
      <c r="T704">
        <v>14</v>
      </c>
      <c r="U704" t="s">
        <v>31</v>
      </c>
      <c r="V704" t="s">
        <v>32</v>
      </c>
    </row>
    <row r="705" spans="1:23" x14ac:dyDescent="0.2">
      <c r="A705" s="5" t="s">
        <v>827</v>
      </c>
      <c r="B705" s="6" t="s">
        <v>36</v>
      </c>
      <c r="C705" s="6" t="s">
        <v>45</v>
      </c>
      <c r="D705" s="65" t="str">
        <f t="shared" si="32"/>
        <v>064_O_c</v>
      </c>
      <c r="E705">
        <v>89</v>
      </c>
      <c r="F705" t="s">
        <v>63</v>
      </c>
      <c r="G705" t="s">
        <v>835</v>
      </c>
      <c r="I705">
        <v>1.5244094488188999</v>
      </c>
      <c r="J705" s="82">
        <v>35.5</v>
      </c>
      <c r="K705" s="82">
        <v>21.3</v>
      </c>
      <c r="L705" s="82">
        <v>37.5</v>
      </c>
      <c r="M705" s="82">
        <v>35.200000000000003</v>
      </c>
      <c r="N705" s="82">
        <v>40.700000000000003</v>
      </c>
      <c r="O705" s="44">
        <f t="shared" si="34"/>
        <v>1.7160102960103008</v>
      </c>
      <c r="P705">
        <f t="shared" si="33"/>
        <v>34.04</v>
      </c>
      <c r="Q705" s="111">
        <v>0.159</v>
      </c>
      <c r="R705">
        <v>0.26400000000000001</v>
      </c>
      <c r="S705" s="65">
        <v>9</v>
      </c>
      <c r="T705">
        <v>11</v>
      </c>
      <c r="U705" t="s">
        <v>54</v>
      </c>
      <c r="V705" t="s">
        <v>32</v>
      </c>
    </row>
    <row r="706" spans="1:23" x14ac:dyDescent="0.2">
      <c r="A706" s="5" t="s">
        <v>827</v>
      </c>
      <c r="B706" s="6" t="s">
        <v>27</v>
      </c>
      <c r="C706" s="6" t="s">
        <v>45</v>
      </c>
      <c r="D706" s="65" t="str">
        <f t="shared" ref="D706:D769" si="35">A706&amp;"_"&amp;B706&amp;"_"&amp;C706</f>
        <v>064_S_c</v>
      </c>
      <c r="E706">
        <v>96</v>
      </c>
      <c r="F706" t="s">
        <v>68</v>
      </c>
      <c r="G706" t="s">
        <v>836</v>
      </c>
      <c r="I706">
        <v>4.1925989035412696</v>
      </c>
      <c r="K706" s="82">
        <v>15.7</v>
      </c>
      <c r="L706" s="82">
        <v>60.5</v>
      </c>
      <c r="M706">
        <v>64.099999999999994</v>
      </c>
      <c r="N706" s="82">
        <v>39</v>
      </c>
      <c r="O706" s="44">
        <f t="shared" si="34"/>
        <v>15.54725588025657</v>
      </c>
      <c r="P706">
        <f t="shared" ref="P706:P769" si="36">AVERAGE(J706:N706)</f>
        <v>44.825000000000003</v>
      </c>
      <c r="Q706" s="111">
        <v>0.41599999999999998</v>
      </c>
      <c r="R706">
        <v>0.434</v>
      </c>
      <c r="S706" s="65">
        <v>10</v>
      </c>
      <c r="T706">
        <v>30</v>
      </c>
      <c r="U706" t="s">
        <v>47</v>
      </c>
      <c r="V706" t="s">
        <v>32</v>
      </c>
    </row>
    <row r="707" spans="1:23" x14ac:dyDescent="0.2">
      <c r="A707" s="5" t="s">
        <v>827</v>
      </c>
      <c r="B707" s="6" t="s">
        <v>33</v>
      </c>
      <c r="C707" s="6" t="s">
        <v>52</v>
      </c>
      <c r="D707" s="65" t="str">
        <f t="shared" si="35"/>
        <v>064_V_d</v>
      </c>
      <c r="E707">
        <v>112</v>
      </c>
      <c r="F707" t="s">
        <v>41</v>
      </c>
      <c r="G707" t="s">
        <v>837</v>
      </c>
      <c r="I707">
        <v>1.9718800707175901</v>
      </c>
      <c r="J707" s="82">
        <v>6.3</v>
      </c>
      <c r="K707" s="82">
        <v>6.9</v>
      </c>
      <c r="L707" s="82">
        <v>21.9</v>
      </c>
      <c r="M707">
        <v>29.8</v>
      </c>
      <c r="N707" s="82">
        <v>34.5</v>
      </c>
      <c r="O707" s="44">
        <f t="shared" si="34"/>
        <v>8.2577812018490047</v>
      </c>
      <c r="P707">
        <f t="shared" si="36"/>
        <v>19.88</v>
      </c>
      <c r="Q707" s="111">
        <v>0.122</v>
      </c>
      <c r="R707">
        <v>0.186</v>
      </c>
      <c r="S707" s="65">
        <v>8</v>
      </c>
      <c r="T707">
        <v>36</v>
      </c>
      <c r="U707" t="s">
        <v>54</v>
      </c>
      <c r="V707" t="s">
        <v>32</v>
      </c>
    </row>
    <row r="708" spans="1:23" ht="16" x14ac:dyDescent="0.2">
      <c r="A708" s="5" t="s">
        <v>827</v>
      </c>
      <c r="B708" s="6" t="s">
        <v>27</v>
      </c>
      <c r="C708" s="6" t="s">
        <v>52</v>
      </c>
      <c r="D708" s="65" t="str">
        <f t="shared" si="35"/>
        <v>064_S_d</v>
      </c>
      <c r="E708">
        <v>132</v>
      </c>
      <c r="F708" t="s">
        <v>41</v>
      </c>
      <c r="G708" t="s">
        <v>838</v>
      </c>
      <c r="I708">
        <v>2.2486333325191099</v>
      </c>
      <c r="J708" s="82">
        <v>10.1</v>
      </c>
      <c r="K708" s="82">
        <v>9.1999999999999993</v>
      </c>
      <c r="L708" s="84">
        <v>21.9</v>
      </c>
      <c r="M708" s="81">
        <v>1</v>
      </c>
      <c r="N708" s="82">
        <v>27.7</v>
      </c>
      <c r="O708" s="44">
        <f t="shared" si="34"/>
        <v>7.0157977883096398</v>
      </c>
      <c r="P708">
        <f t="shared" si="36"/>
        <v>13.979999999999999</v>
      </c>
      <c r="Q708" s="111">
        <v>0.17399999999999999</v>
      </c>
      <c r="R708">
        <v>0.19400000000000001</v>
      </c>
      <c r="S708" s="65">
        <v>7</v>
      </c>
      <c r="T708">
        <v>63</v>
      </c>
      <c r="U708" t="s">
        <v>47</v>
      </c>
      <c r="V708" t="s">
        <v>32</v>
      </c>
    </row>
    <row r="709" spans="1:23" ht="16" x14ac:dyDescent="0.2">
      <c r="A709" s="5" t="s">
        <v>827</v>
      </c>
      <c r="B709" s="6" t="s">
        <v>36</v>
      </c>
      <c r="C709" s="6" t="s">
        <v>52</v>
      </c>
      <c r="D709" s="65" t="str">
        <f t="shared" si="35"/>
        <v>064_O_d</v>
      </c>
      <c r="E709">
        <v>134</v>
      </c>
      <c r="F709" t="s">
        <v>82</v>
      </c>
      <c r="G709" t="s">
        <v>839</v>
      </c>
      <c r="I709">
        <v>5.1775932784806997</v>
      </c>
      <c r="J709" s="82">
        <v>62.2</v>
      </c>
      <c r="K709" s="82">
        <v>38.6</v>
      </c>
      <c r="L709" s="84">
        <v>53.1</v>
      </c>
      <c r="M709" s="82">
        <v>22.9</v>
      </c>
      <c r="N709" s="82">
        <v>39.200000000000003</v>
      </c>
      <c r="O709" s="44">
        <f t="shared" si="34"/>
        <v>6.6987933634992336</v>
      </c>
      <c r="P709">
        <f t="shared" si="36"/>
        <v>43.2</v>
      </c>
      <c r="Q709" s="111">
        <v>0.377</v>
      </c>
      <c r="R709">
        <v>0.68200000000000005</v>
      </c>
      <c r="S709" s="65">
        <v>14</v>
      </c>
      <c r="T709">
        <v>19</v>
      </c>
      <c r="U709" t="s">
        <v>54</v>
      </c>
      <c r="V709" t="s">
        <v>32</v>
      </c>
    </row>
    <row r="710" spans="1:23" ht="16" x14ac:dyDescent="0.2">
      <c r="A710" s="5" t="s">
        <v>840</v>
      </c>
      <c r="B710" s="6" t="s">
        <v>27</v>
      </c>
      <c r="C710" s="6" t="s">
        <v>28</v>
      </c>
      <c r="D710" s="65" t="str">
        <f t="shared" si="35"/>
        <v>065_S_a</v>
      </c>
      <c r="E710">
        <v>1</v>
      </c>
      <c r="F710" t="s">
        <v>41</v>
      </c>
      <c r="G710" t="s">
        <v>841</v>
      </c>
      <c r="I710">
        <v>0.31312384473197802</v>
      </c>
      <c r="J710" s="84">
        <v>1</v>
      </c>
      <c r="K710" s="82">
        <v>3.5</v>
      </c>
      <c r="L710" s="82">
        <v>2.2000000000000002</v>
      </c>
      <c r="M710" s="82">
        <v>1.4</v>
      </c>
      <c r="N710" s="82">
        <v>5.5</v>
      </c>
      <c r="O710" s="44">
        <f t="shared" si="34"/>
        <v>0.60041152263374498</v>
      </c>
      <c r="P710">
        <f t="shared" si="36"/>
        <v>2.7199999999999998</v>
      </c>
      <c r="Q710" s="111">
        <v>1.4999999999999999E-2</v>
      </c>
      <c r="R710">
        <v>3.6999999999999998E-2</v>
      </c>
      <c r="S710" s="65">
        <v>3</v>
      </c>
      <c r="T710">
        <v>14</v>
      </c>
      <c r="U710" t="s">
        <v>31</v>
      </c>
      <c r="V710" t="s">
        <v>32</v>
      </c>
    </row>
    <row r="711" spans="1:23" ht="16" x14ac:dyDescent="0.2">
      <c r="A711" s="5" t="s">
        <v>840</v>
      </c>
      <c r="B711" s="6" t="s">
        <v>36</v>
      </c>
      <c r="C711" s="6" t="s">
        <v>28</v>
      </c>
      <c r="D711" s="65" t="str">
        <f t="shared" si="35"/>
        <v>065_O_a</v>
      </c>
      <c r="E711">
        <v>2</v>
      </c>
      <c r="F711" t="s">
        <v>29</v>
      </c>
      <c r="G711" t="s">
        <v>842</v>
      </c>
      <c r="I711">
        <v>4.07010027347311</v>
      </c>
      <c r="J711" s="84">
        <v>15.5</v>
      </c>
      <c r="K711" s="82">
        <v>37.799999999999997</v>
      </c>
      <c r="L711" s="82">
        <v>32.700000000000003</v>
      </c>
      <c r="M711" s="82">
        <v>38.6</v>
      </c>
      <c r="N711" s="82">
        <v>47.2</v>
      </c>
      <c r="O711" s="44">
        <f t="shared" si="34"/>
        <v>3.7137506688068558</v>
      </c>
      <c r="P711">
        <f t="shared" si="36"/>
        <v>34.36</v>
      </c>
      <c r="Q711" s="111">
        <v>0.35099999999999998</v>
      </c>
      <c r="R711">
        <v>0.47699999999999998</v>
      </c>
      <c r="S711" s="65">
        <v>23</v>
      </c>
      <c r="T711">
        <v>17</v>
      </c>
      <c r="U711" t="s">
        <v>54</v>
      </c>
      <c r="V711" t="s">
        <v>32</v>
      </c>
    </row>
    <row r="712" spans="1:23" s="19" customFormat="1" ht="16" x14ac:dyDescent="0.2">
      <c r="A712" s="27" t="s">
        <v>840</v>
      </c>
      <c r="B712" s="19" t="s">
        <v>33</v>
      </c>
      <c r="C712" s="19" t="s">
        <v>28</v>
      </c>
      <c r="D712" s="66" t="str">
        <f t="shared" si="35"/>
        <v>065_V_a</v>
      </c>
      <c r="E712" s="19">
        <v>3</v>
      </c>
      <c r="F712" s="19" t="s">
        <v>82</v>
      </c>
      <c r="G712" s="19" t="s">
        <v>843</v>
      </c>
      <c r="I712">
        <v>4.9998148433883696</v>
      </c>
      <c r="J712" s="85">
        <v>13.3</v>
      </c>
      <c r="K712" s="83">
        <v>5.7</v>
      </c>
      <c r="L712" s="83">
        <v>4.9000000000000004</v>
      </c>
      <c r="M712" s="83">
        <v>14.7</v>
      </c>
      <c r="N712" s="83">
        <v>5.8</v>
      </c>
      <c r="O712" s="54">
        <f t="shared" si="34"/>
        <v>2.6594127806563086</v>
      </c>
      <c r="P712">
        <f t="shared" si="36"/>
        <v>8.879999999999999</v>
      </c>
      <c r="Q712" s="112">
        <v>0.94599999999999995</v>
      </c>
      <c r="R712" s="19">
        <v>0.52100000000000002</v>
      </c>
      <c r="S712" s="66">
        <v>11</v>
      </c>
      <c r="T712" s="19">
        <v>68</v>
      </c>
      <c r="U712" t="s">
        <v>260</v>
      </c>
      <c r="V712" t="s">
        <v>32</v>
      </c>
    </row>
    <row r="713" spans="1:23" x14ac:dyDescent="0.2">
      <c r="A713" s="5" t="s">
        <v>840</v>
      </c>
      <c r="B713" s="6" t="s">
        <v>27</v>
      </c>
      <c r="C713" s="6" t="s">
        <v>38</v>
      </c>
      <c r="D713" s="65" t="str">
        <f t="shared" si="35"/>
        <v>065_S_b</v>
      </c>
      <c r="E713">
        <v>39</v>
      </c>
      <c r="F713" t="s">
        <v>29</v>
      </c>
      <c r="G713" t="s">
        <v>844</v>
      </c>
      <c r="I713">
        <v>3.5160982264665801</v>
      </c>
      <c r="J713" s="82">
        <v>26.1</v>
      </c>
      <c r="K713" s="82">
        <v>30.8</v>
      </c>
      <c r="L713" s="82">
        <v>50.9</v>
      </c>
      <c r="M713" s="82">
        <v>14.5</v>
      </c>
      <c r="N713" s="82">
        <v>39.5</v>
      </c>
      <c r="O713" s="44">
        <f t="shared" si="34"/>
        <v>7.5397928590896601</v>
      </c>
      <c r="P713">
        <f t="shared" si="36"/>
        <v>32.36</v>
      </c>
      <c r="Q713" s="111">
        <v>0.35499999999999998</v>
      </c>
      <c r="R713">
        <v>0.39200000000000002</v>
      </c>
      <c r="S713" s="65">
        <v>19</v>
      </c>
      <c r="T713">
        <v>30</v>
      </c>
      <c r="U713" t="s">
        <v>51</v>
      </c>
      <c r="V713" t="s">
        <v>32</v>
      </c>
    </row>
    <row r="714" spans="1:23" x14ac:dyDescent="0.2">
      <c r="A714" s="1" t="s">
        <v>840</v>
      </c>
      <c r="B714" t="s">
        <v>33</v>
      </c>
      <c r="C714" t="s">
        <v>38</v>
      </c>
      <c r="D714" s="65" t="str">
        <f t="shared" si="35"/>
        <v>065_V_b</v>
      </c>
      <c r="E714">
        <v>56</v>
      </c>
      <c r="F714" t="s">
        <v>43</v>
      </c>
      <c r="G714" t="s">
        <v>845</v>
      </c>
      <c r="I714">
        <v>2.5265880893300201</v>
      </c>
      <c r="J714" s="82">
        <v>11.4</v>
      </c>
      <c r="K714" s="82">
        <v>10.4</v>
      </c>
      <c r="L714" s="82">
        <v>14.8</v>
      </c>
      <c r="M714" s="82">
        <v>23.1</v>
      </c>
      <c r="N714" s="82">
        <v>32.6</v>
      </c>
      <c r="O714" s="44">
        <f t="shared" si="34"/>
        <v>2.2277498604131756</v>
      </c>
      <c r="P714">
        <f t="shared" si="36"/>
        <v>18.46</v>
      </c>
      <c r="Q714" s="111">
        <v>0.124</v>
      </c>
      <c r="R714">
        <v>0.34200000000000003</v>
      </c>
      <c r="S714" s="65">
        <v>11</v>
      </c>
      <c r="T714">
        <v>36</v>
      </c>
      <c r="U714" t="s">
        <v>31</v>
      </c>
      <c r="V714" t="s">
        <v>32</v>
      </c>
    </row>
    <row r="715" spans="1:23" x14ac:dyDescent="0.2">
      <c r="A715" s="5" t="s">
        <v>840</v>
      </c>
      <c r="B715" s="6" t="s">
        <v>36</v>
      </c>
      <c r="C715" s="6" t="s">
        <v>38</v>
      </c>
      <c r="D715" s="65" t="str">
        <f t="shared" si="35"/>
        <v>065_O_b</v>
      </c>
      <c r="E715">
        <v>64</v>
      </c>
      <c r="F715" t="s">
        <v>68</v>
      </c>
      <c r="G715" t="s">
        <v>846</v>
      </c>
      <c r="I715">
        <v>5.1267842803260697</v>
      </c>
      <c r="J715" s="82">
        <v>30.9</v>
      </c>
      <c r="K715" s="82">
        <v>18.8</v>
      </c>
      <c r="L715" s="82">
        <v>36.6</v>
      </c>
      <c r="M715" s="82">
        <v>24</v>
      </c>
      <c r="N715" s="82">
        <v>10</v>
      </c>
      <c r="O715" s="44">
        <f t="shared" si="34"/>
        <v>2.2035358114233894</v>
      </c>
      <c r="P715">
        <f t="shared" si="36"/>
        <v>24.060000000000002</v>
      </c>
      <c r="Q715" s="111">
        <v>0.185</v>
      </c>
      <c r="R715">
        <v>0.318</v>
      </c>
      <c r="S715" s="65">
        <v>13</v>
      </c>
      <c r="T715">
        <v>11</v>
      </c>
      <c r="U715" t="s">
        <v>31</v>
      </c>
      <c r="V715" t="s">
        <v>32</v>
      </c>
    </row>
    <row r="716" spans="1:23" x14ac:dyDescent="0.2">
      <c r="A716" s="5" t="s">
        <v>840</v>
      </c>
      <c r="B716" s="6" t="s">
        <v>36</v>
      </c>
      <c r="C716" s="6" t="s">
        <v>45</v>
      </c>
      <c r="D716" s="65" t="str">
        <f t="shared" si="35"/>
        <v>065_O_c</v>
      </c>
      <c r="E716">
        <v>77</v>
      </c>
      <c r="F716" t="s">
        <v>70</v>
      </c>
      <c r="G716" t="s">
        <v>847</v>
      </c>
      <c r="I716">
        <v>3.2561346466481802</v>
      </c>
      <c r="J716" s="82">
        <v>27</v>
      </c>
      <c r="K716" s="82">
        <v>11.7</v>
      </c>
      <c r="L716" s="82">
        <v>14.7</v>
      </c>
      <c r="M716" s="82">
        <v>35.4</v>
      </c>
      <c r="N716" s="82">
        <v>33</v>
      </c>
      <c r="O716" s="44">
        <f t="shared" si="34"/>
        <v>5.4621621621621506</v>
      </c>
      <c r="P716">
        <f t="shared" si="36"/>
        <v>24.360000000000003</v>
      </c>
      <c r="Q716" s="111">
        <v>0.216</v>
      </c>
      <c r="R716">
        <v>0.33900000000000002</v>
      </c>
      <c r="S716" s="65">
        <v>14</v>
      </c>
      <c r="T716">
        <v>63</v>
      </c>
      <c r="U716" t="s">
        <v>51</v>
      </c>
      <c r="V716" t="s">
        <v>32</v>
      </c>
    </row>
    <row r="717" spans="1:23" x14ac:dyDescent="0.2">
      <c r="A717" s="5" t="s">
        <v>840</v>
      </c>
      <c r="B717" s="6" t="s">
        <v>33</v>
      </c>
      <c r="C717" s="6" t="s">
        <v>45</v>
      </c>
      <c r="D717" s="65" t="str">
        <f t="shared" si="35"/>
        <v>065_V_c</v>
      </c>
      <c r="E717">
        <v>82</v>
      </c>
      <c r="F717" t="s">
        <v>41</v>
      </c>
      <c r="G717" t="s">
        <v>848</v>
      </c>
      <c r="I717">
        <v>1.3482394889318099</v>
      </c>
      <c r="J717" s="82">
        <v>7.7</v>
      </c>
      <c r="K717" s="82">
        <v>8</v>
      </c>
      <c r="L717" s="82">
        <v>44.9</v>
      </c>
      <c r="M717" s="82">
        <v>27.4</v>
      </c>
      <c r="N717" s="82">
        <v>40.200000000000003</v>
      </c>
      <c r="O717" s="44">
        <f t="shared" si="34"/>
        <v>14.455454545454536</v>
      </c>
      <c r="P717">
        <f t="shared" si="36"/>
        <v>25.639999999999997</v>
      </c>
      <c r="Q717" s="111">
        <v>0.109</v>
      </c>
      <c r="R717">
        <v>0.23699999999999999</v>
      </c>
      <c r="S717" s="65">
        <v>6</v>
      </c>
      <c r="T717">
        <v>29</v>
      </c>
      <c r="U717" t="s">
        <v>72</v>
      </c>
      <c r="V717" t="s">
        <v>32</v>
      </c>
    </row>
    <row r="718" spans="1:23" x14ac:dyDescent="0.2">
      <c r="A718" s="5" t="s">
        <v>840</v>
      </c>
      <c r="B718" s="6" t="s">
        <v>27</v>
      </c>
      <c r="C718" s="6" t="s">
        <v>45</v>
      </c>
      <c r="D718" s="65" t="str">
        <f t="shared" si="35"/>
        <v>065_S_c</v>
      </c>
      <c r="E718">
        <v>108</v>
      </c>
      <c r="F718" t="s">
        <v>63</v>
      </c>
      <c r="G718" t="s">
        <v>849</v>
      </c>
      <c r="I718">
        <v>6.16372350782596</v>
      </c>
      <c r="J718" s="82">
        <v>44.2</v>
      </c>
      <c r="K718" s="82">
        <v>34.200000000000003</v>
      </c>
      <c r="L718" s="82">
        <v>10.3</v>
      </c>
      <c r="M718">
        <v>27.1</v>
      </c>
      <c r="N718" s="82">
        <v>33.799999999999997</v>
      </c>
      <c r="O718" s="44">
        <f t="shared" si="34"/>
        <v>7.0393782383419667</v>
      </c>
      <c r="P718">
        <f t="shared" si="36"/>
        <v>29.920000000000005</v>
      </c>
      <c r="Q718" s="111">
        <v>0.51</v>
      </c>
      <c r="R718">
        <v>0.51100000000000001</v>
      </c>
      <c r="S718" s="65">
        <v>12</v>
      </c>
      <c r="T718">
        <v>58</v>
      </c>
      <c r="U718" t="s">
        <v>47</v>
      </c>
      <c r="V718" t="s">
        <v>32</v>
      </c>
    </row>
    <row r="719" spans="1:23" x14ac:dyDescent="0.2">
      <c r="A719" s="5" t="s">
        <v>840</v>
      </c>
      <c r="B719" s="6" t="s">
        <v>27</v>
      </c>
      <c r="C719" s="6" t="s">
        <v>52</v>
      </c>
      <c r="D719" s="65" t="str">
        <f t="shared" si="35"/>
        <v>065_S_d</v>
      </c>
      <c r="E719">
        <v>115</v>
      </c>
      <c r="F719" t="s">
        <v>70</v>
      </c>
      <c r="G719" t="s">
        <v>850</v>
      </c>
      <c r="H719" t="s">
        <v>56</v>
      </c>
      <c r="I719">
        <v>0</v>
      </c>
      <c r="J719" s="82">
        <v>1.1000000000000001</v>
      </c>
      <c r="K719" s="82">
        <v>1</v>
      </c>
      <c r="L719" s="82">
        <v>1</v>
      </c>
      <c r="M719">
        <v>1</v>
      </c>
      <c r="N719" s="82">
        <v>0.9</v>
      </c>
      <c r="O719" s="44">
        <f t="shared" si="34"/>
        <v>2.4390243902439068E-3</v>
      </c>
      <c r="P719">
        <f t="shared" si="36"/>
        <v>1</v>
      </c>
      <c r="Q719" s="111" t="s">
        <v>57</v>
      </c>
      <c r="R719" t="s">
        <v>57</v>
      </c>
      <c r="S719" s="65" t="s">
        <v>57</v>
      </c>
      <c r="T719" t="s">
        <v>57</v>
      </c>
      <c r="V719" t="s">
        <v>32</v>
      </c>
      <c r="W719" t="s">
        <v>67</v>
      </c>
    </row>
    <row r="720" spans="1:23" ht="16" x14ac:dyDescent="0.2">
      <c r="A720" s="5" t="s">
        <v>840</v>
      </c>
      <c r="B720" s="6" t="s">
        <v>33</v>
      </c>
      <c r="C720" s="6" t="s">
        <v>52</v>
      </c>
      <c r="D720" s="65" t="str">
        <f t="shared" si="35"/>
        <v>065_V_d</v>
      </c>
      <c r="E720">
        <v>135</v>
      </c>
      <c r="F720" t="s">
        <v>49</v>
      </c>
      <c r="G720" t="s">
        <v>851</v>
      </c>
      <c r="I720">
        <v>4.5873160476524202</v>
      </c>
      <c r="J720" s="82">
        <v>33.5</v>
      </c>
      <c r="K720" s="82">
        <v>39.1</v>
      </c>
      <c r="L720" s="84">
        <v>36.700000000000003</v>
      </c>
      <c r="M720" s="82">
        <v>35.1</v>
      </c>
      <c r="N720" s="82">
        <v>28.6</v>
      </c>
      <c r="O720" s="44">
        <f t="shared" si="34"/>
        <v>0.15807940904893825</v>
      </c>
      <c r="P720">
        <f t="shared" si="36"/>
        <v>34.6</v>
      </c>
      <c r="Q720" s="111">
        <v>0.26500000000000001</v>
      </c>
      <c r="R720">
        <v>0.3</v>
      </c>
      <c r="S720" s="65">
        <v>12</v>
      </c>
      <c r="T720">
        <v>21</v>
      </c>
      <c r="U720" t="s">
        <v>47</v>
      </c>
      <c r="V720" t="s">
        <v>32</v>
      </c>
    </row>
    <row r="721" spans="1:23" ht="16" x14ac:dyDescent="0.2">
      <c r="A721" s="5" t="s">
        <v>840</v>
      </c>
      <c r="B721" s="6" t="s">
        <v>36</v>
      </c>
      <c r="C721" s="6" t="s">
        <v>52</v>
      </c>
      <c r="D721" s="65" t="str">
        <f t="shared" si="35"/>
        <v>065_O_d</v>
      </c>
      <c r="E721">
        <v>143</v>
      </c>
      <c r="F721" t="s">
        <v>63</v>
      </c>
      <c r="G721" t="s">
        <v>852</v>
      </c>
      <c r="I721">
        <v>2.3543028531877299</v>
      </c>
      <c r="J721" s="82">
        <v>33.700000000000003</v>
      </c>
      <c r="K721" s="82">
        <v>35.299999999999997</v>
      </c>
      <c r="L721" s="84">
        <v>33.5</v>
      </c>
      <c r="M721" s="82">
        <v>31.8</v>
      </c>
      <c r="N721" s="82">
        <v>46.3</v>
      </c>
      <c r="O721" s="44">
        <f t="shared" si="34"/>
        <v>6.103251427153128E-2</v>
      </c>
      <c r="P721">
        <f t="shared" si="36"/>
        <v>36.120000000000005</v>
      </c>
      <c r="Q721" s="111">
        <v>0.33</v>
      </c>
      <c r="R721">
        <v>0.40699999999999997</v>
      </c>
      <c r="S721" s="65">
        <v>33</v>
      </c>
      <c r="T721">
        <v>30</v>
      </c>
      <c r="U721" t="s">
        <v>54</v>
      </c>
      <c r="V721" t="s">
        <v>32</v>
      </c>
    </row>
    <row r="722" spans="1:23" s="19" customFormat="1" ht="16" x14ac:dyDescent="0.2">
      <c r="A722" s="27" t="s">
        <v>853</v>
      </c>
      <c r="B722" s="19" t="s">
        <v>33</v>
      </c>
      <c r="C722" s="19" t="s">
        <v>28</v>
      </c>
      <c r="D722" s="66" t="str">
        <f t="shared" si="35"/>
        <v>067_V_a</v>
      </c>
      <c r="E722" s="19">
        <v>2</v>
      </c>
      <c r="F722" s="19" t="s">
        <v>63</v>
      </c>
      <c r="G722" s="19" t="s">
        <v>854</v>
      </c>
      <c r="I722">
        <v>1.0135069670529999</v>
      </c>
      <c r="J722" s="85">
        <v>2.4</v>
      </c>
      <c r="K722" s="83">
        <v>31.4</v>
      </c>
      <c r="L722" s="83">
        <v>23.5</v>
      </c>
      <c r="M722" s="83">
        <v>3</v>
      </c>
      <c r="N722" s="83">
        <v>17.3</v>
      </c>
      <c r="O722" s="54">
        <f t="shared" si="34"/>
        <v>14.238750690989495</v>
      </c>
      <c r="P722">
        <f t="shared" si="36"/>
        <v>15.52</v>
      </c>
      <c r="Q722" s="112">
        <v>0.14299999999999999</v>
      </c>
      <c r="R722" s="19">
        <v>0.35399999999999998</v>
      </c>
      <c r="S722" s="66">
        <v>12</v>
      </c>
      <c r="T722" s="19">
        <v>27</v>
      </c>
      <c r="U722" s="19" t="s">
        <v>54</v>
      </c>
      <c r="V722" t="s">
        <v>32</v>
      </c>
    </row>
    <row r="723" spans="1:23" ht="16" x14ac:dyDescent="0.2">
      <c r="A723" s="5" t="s">
        <v>853</v>
      </c>
      <c r="B723" s="6" t="s">
        <v>36</v>
      </c>
      <c r="C723" s="6" t="s">
        <v>28</v>
      </c>
      <c r="D723" s="65" t="str">
        <f t="shared" si="35"/>
        <v>067_O_a</v>
      </c>
      <c r="E723">
        <v>15</v>
      </c>
      <c r="F723" t="s">
        <v>49</v>
      </c>
      <c r="G723" t="s">
        <v>855</v>
      </c>
      <c r="I723">
        <v>4.0056689287445497</v>
      </c>
      <c r="J723" s="84">
        <v>25.7</v>
      </c>
      <c r="K723" s="82">
        <v>18.8</v>
      </c>
      <c r="L723" s="82">
        <v>21.3</v>
      </c>
      <c r="M723" s="82">
        <v>21.9</v>
      </c>
      <c r="N723" s="82">
        <v>22.2</v>
      </c>
      <c r="O723" s="44">
        <f t="shared" si="34"/>
        <v>0.37107563664006821</v>
      </c>
      <c r="P723">
        <f t="shared" si="36"/>
        <v>21.979999999999997</v>
      </c>
      <c r="Q723" s="111">
        <v>0.251</v>
      </c>
      <c r="R723">
        <v>0.26500000000000001</v>
      </c>
      <c r="S723" s="65">
        <v>17</v>
      </c>
      <c r="T723">
        <v>44</v>
      </c>
      <c r="U723" s="47" t="s">
        <v>51</v>
      </c>
      <c r="V723" t="s">
        <v>32</v>
      </c>
    </row>
    <row r="724" spans="1:23" x14ac:dyDescent="0.2">
      <c r="A724" s="5" t="s">
        <v>853</v>
      </c>
      <c r="B724" s="6" t="s">
        <v>27</v>
      </c>
      <c r="C724" s="6" t="s">
        <v>28</v>
      </c>
      <c r="D724" s="65" t="str">
        <f t="shared" si="35"/>
        <v>067_S_a</v>
      </c>
      <c r="E724">
        <v>34</v>
      </c>
      <c r="F724" t="s">
        <v>39</v>
      </c>
      <c r="G724" t="s">
        <v>856</v>
      </c>
      <c r="I724">
        <v>3.0566839941035</v>
      </c>
      <c r="J724" s="82">
        <v>32.799999999999997</v>
      </c>
      <c r="K724" s="82">
        <v>24.5</v>
      </c>
      <c r="L724" s="82">
        <v>27.2</v>
      </c>
      <c r="M724" s="82">
        <v>28.7</v>
      </c>
      <c r="N724" s="82">
        <v>24.9</v>
      </c>
      <c r="O724" s="44">
        <f t="shared" si="34"/>
        <v>0.42473498233215484</v>
      </c>
      <c r="P724">
        <f t="shared" si="36"/>
        <v>27.619999999999997</v>
      </c>
      <c r="Q724" s="111">
        <v>0.22900000000000001</v>
      </c>
      <c r="R724">
        <v>0.34699999999999998</v>
      </c>
      <c r="S724" s="65">
        <v>11</v>
      </c>
      <c r="T724">
        <v>15</v>
      </c>
      <c r="U724" t="s">
        <v>31</v>
      </c>
      <c r="V724" t="s">
        <v>32</v>
      </c>
    </row>
    <row r="725" spans="1:23" x14ac:dyDescent="0.2">
      <c r="A725" s="5" t="s">
        <v>853</v>
      </c>
      <c r="B725" s="6" t="s">
        <v>27</v>
      </c>
      <c r="C725" s="6" t="s">
        <v>38</v>
      </c>
      <c r="D725" s="65" t="str">
        <f t="shared" si="35"/>
        <v>067_S_b</v>
      </c>
      <c r="E725">
        <v>38</v>
      </c>
      <c r="F725" t="s">
        <v>43</v>
      </c>
      <c r="G725" t="s">
        <v>857</v>
      </c>
      <c r="I725">
        <v>5.1142829812238704</v>
      </c>
      <c r="J725" s="82">
        <v>40.9</v>
      </c>
      <c r="K725" s="82">
        <v>10.3</v>
      </c>
      <c r="L725" s="82">
        <v>33.4</v>
      </c>
      <c r="M725" s="82">
        <v>28.1</v>
      </c>
      <c r="N725" s="82">
        <v>43.6</v>
      </c>
      <c r="O725" s="44">
        <f t="shared" si="34"/>
        <v>6.0188997338065775</v>
      </c>
      <c r="P725">
        <f t="shared" si="36"/>
        <v>31.259999999999998</v>
      </c>
      <c r="Q725" s="111">
        <v>0.33900000000000002</v>
      </c>
      <c r="R725">
        <v>0.51100000000000001</v>
      </c>
      <c r="S725" s="65">
        <v>14</v>
      </c>
      <c r="T725">
        <v>49</v>
      </c>
      <c r="U725" t="s">
        <v>31</v>
      </c>
      <c r="V725" t="s">
        <v>32</v>
      </c>
    </row>
    <row r="726" spans="1:23" x14ac:dyDescent="0.2">
      <c r="A726" s="5" t="s">
        <v>853</v>
      </c>
      <c r="B726" s="6" t="s">
        <v>36</v>
      </c>
      <c r="C726" s="6" t="s">
        <v>38</v>
      </c>
      <c r="D726" s="65" t="str">
        <f t="shared" si="35"/>
        <v>067_O_b</v>
      </c>
      <c r="E726">
        <v>59</v>
      </c>
      <c r="F726" t="s">
        <v>49</v>
      </c>
      <c r="G726" t="s">
        <v>858</v>
      </c>
      <c r="I726">
        <v>2.8479810667160299</v>
      </c>
      <c r="J726" s="82">
        <v>27</v>
      </c>
      <c r="K726" s="82">
        <v>29.6</v>
      </c>
      <c r="L726" s="82">
        <v>30.7</v>
      </c>
      <c r="M726" s="82">
        <v>32</v>
      </c>
      <c r="N726" s="82">
        <v>31.9</v>
      </c>
      <c r="O726" s="44">
        <f t="shared" si="34"/>
        <v>0.15118748253702149</v>
      </c>
      <c r="P726">
        <f t="shared" si="36"/>
        <v>30.24</v>
      </c>
      <c r="Q726" s="111">
        <v>0.21299999999999999</v>
      </c>
      <c r="R726">
        <v>0.29199999999999998</v>
      </c>
      <c r="S726" s="65">
        <v>16</v>
      </c>
      <c r="T726">
        <v>33</v>
      </c>
      <c r="U726" t="s">
        <v>31</v>
      </c>
      <c r="V726" t="s">
        <v>32</v>
      </c>
    </row>
    <row r="727" spans="1:23" x14ac:dyDescent="0.2">
      <c r="A727" s="1" t="s">
        <v>853</v>
      </c>
      <c r="B727" t="s">
        <v>33</v>
      </c>
      <c r="C727" t="s">
        <v>38</v>
      </c>
      <c r="D727" s="65" t="str">
        <f t="shared" si="35"/>
        <v>067_V_b</v>
      </c>
      <c r="E727">
        <v>64</v>
      </c>
      <c r="F727" t="s">
        <v>39</v>
      </c>
      <c r="G727" t="s">
        <v>859</v>
      </c>
      <c r="I727">
        <v>2.8416376688161602</v>
      </c>
      <c r="J727" s="82">
        <v>14.4</v>
      </c>
      <c r="K727" s="82">
        <v>29.3</v>
      </c>
      <c r="L727" s="82">
        <v>17.899999999999999</v>
      </c>
      <c r="M727" s="82">
        <v>12.4</v>
      </c>
      <c r="N727" s="82">
        <v>41.5</v>
      </c>
      <c r="O727" s="44">
        <f t="shared" si="34"/>
        <v>3.0814414414414371</v>
      </c>
      <c r="P727">
        <f t="shared" si="36"/>
        <v>23.1</v>
      </c>
      <c r="Q727" s="111">
        <v>0.14299999999999999</v>
      </c>
      <c r="R727">
        <v>0.22900000000000001</v>
      </c>
      <c r="S727" s="65">
        <v>10</v>
      </c>
      <c r="T727">
        <v>24</v>
      </c>
      <c r="U727" t="s">
        <v>31</v>
      </c>
      <c r="V727" t="s">
        <v>32</v>
      </c>
    </row>
    <row r="728" spans="1:23" x14ac:dyDescent="0.2">
      <c r="A728" s="5" t="s">
        <v>853</v>
      </c>
      <c r="B728" s="6" t="s">
        <v>33</v>
      </c>
      <c r="C728" s="6" t="s">
        <v>45</v>
      </c>
      <c r="D728" s="65" t="str">
        <f t="shared" si="35"/>
        <v>067_V_c</v>
      </c>
      <c r="E728">
        <v>77</v>
      </c>
      <c r="F728" t="s">
        <v>82</v>
      </c>
      <c r="G728" t="s">
        <v>860</v>
      </c>
      <c r="I728">
        <v>2.42474419049441</v>
      </c>
      <c r="J728" s="82">
        <v>36.4</v>
      </c>
      <c r="K728" s="82">
        <v>36</v>
      </c>
      <c r="L728" s="82">
        <v>35.700000000000003</v>
      </c>
      <c r="M728" s="82">
        <v>30</v>
      </c>
      <c r="N728" s="82">
        <v>44.4</v>
      </c>
      <c r="O728" s="44">
        <f t="shared" si="34"/>
        <v>0.26596669080376534</v>
      </c>
      <c r="P728">
        <f t="shared" si="36"/>
        <v>36.500000000000007</v>
      </c>
      <c r="Q728" s="111">
        <v>0.218</v>
      </c>
      <c r="R728">
        <v>0.46200000000000002</v>
      </c>
      <c r="S728" s="65">
        <v>15</v>
      </c>
      <c r="T728">
        <v>14</v>
      </c>
      <c r="U728" t="s">
        <v>51</v>
      </c>
      <c r="V728" t="s">
        <v>32</v>
      </c>
    </row>
    <row r="729" spans="1:23" x14ac:dyDescent="0.2">
      <c r="A729" s="5" t="s">
        <v>853</v>
      </c>
      <c r="B729" s="6" t="s">
        <v>36</v>
      </c>
      <c r="C729" s="6" t="s">
        <v>45</v>
      </c>
      <c r="D729" s="65" t="str">
        <f t="shared" si="35"/>
        <v>067_O_c</v>
      </c>
      <c r="E729">
        <v>85</v>
      </c>
      <c r="F729" t="s">
        <v>82</v>
      </c>
      <c r="G729" t="s">
        <v>861</v>
      </c>
      <c r="I729">
        <v>0.38692643197294002</v>
      </c>
      <c r="J729" s="82">
        <v>3</v>
      </c>
      <c r="K729" s="82">
        <v>2.5</v>
      </c>
      <c r="L729" s="82">
        <v>2.1</v>
      </c>
      <c r="M729" s="82">
        <v>2.5</v>
      </c>
      <c r="N729" s="82">
        <v>20</v>
      </c>
      <c r="O729" s="44">
        <f t="shared" si="34"/>
        <v>5.3795379537954116E-2</v>
      </c>
      <c r="P729">
        <f t="shared" si="36"/>
        <v>6.0200000000000005</v>
      </c>
      <c r="Q729" s="111">
        <v>7.2999999999999995E-2</v>
      </c>
      <c r="R729">
        <v>8.6999999999999994E-2</v>
      </c>
      <c r="S729" s="65">
        <v>16</v>
      </c>
      <c r="T729">
        <v>47</v>
      </c>
      <c r="U729" t="s">
        <v>72</v>
      </c>
      <c r="V729" t="s">
        <v>32</v>
      </c>
    </row>
    <row r="730" spans="1:23" x14ac:dyDescent="0.2">
      <c r="A730" s="5" t="s">
        <v>853</v>
      </c>
      <c r="B730" s="6" t="s">
        <v>27</v>
      </c>
      <c r="C730" s="6" t="s">
        <v>45</v>
      </c>
      <c r="D730" s="65" t="str">
        <f t="shared" si="35"/>
        <v>067_S_c</v>
      </c>
      <c r="E730">
        <v>87</v>
      </c>
      <c r="F730" t="s">
        <v>29</v>
      </c>
      <c r="G730" t="s">
        <v>862</v>
      </c>
      <c r="I730">
        <v>0</v>
      </c>
      <c r="J730" s="82">
        <v>1</v>
      </c>
      <c r="K730" s="82">
        <v>19.100000000000001</v>
      </c>
      <c r="L730" s="82">
        <v>0.9</v>
      </c>
      <c r="M730" s="82">
        <v>1</v>
      </c>
      <c r="N730" s="82">
        <v>0.9</v>
      </c>
      <c r="O730" s="44">
        <f t="shared" si="34"/>
        <v>14.946666666666671</v>
      </c>
      <c r="P730">
        <f t="shared" si="36"/>
        <v>4.58</v>
      </c>
      <c r="Q730" s="111" t="s">
        <v>57</v>
      </c>
      <c r="R730" s="6" t="s">
        <v>57</v>
      </c>
      <c r="S730" s="65" t="s">
        <v>57</v>
      </c>
      <c r="T730" s="6" t="s">
        <v>57</v>
      </c>
      <c r="U730" s="6" t="s">
        <v>57</v>
      </c>
      <c r="V730" t="s">
        <v>32</v>
      </c>
      <c r="W730" t="s">
        <v>517</v>
      </c>
    </row>
    <row r="731" spans="1:23" x14ac:dyDescent="0.2">
      <c r="A731" s="5" t="s">
        <v>853</v>
      </c>
      <c r="B731" s="6" t="s">
        <v>33</v>
      </c>
      <c r="C731" s="6" t="s">
        <v>52</v>
      </c>
      <c r="D731" s="65" t="str">
        <f t="shared" si="35"/>
        <v>067_V_d</v>
      </c>
      <c r="E731">
        <v>110</v>
      </c>
      <c r="F731" t="s">
        <v>82</v>
      </c>
      <c r="G731" t="s">
        <v>863</v>
      </c>
      <c r="I731">
        <v>1.02730941918227</v>
      </c>
      <c r="J731" s="82">
        <v>14.4</v>
      </c>
      <c r="K731" s="82">
        <v>2</v>
      </c>
      <c r="L731" s="82">
        <v>17.7</v>
      </c>
      <c r="M731">
        <v>12.2</v>
      </c>
      <c r="N731" s="82">
        <v>16</v>
      </c>
      <c r="O731" s="44">
        <f t="shared" si="34"/>
        <v>3.9616270698344169</v>
      </c>
      <c r="P731">
        <f t="shared" si="36"/>
        <v>12.459999999999999</v>
      </c>
      <c r="Q731" s="111">
        <v>0.11</v>
      </c>
      <c r="R731">
        <v>0.21099999999999999</v>
      </c>
      <c r="S731" s="65">
        <v>10</v>
      </c>
      <c r="T731">
        <v>20</v>
      </c>
      <c r="U731" t="s">
        <v>54</v>
      </c>
      <c r="V731" t="s">
        <v>32</v>
      </c>
    </row>
    <row r="732" spans="1:23" s="19" customFormat="1" ht="16" x14ac:dyDescent="0.2">
      <c r="A732" s="17" t="s">
        <v>853</v>
      </c>
      <c r="B732" s="18" t="s">
        <v>27</v>
      </c>
      <c r="C732" s="18" t="s">
        <v>52</v>
      </c>
      <c r="D732" s="66" t="str">
        <f t="shared" si="35"/>
        <v>067_S_d</v>
      </c>
      <c r="E732" s="19">
        <v>122</v>
      </c>
      <c r="F732" s="19" t="s">
        <v>49</v>
      </c>
      <c r="G732" s="19" t="s">
        <v>864</v>
      </c>
      <c r="H732" s="19" t="s">
        <v>56</v>
      </c>
      <c r="I732">
        <v>0</v>
      </c>
      <c r="J732" s="83">
        <v>1.1000000000000001</v>
      </c>
      <c r="K732" s="83">
        <v>1</v>
      </c>
      <c r="L732" s="85">
        <v>1</v>
      </c>
      <c r="M732" s="19">
        <v>1</v>
      </c>
      <c r="N732" s="83">
        <v>0.9</v>
      </c>
      <c r="O732" s="54">
        <f t="shared" si="34"/>
        <v>2.4390243902439068E-3</v>
      </c>
      <c r="P732">
        <f t="shared" si="36"/>
        <v>1</v>
      </c>
      <c r="Q732" s="112" t="s">
        <v>57</v>
      </c>
      <c r="R732" s="19" t="s">
        <v>57</v>
      </c>
      <c r="S732" s="66" t="s">
        <v>57</v>
      </c>
      <c r="T732" s="19" t="s">
        <v>57</v>
      </c>
      <c r="V732" t="s">
        <v>32</v>
      </c>
      <c r="W732" s="19" t="s">
        <v>67</v>
      </c>
    </row>
    <row r="733" spans="1:23" ht="16" x14ac:dyDescent="0.2">
      <c r="A733" s="5" t="s">
        <v>853</v>
      </c>
      <c r="B733" s="6" t="s">
        <v>36</v>
      </c>
      <c r="C733" s="6" t="s">
        <v>52</v>
      </c>
      <c r="D733" s="65" t="str">
        <f t="shared" si="35"/>
        <v>067_O_d</v>
      </c>
      <c r="E733">
        <v>126</v>
      </c>
      <c r="F733" t="s">
        <v>63</v>
      </c>
      <c r="G733" t="s">
        <v>865</v>
      </c>
      <c r="I733">
        <v>3.0375257208179902</v>
      </c>
      <c r="J733" s="82">
        <v>21.2</v>
      </c>
      <c r="K733" s="82">
        <v>22.8</v>
      </c>
      <c r="L733" s="84">
        <v>25.5</v>
      </c>
      <c r="M733">
        <v>23.6</v>
      </c>
      <c r="N733" s="82">
        <v>28.9</v>
      </c>
      <c r="O733" s="44">
        <f t="shared" si="34"/>
        <v>0.13730755460078775</v>
      </c>
      <c r="P733">
        <f t="shared" si="36"/>
        <v>24.4</v>
      </c>
      <c r="Q733" s="111">
        <v>0.182</v>
      </c>
      <c r="R733">
        <v>0.245</v>
      </c>
      <c r="S733" s="65">
        <v>20</v>
      </c>
      <c r="T733">
        <v>48</v>
      </c>
      <c r="U733" t="s">
        <v>51</v>
      </c>
      <c r="V733" t="s">
        <v>32</v>
      </c>
    </row>
    <row r="734" spans="1:23" ht="16" x14ac:dyDescent="0.2">
      <c r="A734" s="1" t="s">
        <v>866</v>
      </c>
      <c r="B734" t="s">
        <v>33</v>
      </c>
      <c r="C734" t="s">
        <v>28</v>
      </c>
      <c r="D734" s="65" t="str">
        <f t="shared" si="35"/>
        <v>068_V_a</v>
      </c>
      <c r="E734">
        <v>8</v>
      </c>
      <c r="F734" t="s">
        <v>82</v>
      </c>
      <c r="G734" t="s">
        <v>867</v>
      </c>
      <c r="I734">
        <v>3.0090630784564998</v>
      </c>
      <c r="J734" s="84">
        <v>29.9</v>
      </c>
      <c r="K734" s="82">
        <v>32.5</v>
      </c>
      <c r="L734" s="82">
        <v>36.799999999999997</v>
      </c>
      <c r="M734" s="82">
        <v>6.2</v>
      </c>
      <c r="N734" s="82">
        <v>45.8</v>
      </c>
      <c r="O734" s="44">
        <f t="shared" si="34"/>
        <v>7.1555977229601542</v>
      </c>
      <c r="P734">
        <f t="shared" si="36"/>
        <v>30.24</v>
      </c>
      <c r="Q734" s="111">
        <v>0.44700000000000001</v>
      </c>
      <c r="R734">
        <v>0.64800000000000002</v>
      </c>
      <c r="S734" s="65">
        <v>12</v>
      </c>
      <c r="T734">
        <v>13</v>
      </c>
      <c r="U734" t="s">
        <v>31</v>
      </c>
      <c r="V734" t="s">
        <v>32</v>
      </c>
      <c r="W734" t="s">
        <v>868</v>
      </c>
    </row>
    <row r="735" spans="1:23" x14ac:dyDescent="0.2">
      <c r="A735" s="5" t="s">
        <v>866</v>
      </c>
      <c r="B735" s="6" t="s">
        <v>27</v>
      </c>
      <c r="C735" s="6" t="s">
        <v>28</v>
      </c>
      <c r="D735" s="65" t="str">
        <f t="shared" si="35"/>
        <v>068_S_a</v>
      </c>
      <c r="E735">
        <v>30</v>
      </c>
      <c r="F735" t="s">
        <v>41</v>
      </c>
      <c r="G735" t="s">
        <v>869</v>
      </c>
      <c r="I735">
        <v>3.4976826745681202</v>
      </c>
      <c r="J735" s="82">
        <v>42.4</v>
      </c>
      <c r="K735" s="82">
        <v>47.4</v>
      </c>
      <c r="L735" s="82">
        <v>52.3</v>
      </c>
      <c r="M735" s="82">
        <v>11.3</v>
      </c>
      <c r="N735" s="82">
        <v>50.6</v>
      </c>
      <c r="O735" s="44">
        <f t="shared" si="34"/>
        <v>8.9057800956105932</v>
      </c>
      <c r="P735">
        <f t="shared" si="36"/>
        <v>40.799999999999997</v>
      </c>
      <c r="Q735" s="111">
        <v>0.501</v>
      </c>
      <c r="R735">
        <v>0.61499999999999999</v>
      </c>
      <c r="S735" s="65">
        <v>17</v>
      </c>
      <c r="T735">
        <v>57</v>
      </c>
      <c r="U735" t="s">
        <v>72</v>
      </c>
      <c r="V735" t="s">
        <v>32</v>
      </c>
    </row>
    <row r="736" spans="1:23" x14ac:dyDescent="0.2">
      <c r="A736" s="5" t="s">
        <v>866</v>
      </c>
      <c r="B736" s="6" t="s">
        <v>36</v>
      </c>
      <c r="C736" s="6" t="s">
        <v>28</v>
      </c>
      <c r="D736" s="65" t="str">
        <f t="shared" si="35"/>
        <v>068_O_a</v>
      </c>
      <c r="E736">
        <v>33</v>
      </c>
      <c r="F736" t="s">
        <v>49</v>
      </c>
      <c r="G736" t="s">
        <v>870</v>
      </c>
      <c r="I736">
        <v>5.0853075170842796</v>
      </c>
      <c r="J736" s="82">
        <v>35.6</v>
      </c>
      <c r="K736" s="82">
        <v>36.4</v>
      </c>
      <c r="L736" s="82">
        <v>22.8</v>
      </c>
      <c r="M736" s="82">
        <v>35.799999999999997</v>
      </c>
      <c r="N736" s="82">
        <v>34.6</v>
      </c>
      <c r="O736" s="44">
        <f t="shared" ref="O736:O799" si="37">VAR(J736:M736)/AVERAGE(J736:M736)</f>
        <v>1.3242470648289948</v>
      </c>
      <c r="P736">
        <f t="shared" si="36"/>
        <v>33.04</v>
      </c>
      <c r="Q736" s="111">
        <v>0.39700000000000002</v>
      </c>
      <c r="R736">
        <v>0.57199999999999995</v>
      </c>
      <c r="S736" s="65">
        <v>11</v>
      </c>
      <c r="T736">
        <v>10</v>
      </c>
      <c r="U736" t="s">
        <v>31</v>
      </c>
      <c r="V736" t="s">
        <v>32</v>
      </c>
    </row>
    <row r="737" spans="1:23" x14ac:dyDescent="0.2">
      <c r="A737" s="5" t="s">
        <v>866</v>
      </c>
      <c r="B737" s="6" t="s">
        <v>36</v>
      </c>
      <c r="C737" s="6" t="s">
        <v>38</v>
      </c>
      <c r="D737" s="65" t="str">
        <f t="shared" si="35"/>
        <v>068_O_b</v>
      </c>
      <c r="E737">
        <v>43</v>
      </c>
      <c r="F737" t="s">
        <v>68</v>
      </c>
      <c r="G737" t="s">
        <v>871</v>
      </c>
      <c r="I737">
        <v>0.31303964757709302</v>
      </c>
      <c r="J737" s="82">
        <v>11.9</v>
      </c>
      <c r="K737" s="82">
        <v>32.700000000000003</v>
      </c>
      <c r="L737" s="82">
        <v>23</v>
      </c>
      <c r="M737" s="82">
        <v>24.5</v>
      </c>
      <c r="N737" s="82">
        <v>28.4</v>
      </c>
      <c r="O737" s="44">
        <f t="shared" si="37"/>
        <v>3.1783930510314899</v>
      </c>
      <c r="P737">
        <f t="shared" si="36"/>
        <v>24.1</v>
      </c>
      <c r="Q737" s="111">
        <v>0.23699999999999999</v>
      </c>
      <c r="R737">
        <v>0.32500000000000001</v>
      </c>
      <c r="S737" s="65">
        <v>8</v>
      </c>
      <c r="T737">
        <v>25</v>
      </c>
      <c r="U737" t="s">
        <v>54</v>
      </c>
      <c r="V737" t="s">
        <v>32</v>
      </c>
    </row>
    <row r="738" spans="1:23" x14ac:dyDescent="0.2">
      <c r="A738" s="1" t="s">
        <v>866</v>
      </c>
      <c r="B738" t="s">
        <v>33</v>
      </c>
      <c r="C738" t="s">
        <v>38</v>
      </c>
      <c r="D738" s="65" t="str">
        <f t="shared" si="35"/>
        <v>068_V_b</v>
      </c>
      <c r="E738">
        <v>44</v>
      </c>
      <c r="F738" t="s">
        <v>43</v>
      </c>
      <c r="G738" t="s">
        <v>872</v>
      </c>
      <c r="I738">
        <v>2.7557067669172901</v>
      </c>
      <c r="J738" s="82">
        <v>6.1</v>
      </c>
      <c r="K738" s="82">
        <v>20.6</v>
      </c>
      <c r="L738" s="82">
        <v>18.8</v>
      </c>
      <c r="M738" s="82">
        <v>13.4</v>
      </c>
      <c r="N738" s="82">
        <v>11.4</v>
      </c>
      <c r="O738" s="44">
        <f t="shared" si="37"/>
        <v>2.88098471986418</v>
      </c>
      <c r="P738">
        <f t="shared" si="36"/>
        <v>14.059999999999999</v>
      </c>
      <c r="Q738" s="111">
        <v>0.28399999999999997</v>
      </c>
      <c r="R738">
        <v>0.47199999999999998</v>
      </c>
      <c r="S738" s="65">
        <v>13</v>
      </c>
      <c r="T738">
        <v>27</v>
      </c>
      <c r="U738" t="s">
        <v>31</v>
      </c>
      <c r="V738" t="s">
        <v>32</v>
      </c>
    </row>
    <row r="739" spans="1:23" x14ac:dyDescent="0.2">
      <c r="A739" s="5" t="s">
        <v>866</v>
      </c>
      <c r="B739" s="6" t="s">
        <v>27</v>
      </c>
      <c r="C739" s="6" t="s">
        <v>38</v>
      </c>
      <c r="D739" s="65" t="str">
        <f t="shared" si="35"/>
        <v>068_S_b</v>
      </c>
      <c r="E739">
        <v>56</v>
      </c>
      <c r="F739" t="s">
        <v>41</v>
      </c>
      <c r="G739" t="s">
        <v>873</v>
      </c>
      <c r="I739">
        <v>6.7582853598014898</v>
      </c>
      <c r="J739" s="82">
        <v>3.2</v>
      </c>
      <c r="K739" s="82">
        <v>48.6</v>
      </c>
      <c r="L739" s="82">
        <v>36.700000000000003</v>
      </c>
      <c r="M739" s="82">
        <v>52.4</v>
      </c>
      <c r="N739" s="82">
        <v>57.7</v>
      </c>
      <c r="O739" s="44">
        <f t="shared" si="37"/>
        <v>14.210054412112608</v>
      </c>
      <c r="P739">
        <f t="shared" si="36"/>
        <v>39.720000000000006</v>
      </c>
      <c r="Q739" s="111">
        <v>0.66700000000000004</v>
      </c>
      <c r="R739">
        <v>0.53300000000000003</v>
      </c>
      <c r="S739" s="65">
        <v>16</v>
      </c>
      <c r="T739">
        <v>19</v>
      </c>
      <c r="U739" t="s">
        <v>31</v>
      </c>
      <c r="V739" t="s">
        <v>32</v>
      </c>
    </row>
    <row r="740" spans="1:23" x14ac:dyDescent="0.2">
      <c r="A740" s="5" t="s">
        <v>866</v>
      </c>
      <c r="B740" s="6" t="s">
        <v>33</v>
      </c>
      <c r="C740" s="6" t="s">
        <v>45</v>
      </c>
      <c r="D740" s="65" t="str">
        <f t="shared" si="35"/>
        <v>068_V_c</v>
      </c>
      <c r="E740">
        <v>73</v>
      </c>
      <c r="F740" t="s">
        <v>82</v>
      </c>
      <c r="G740" t="s">
        <v>874</v>
      </c>
      <c r="I740">
        <v>2.7371094860332299</v>
      </c>
      <c r="J740" s="82">
        <v>19.100000000000001</v>
      </c>
      <c r="K740" s="82" t="s">
        <v>57</v>
      </c>
      <c r="L740" s="82">
        <v>31.7</v>
      </c>
      <c r="M740" s="82">
        <v>17</v>
      </c>
      <c r="N740" s="82">
        <v>13.3</v>
      </c>
      <c r="O740" s="44">
        <f t="shared" si="37"/>
        <v>2.7969026548672637</v>
      </c>
      <c r="P740">
        <f t="shared" si="36"/>
        <v>20.274999999999999</v>
      </c>
      <c r="Q740" s="111">
        <v>0.19900000000000001</v>
      </c>
      <c r="R740">
        <v>0.39600000000000002</v>
      </c>
      <c r="S740" s="65">
        <v>20</v>
      </c>
      <c r="T740">
        <v>25</v>
      </c>
      <c r="U740" t="s">
        <v>51</v>
      </c>
      <c r="V740" t="s">
        <v>32</v>
      </c>
    </row>
    <row r="741" spans="1:23" x14ac:dyDescent="0.2">
      <c r="A741" s="5" t="s">
        <v>866</v>
      </c>
      <c r="B741" s="6" t="s">
        <v>27</v>
      </c>
      <c r="C741" s="6" t="s">
        <v>45</v>
      </c>
      <c r="D741" s="65" t="str">
        <f t="shared" si="35"/>
        <v>068_S_c</v>
      </c>
      <c r="E741">
        <v>82</v>
      </c>
      <c r="F741" t="s">
        <v>68</v>
      </c>
      <c r="G741" t="s">
        <v>875</v>
      </c>
      <c r="I741">
        <v>0</v>
      </c>
      <c r="J741" s="82">
        <v>1</v>
      </c>
      <c r="K741" s="82">
        <v>1.1000000000000001</v>
      </c>
      <c r="L741" s="82">
        <v>1</v>
      </c>
      <c r="M741" s="82">
        <v>1</v>
      </c>
      <c r="N741" s="82">
        <v>0.9</v>
      </c>
      <c r="O741" s="44">
        <f t="shared" si="37"/>
        <v>2.4390243902439068E-3</v>
      </c>
      <c r="P741">
        <f t="shared" si="36"/>
        <v>1</v>
      </c>
      <c r="Q741" s="111" t="s">
        <v>57</v>
      </c>
      <c r="R741" t="s">
        <v>57</v>
      </c>
      <c r="S741" s="65" t="s">
        <v>57</v>
      </c>
      <c r="T741" t="s">
        <v>57</v>
      </c>
      <c r="U741" t="s">
        <v>57</v>
      </c>
      <c r="V741" t="s">
        <v>32</v>
      </c>
      <c r="W741" t="s">
        <v>517</v>
      </c>
    </row>
    <row r="742" spans="1:23" s="19" customFormat="1" x14ac:dyDescent="0.2">
      <c r="A742" s="17" t="s">
        <v>866</v>
      </c>
      <c r="B742" s="18" t="s">
        <v>36</v>
      </c>
      <c r="C742" s="18" t="s">
        <v>45</v>
      </c>
      <c r="D742" s="66" t="str">
        <f t="shared" si="35"/>
        <v>068_O_c</v>
      </c>
      <c r="E742" s="19">
        <v>86</v>
      </c>
      <c r="F742" s="19" t="s">
        <v>49</v>
      </c>
      <c r="G742" s="19" t="s">
        <v>876</v>
      </c>
      <c r="I742">
        <v>4.15264397905759</v>
      </c>
      <c r="J742" s="83">
        <v>40.6</v>
      </c>
      <c r="K742" s="83">
        <v>33.200000000000003</v>
      </c>
      <c r="L742" s="83">
        <v>12.3</v>
      </c>
      <c r="M742" s="83">
        <v>52.5</v>
      </c>
      <c r="N742" s="83">
        <v>42.1</v>
      </c>
      <c r="O742" s="54">
        <f t="shared" si="37"/>
        <v>8.2313612313612179</v>
      </c>
      <c r="P742">
        <f t="shared" si="36"/>
        <v>36.14</v>
      </c>
      <c r="Q742" s="112">
        <v>0.38300000000000001</v>
      </c>
      <c r="R742" s="19">
        <v>0.36799999999999999</v>
      </c>
      <c r="S742" s="66">
        <v>9</v>
      </c>
      <c r="T742" s="19">
        <v>36</v>
      </c>
      <c r="U742" s="19" t="s">
        <v>72</v>
      </c>
      <c r="V742" t="s">
        <v>32</v>
      </c>
    </row>
    <row r="743" spans="1:23" ht="16" x14ac:dyDescent="0.2">
      <c r="A743" s="5" t="s">
        <v>866</v>
      </c>
      <c r="B743" s="6" t="s">
        <v>36</v>
      </c>
      <c r="C743" s="6" t="s">
        <v>52</v>
      </c>
      <c r="D743" s="65" t="str">
        <f t="shared" si="35"/>
        <v>068_O_d</v>
      </c>
      <c r="E743">
        <v>120</v>
      </c>
      <c r="F743" t="s">
        <v>49</v>
      </c>
      <c r="G743" t="s">
        <v>877</v>
      </c>
      <c r="I743">
        <v>7.4701885160404</v>
      </c>
      <c r="J743" s="82">
        <v>46.4</v>
      </c>
      <c r="K743" s="82">
        <v>51.2</v>
      </c>
      <c r="L743" s="84">
        <v>53.9</v>
      </c>
      <c r="M743">
        <v>15.8</v>
      </c>
      <c r="N743" s="82">
        <v>42.3</v>
      </c>
      <c r="O743" s="44">
        <f t="shared" si="37"/>
        <v>7.4271966527196627</v>
      </c>
      <c r="P743">
        <f t="shared" si="36"/>
        <v>41.92</v>
      </c>
      <c r="Q743" s="111">
        <v>0.433</v>
      </c>
      <c r="R743">
        <v>0.69399999999999995</v>
      </c>
      <c r="S743" s="65">
        <v>19</v>
      </c>
      <c r="T743">
        <v>14</v>
      </c>
      <c r="U743" t="s">
        <v>31</v>
      </c>
      <c r="V743" t="s">
        <v>32</v>
      </c>
    </row>
    <row r="744" spans="1:23" ht="16" x14ac:dyDescent="0.2">
      <c r="A744" s="5" t="s">
        <v>866</v>
      </c>
      <c r="B744" s="6" t="s">
        <v>27</v>
      </c>
      <c r="C744" s="6" t="s">
        <v>52</v>
      </c>
      <c r="D744" s="65" t="str">
        <f t="shared" si="35"/>
        <v>068_S_d</v>
      </c>
      <c r="E744">
        <v>130</v>
      </c>
      <c r="F744" t="s">
        <v>34</v>
      </c>
      <c r="G744" t="s">
        <v>878</v>
      </c>
      <c r="I744">
        <v>4.9212389380530999</v>
      </c>
      <c r="J744" s="82">
        <v>42.5</v>
      </c>
      <c r="K744" s="82">
        <v>23.8</v>
      </c>
      <c r="L744" s="84">
        <v>6.2</v>
      </c>
      <c r="M744" s="43">
        <v>33.299999999999997</v>
      </c>
      <c r="N744" s="82">
        <v>0.9</v>
      </c>
      <c r="O744" s="44">
        <f t="shared" si="37"/>
        <v>9.0940138626339024</v>
      </c>
      <c r="P744">
        <f t="shared" si="36"/>
        <v>21.34</v>
      </c>
      <c r="Q744" s="111">
        <v>0.68600000000000005</v>
      </c>
      <c r="R744">
        <v>0.66900000000000004</v>
      </c>
      <c r="S744" s="65">
        <v>17</v>
      </c>
      <c r="T744">
        <v>14</v>
      </c>
      <c r="U744" t="s">
        <v>47</v>
      </c>
      <c r="V744" t="s">
        <v>32</v>
      </c>
    </row>
    <row r="745" spans="1:23" ht="16" x14ac:dyDescent="0.2">
      <c r="A745" s="5" t="s">
        <v>866</v>
      </c>
      <c r="B745" s="6" t="s">
        <v>33</v>
      </c>
      <c r="C745" s="6" t="s">
        <v>52</v>
      </c>
      <c r="D745" s="65" t="str">
        <f t="shared" si="35"/>
        <v>068_V_d</v>
      </c>
      <c r="E745">
        <v>131</v>
      </c>
      <c r="F745" t="s">
        <v>82</v>
      </c>
      <c r="G745" t="s">
        <v>879</v>
      </c>
      <c r="I745">
        <v>3.4749818836052899</v>
      </c>
      <c r="J745" s="82">
        <v>20.100000000000001</v>
      </c>
      <c r="K745" s="82">
        <v>39.299999999999997</v>
      </c>
      <c r="L745" s="84">
        <v>46.6</v>
      </c>
      <c r="M745">
        <v>10.4</v>
      </c>
      <c r="N745" s="82">
        <v>43.6</v>
      </c>
      <c r="O745" s="44">
        <f t="shared" si="37"/>
        <v>9.6332187857960943</v>
      </c>
      <c r="P745">
        <f t="shared" si="36"/>
        <v>32</v>
      </c>
      <c r="Q745" s="111">
        <v>0.41799999999999998</v>
      </c>
      <c r="R745">
        <v>0.442</v>
      </c>
      <c r="S745" s="65">
        <v>15</v>
      </c>
      <c r="T745">
        <v>19</v>
      </c>
      <c r="U745" t="s">
        <v>54</v>
      </c>
      <c r="V745" t="s">
        <v>32</v>
      </c>
    </row>
    <row r="746" spans="1:23" ht="16" x14ac:dyDescent="0.2">
      <c r="A746" s="5" t="s">
        <v>880</v>
      </c>
      <c r="B746" s="6" t="s">
        <v>36</v>
      </c>
      <c r="C746" s="6" t="s">
        <v>28</v>
      </c>
      <c r="D746" s="65" t="str">
        <f t="shared" si="35"/>
        <v>069_O_a</v>
      </c>
      <c r="E746">
        <v>3</v>
      </c>
      <c r="F746" t="s">
        <v>29</v>
      </c>
      <c r="G746" t="s">
        <v>881</v>
      </c>
      <c r="I746">
        <v>1.6028159234685999</v>
      </c>
      <c r="J746" s="84">
        <v>2.7</v>
      </c>
      <c r="K746" s="82">
        <v>24.7</v>
      </c>
      <c r="L746" s="82">
        <v>27.4</v>
      </c>
      <c r="M746" s="82">
        <v>30.3</v>
      </c>
      <c r="N746" s="82">
        <v>39.4</v>
      </c>
      <c r="O746" s="44">
        <f t="shared" si="37"/>
        <v>7.4536231884058006</v>
      </c>
      <c r="P746">
        <f t="shared" si="36"/>
        <v>24.9</v>
      </c>
      <c r="Q746" s="111">
        <v>7.8E-2</v>
      </c>
      <c r="R746">
        <v>0.16400000000000001</v>
      </c>
      <c r="S746" s="65">
        <v>8</v>
      </c>
      <c r="T746">
        <v>45</v>
      </c>
      <c r="U746" t="s">
        <v>260</v>
      </c>
      <c r="V746" t="s">
        <v>32</v>
      </c>
    </row>
    <row r="747" spans="1:23" ht="16" x14ac:dyDescent="0.2">
      <c r="A747" s="51" t="s">
        <v>880</v>
      </c>
      <c r="B747" s="46" t="s">
        <v>33</v>
      </c>
      <c r="C747" s="46" t="s">
        <v>28</v>
      </c>
      <c r="D747" s="67" t="str">
        <f t="shared" si="35"/>
        <v>069_V_a</v>
      </c>
      <c r="E747" s="47">
        <v>10</v>
      </c>
      <c r="F747" s="47" t="s">
        <v>49</v>
      </c>
      <c r="G747" s="47" t="s">
        <v>882</v>
      </c>
      <c r="H747" s="47"/>
      <c r="I747">
        <v>2.0541984173505301</v>
      </c>
      <c r="J747" s="84">
        <v>7.9</v>
      </c>
      <c r="K747" s="82">
        <v>2.6</v>
      </c>
      <c r="L747" s="82">
        <v>27</v>
      </c>
      <c r="M747" s="82">
        <v>24</v>
      </c>
      <c r="N747" s="82">
        <v>28.5</v>
      </c>
      <c r="O747" s="48">
        <f t="shared" si="37"/>
        <v>9.2923035230352333</v>
      </c>
      <c r="P747">
        <f t="shared" si="36"/>
        <v>18</v>
      </c>
      <c r="Q747" s="113">
        <v>7.3999999999999996E-2</v>
      </c>
      <c r="R747" s="47">
        <v>0.184</v>
      </c>
      <c r="S747" s="67">
        <v>6</v>
      </c>
      <c r="T747" s="47">
        <v>4</v>
      </c>
      <c r="U747" s="47" t="s">
        <v>54</v>
      </c>
      <c r="V747" t="s">
        <v>32</v>
      </c>
      <c r="W747" s="47"/>
    </row>
    <row r="748" spans="1:23" x14ac:dyDescent="0.2">
      <c r="A748" s="5" t="s">
        <v>880</v>
      </c>
      <c r="B748" s="6" t="s">
        <v>27</v>
      </c>
      <c r="C748" s="6" t="s">
        <v>28</v>
      </c>
      <c r="D748" s="65" t="str">
        <f t="shared" si="35"/>
        <v>069_S_a</v>
      </c>
      <c r="E748">
        <v>24</v>
      </c>
      <c r="F748" t="s">
        <v>82</v>
      </c>
      <c r="G748" t="s">
        <v>883</v>
      </c>
      <c r="I748">
        <v>5.6223177469343701</v>
      </c>
      <c r="J748" s="82">
        <v>2.7</v>
      </c>
      <c r="K748" s="82">
        <v>36.799999999999997</v>
      </c>
      <c r="L748" s="82">
        <v>40.9</v>
      </c>
      <c r="M748" s="82">
        <v>50.7</v>
      </c>
      <c r="N748" s="82">
        <v>46.6</v>
      </c>
      <c r="O748" s="44">
        <f t="shared" si="37"/>
        <v>13.303101957793013</v>
      </c>
      <c r="P748">
        <f t="shared" si="36"/>
        <v>35.540000000000006</v>
      </c>
      <c r="Q748" s="111">
        <v>0.41</v>
      </c>
      <c r="R748">
        <v>0.42099999999999999</v>
      </c>
      <c r="S748" s="65">
        <v>42</v>
      </c>
      <c r="T748" s="43">
        <v>75</v>
      </c>
      <c r="U748" t="s">
        <v>51</v>
      </c>
      <c r="V748" t="s">
        <v>32</v>
      </c>
    </row>
    <row r="749" spans="1:23" x14ac:dyDescent="0.2">
      <c r="A749" s="5" t="s">
        <v>880</v>
      </c>
      <c r="B749" s="6" t="s">
        <v>27</v>
      </c>
      <c r="C749" s="6" t="s">
        <v>38</v>
      </c>
      <c r="D749" s="65" t="str">
        <f t="shared" si="35"/>
        <v>069_S_b</v>
      </c>
      <c r="E749">
        <v>47</v>
      </c>
      <c r="F749" t="s">
        <v>68</v>
      </c>
      <c r="G749" t="s">
        <v>884</v>
      </c>
      <c r="I749">
        <v>1.447875909013</v>
      </c>
      <c r="J749" s="82">
        <v>39.6</v>
      </c>
      <c r="K749" s="82">
        <v>36</v>
      </c>
      <c r="L749" s="82">
        <v>41.1</v>
      </c>
      <c r="M749" s="82">
        <v>49.8</v>
      </c>
      <c r="N749" s="82">
        <v>28.2</v>
      </c>
      <c r="O749" s="44">
        <f t="shared" si="37"/>
        <v>0.82360360360360241</v>
      </c>
      <c r="P749">
        <f t="shared" si="36"/>
        <v>38.94</v>
      </c>
      <c r="Q749" s="111">
        <v>0.112</v>
      </c>
      <c r="R749">
        <v>0.24399999999999999</v>
      </c>
      <c r="S749" s="65">
        <v>6</v>
      </c>
      <c r="T749" s="43">
        <v>30</v>
      </c>
      <c r="U749" t="s">
        <v>54</v>
      </c>
      <c r="V749" t="s">
        <v>32</v>
      </c>
    </row>
    <row r="750" spans="1:23" x14ac:dyDescent="0.2">
      <c r="A750" s="1" t="s">
        <v>880</v>
      </c>
      <c r="B750" t="s">
        <v>33</v>
      </c>
      <c r="C750" t="s">
        <v>38</v>
      </c>
      <c r="D750" s="65" t="str">
        <f t="shared" si="35"/>
        <v>069_V_b</v>
      </c>
      <c r="E750">
        <v>57</v>
      </c>
      <c r="F750" t="s">
        <v>34</v>
      </c>
      <c r="G750" t="s">
        <v>885</v>
      </c>
      <c r="I750">
        <v>2.7850491583878099</v>
      </c>
      <c r="J750" s="82">
        <v>31.4</v>
      </c>
      <c r="K750" s="82">
        <v>4.5999999999999996</v>
      </c>
      <c r="L750" s="82">
        <v>32.299999999999997</v>
      </c>
      <c r="M750" s="82">
        <v>33.200000000000003</v>
      </c>
      <c r="N750" s="82">
        <v>39</v>
      </c>
      <c r="O750" s="44">
        <f t="shared" si="37"/>
        <v>7.5807881773399028</v>
      </c>
      <c r="P750">
        <f t="shared" si="36"/>
        <v>28.1</v>
      </c>
      <c r="Q750" s="111">
        <v>0.156</v>
      </c>
      <c r="R750">
        <v>0.27900000000000003</v>
      </c>
      <c r="S750" s="65">
        <v>8</v>
      </c>
      <c r="T750">
        <v>2</v>
      </c>
      <c r="U750" t="s">
        <v>31</v>
      </c>
      <c r="V750" t="s">
        <v>32</v>
      </c>
    </row>
    <row r="751" spans="1:23" x14ac:dyDescent="0.2">
      <c r="A751" s="5" t="s">
        <v>880</v>
      </c>
      <c r="B751" s="6" t="s">
        <v>36</v>
      </c>
      <c r="C751" s="6" t="s">
        <v>38</v>
      </c>
      <c r="D751" s="65" t="str">
        <f t="shared" si="35"/>
        <v>069_O_b</v>
      </c>
      <c r="E751">
        <v>58</v>
      </c>
      <c r="F751" t="s">
        <v>29</v>
      </c>
      <c r="G751" t="s">
        <v>886</v>
      </c>
      <c r="I751">
        <v>0.73076980290070603</v>
      </c>
      <c r="J751" s="82">
        <v>1.6</v>
      </c>
      <c r="K751" s="82">
        <v>4.3</v>
      </c>
      <c r="L751" s="82">
        <v>3.7</v>
      </c>
      <c r="M751" s="82">
        <v>21.9</v>
      </c>
      <c r="N751" s="82">
        <v>20.100000000000001</v>
      </c>
      <c r="O751" s="44">
        <f t="shared" si="37"/>
        <v>11.271428571428569</v>
      </c>
      <c r="P751">
        <f t="shared" si="36"/>
        <v>10.32</v>
      </c>
      <c r="Q751" s="111">
        <v>4.4999999999999998E-2</v>
      </c>
      <c r="R751">
        <v>0.106</v>
      </c>
      <c r="S751" s="65">
        <v>5</v>
      </c>
      <c r="T751">
        <v>15</v>
      </c>
      <c r="U751" t="s">
        <v>31</v>
      </c>
      <c r="V751" t="s">
        <v>32</v>
      </c>
    </row>
    <row r="752" spans="1:23" s="19" customFormat="1" x14ac:dyDescent="0.2">
      <c r="A752" s="17" t="s">
        <v>880</v>
      </c>
      <c r="B752" s="18" t="s">
        <v>36</v>
      </c>
      <c r="C752" s="18" t="s">
        <v>45</v>
      </c>
      <c r="D752" s="66" t="str">
        <f t="shared" si="35"/>
        <v>069_O_c</v>
      </c>
      <c r="E752" s="19">
        <v>75</v>
      </c>
      <c r="F752" s="19" t="s">
        <v>82</v>
      </c>
      <c r="G752" s="19" t="s">
        <v>887</v>
      </c>
      <c r="I752">
        <v>2.1155487804878002</v>
      </c>
      <c r="J752" s="83">
        <v>25.2</v>
      </c>
      <c r="K752" s="83">
        <v>25.6</v>
      </c>
      <c r="L752" s="83">
        <v>21.9</v>
      </c>
      <c r="M752" s="83">
        <v>31.1</v>
      </c>
      <c r="N752" s="83">
        <v>37.1</v>
      </c>
      <c r="O752" s="54">
        <f t="shared" si="37"/>
        <v>0.5601798330122163</v>
      </c>
      <c r="P752">
        <f t="shared" si="36"/>
        <v>28.179999999999996</v>
      </c>
      <c r="Q752" s="112">
        <v>0.19600000000000001</v>
      </c>
      <c r="R752" s="19">
        <v>0.42199999999999999</v>
      </c>
      <c r="S752" s="66">
        <v>16</v>
      </c>
      <c r="T752" s="19">
        <v>19</v>
      </c>
      <c r="U752" s="19" t="s">
        <v>128</v>
      </c>
      <c r="V752" t="s">
        <v>32</v>
      </c>
    </row>
    <row r="753" spans="1:23" x14ac:dyDescent="0.2">
      <c r="A753" s="5" t="s">
        <v>880</v>
      </c>
      <c r="B753" s="6" t="s">
        <v>27</v>
      </c>
      <c r="C753" s="6" t="s">
        <v>45</v>
      </c>
      <c r="D753" s="65" t="str">
        <f t="shared" si="35"/>
        <v>069_S_c</v>
      </c>
      <c r="E753">
        <v>86</v>
      </c>
      <c r="F753" t="s">
        <v>70</v>
      </c>
      <c r="G753" t="s">
        <v>888</v>
      </c>
      <c r="I753">
        <v>2.6253141361256498</v>
      </c>
      <c r="J753" s="82">
        <v>32.6</v>
      </c>
      <c r="K753" s="82">
        <v>17.8</v>
      </c>
      <c r="L753" s="82">
        <v>39</v>
      </c>
      <c r="M753" s="82">
        <v>3.3</v>
      </c>
      <c r="N753" s="82">
        <v>42.7</v>
      </c>
      <c r="O753" s="44">
        <f t="shared" si="37"/>
        <v>10.976878820568134</v>
      </c>
      <c r="P753">
        <f t="shared" si="36"/>
        <v>27.080000000000002</v>
      </c>
      <c r="Q753" s="111">
        <v>0.36099999999999999</v>
      </c>
      <c r="R753">
        <v>0.42499999999999999</v>
      </c>
      <c r="S753" s="65">
        <v>31</v>
      </c>
      <c r="T753">
        <v>59</v>
      </c>
      <c r="U753" t="s">
        <v>72</v>
      </c>
      <c r="V753" t="s">
        <v>32</v>
      </c>
    </row>
    <row r="754" spans="1:23" x14ac:dyDescent="0.2">
      <c r="A754" s="5" t="s">
        <v>880</v>
      </c>
      <c r="B754" s="6" t="s">
        <v>33</v>
      </c>
      <c r="C754" s="6" t="s">
        <v>45</v>
      </c>
      <c r="D754" s="65" t="str">
        <f t="shared" si="35"/>
        <v>069_V_c</v>
      </c>
      <c r="E754">
        <v>98</v>
      </c>
      <c r="F754" t="s">
        <v>41</v>
      </c>
      <c r="G754" t="s">
        <v>889</v>
      </c>
      <c r="I754">
        <v>6.52798962065983</v>
      </c>
      <c r="J754" s="82">
        <v>27.6</v>
      </c>
      <c r="K754" s="82">
        <v>2.7</v>
      </c>
      <c r="L754" s="82">
        <v>1.9</v>
      </c>
      <c r="M754">
        <v>10.7</v>
      </c>
      <c r="N754" s="82">
        <v>12.3</v>
      </c>
      <c r="O754" s="44">
        <f t="shared" si="37"/>
        <v>13.27264957264957</v>
      </c>
      <c r="P754">
        <f t="shared" si="36"/>
        <v>11.040000000000001</v>
      </c>
      <c r="Q754" s="111">
        <v>0.20300000000000001</v>
      </c>
      <c r="R754">
        <v>0.38400000000000001</v>
      </c>
      <c r="S754" s="65">
        <v>14</v>
      </c>
      <c r="T754">
        <v>22</v>
      </c>
      <c r="U754" t="s">
        <v>31</v>
      </c>
      <c r="V754" t="s">
        <v>32</v>
      </c>
    </row>
    <row r="755" spans="1:23" x14ac:dyDescent="0.2">
      <c r="A755" s="5" t="s">
        <v>880</v>
      </c>
      <c r="B755" s="6" t="s">
        <v>27</v>
      </c>
      <c r="C755" s="6" t="s">
        <v>52</v>
      </c>
      <c r="D755" s="65" t="str">
        <f t="shared" si="35"/>
        <v>069_S_d</v>
      </c>
      <c r="E755">
        <v>109</v>
      </c>
      <c r="F755" t="s">
        <v>43</v>
      </c>
      <c r="G755" t="s">
        <v>890</v>
      </c>
      <c r="H755" t="s">
        <v>56</v>
      </c>
      <c r="I755">
        <v>0</v>
      </c>
      <c r="J755" s="82">
        <v>1.1000000000000001</v>
      </c>
      <c r="K755" s="82">
        <v>1</v>
      </c>
      <c r="L755" s="82">
        <v>1</v>
      </c>
      <c r="M755">
        <v>1</v>
      </c>
      <c r="N755" s="82">
        <v>1</v>
      </c>
      <c r="O755" s="44">
        <f t="shared" si="37"/>
        <v>2.4390243902439068E-3</v>
      </c>
      <c r="P755">
        <f t="shared" si="36"/>
        <v>1.02</v>
      </c>
      <c r="R755" t="s">
        <v>57</v>
      </c>
      <c r="S755" s="65" t="s">
        <v>57</v>
      </c>
      <c r="T755" t="s">
        <v>57</v>
      </c>
      <c r="U755" t="s">
        <v>57</v>
      </c>
      <c r="V755" t="s">
        <v>32</v>
      </c>
      <c r="W755" t="s">
        <v>67</v>
      </c>
    </row>
    <row r="756" spans="1:23" ht="16" x14ac:dyDescent="0.2">
      <c r="A756" s="5" t="s">
        <v>880</v>
      </c>
      <c r="B756" s="6" t="s">
        <v>36</v>
      </c>
      <c r="C756" s="6" t="s">
        <v>52</v>
      </c>
      <c r="D756" s="65" t="str">
        <f t="shared" si="35"/>
        <v>069_O_d</v>
      </c>
      <c r="E756">
        <v>123</v>
      </c>
      <c r="F756" t="s">
        <v>41</v>
      </c>
      <c r="G756" t="s">
        <v>891</v>
      </c>
      <c r="I756">
        <v>1.9301916740819101</v>
      </c>
      <c r="J756" s="82">
        <v>3.1</v>
      </c>
      <c r="K756" s="82">
        <v>3.5</v>
      </c>
      <c r="L756" s="84">
        <v>29.3</v>
      </c>
      <c r="M756">
        <v>28.4</v>
      </c>
      <c r="N756" s="82">
        <v>39.799999999999997</v>
      </c>
      <c r="O756" s="44">
        <f t="shared" si="37"/>
        <v>13.546656298600309</v>
      </c>
      <c r="P756">
        <f t="shared" si="36"/>
        <v>20.82</v>
      </c>
      <c r="Q756" s="111">
        <v>0.105</v>
      </c>
      <c r="R756">
        <v>0.251</v>
      </c>
      <c r="S756" s="65">
        <v>11</v>
      </c>
      <c r="T756">
        <v>36</v>
      </c>
      <c r="U756" t="s">
        <v>54</v>
      </c>
      <c r="V756" t="s">
        <v>32</v>
      </c>
    </row>
    <row r="757" spans="1:23" ht="16" x14ac:dyDescent="0.2">
      <c r="A757" s="5" t="s">
        <v>880</v>
      </c>
      <c r="B757" s="6" t="s">
        <v>33</v>
      </c>
      <c r="C757" s="6" t="s">
        <v>52</v>
      </c>
      <c r="D757" s="65" t="str">
        <f t="shared" si="35"/>
        <v>069_V_d</v>
      </c>
      <c r="E757">
        <v>126</v>
      </c>
      <c r="F757" t="s">
        <v>39</v>
      </c>
      <c r="G757" t="s">
        <v>892</v>
      </c>
      <c r="I757">
        <v>5.8131639781531801</v>
      </c>
      <c r="J757" s="82">
        <v>17.5</v>
      </c>
      <c r="K757" s="82">
        <v>1.5</v>
      </c>
      <c r="L757" s="109">
        <v>1.3</v>
      </c>
      <c r="M757">
        <v>12.7</v>
      </c>
      <c r="N757" s="82">
        <v>31.9</v>
      </c>
      <c r="O757" s="44">
        <f t="shared" si="37"/>
        <v>8.0496969696969707</v>
      </c>
      <c r="P757">
        <f t="shared" si="36"/>
        <v>12.98</v>
      </c>
      <c r="Q757" s="111">
        <v>0.34</v>
      </c>
      <c r="R757">
        <v>0.42399999999999999</v>
      </c>
      <c r="S757" s="65">
        <v>8</v>
      </c>
      <c r="T757">
        <v>41</v>
      </c>
      <c r="U757" t="s">
        <v>51</v>
      </c>
      <c r="V757" t="s">
        <v>32</v>
      </c>
    </row>
    <row r="758" spans="1:23" ht="16" x14ac:dyDescent="0.2">
      <c r="A758" s="49" t="s">
        <v>893</v>
      </c>
      <c r="B758" s="47" t="s">
        <v>36</v>
      </c>
      <c r="C758" s="47" t="s">
        <v>28</v>
      </c>
      <c r="D758" s="67" t="str">
        <f t="shared" si="35"/>
        <v>070_O_a</v>
      </c>
      <c r="E758" s="47">
        <v>13</v>
      </c>
      <c r="F758" s="47" t="s">
        <v>63</v>
      </c>
      <c r="G758" s="47" t="s">
        <v>894</v>
      </c>
      <c r="H758" s="47"/>
      <c r="I758">
        <v>1.9019150052465901</v>
      </c>
      <c r="J758" s="84">
        <v>7.4</v>
      </c>
      <c r="K758" s="82">
        <v>2.8</v>
      </c>
      <c r="L758" s="82">
        <v>28.8</v>
      </c>
      <c r="M758" s="82">
        <v>31.8</v>
      </c>
      <c r="N758" s="82">
        <v>20.2</v>
      </c>
      <c r="O758" s="48">
        <f t="shared" si="37"/>
        <v>12.243314500941628</v>
      </c>
      <c r="P758">
        <f t="shared" si="36"/>
        <v>18.2</v>
      </c>
      <c r="Q758" s="113">
        <v>0.19600000000000001</v>
      </c>
      <c r="R758" s="47">
        <v>0.27100000000000002</v>
      </c>
      <c r="S758" s="67">
        <v>7</v>
      </c>
      <c r="T758" s="47">
        <v>16</v>
      </c>
      <c r="U758" s="47" t="s">
        <v>31</v>
      </c>
      <c r="V758" t="s">
        <v>32</v>
      </c>
    </row>
    <row r="759" spans="1:23" x14ac:dyDescent="0.2">
      <c r="A759" s="5" t="s">
        <v>893</v>
      </c>
      <c r="B759" s="6" t="s">
        <v>27</v>
      </c>
      <c r="C759" s="6" t="s">
        <v>28</v>
      </c>
      <c r="D759" s="65" t="str">
        <f t="shared" si="35"/>
        <v>070_S_a</v>
      </c>
      <c r="E759">
        <v>29</v>
      </c>
      <c r="F759" t="s">
        <v>49</v>
      </c>
      <c r="G759" t="s">
        <v>895</v>
      </c>
      <c r="I759">
        <v>4.8631087202718</v>
      </c>
      <c r="J759" s="82">
        <v>38.4</v>
      </c>
      <c r="K759" s="82">
        <v>41.5</v>
      </c>
      <c r="L759" s="82">
        <v>33.799999999999997</v>
      </c>
      <c r="M759" s="82">
        <v>42.9</v>
      </c>
      <c r="N759" s="82">
        <v>38.5</v>
      </c>
      <c r="O759" s="44">
        <f t="shared" si="37"/>
        <v>0.41524052788420629</v>
      </c>
      <c r="P759">
        <f t="shared" si="36"/>
        <v>39.019999999999996</v>
      </c>
      <c r="Q759" s="111">
        <v>0.32300000000000001</v>
      </c>
      <c r="R759">
        <v>0.495</v>
      </c>
      <c r="S759" s="65">
        <v>14</v>
      </c>
      <c r="T759">
        <v>39</v>
      </c>
      <c r="U759" t="s">
        <v>31</v>
      </c>
      <c r="V759" t="s">
        <v>32</v>
      </c>
    </row>
    <row r="760" spans="1:23" x14ac:dyDescent="0.2">
      <c r="A760" s="1" t="s">
        <v>893</v>
      </c>
      <c r="B760" t="s">
        <v>33</v>
      </c>
      <c r="C760" t="s">
        <v>28</v>
      </c>
      <c r="D760" s="65" t="str">
        <f t="shared" si="35"/>
        <v>070_V_a</v>
      </c>
      <c r="E760">
        <v>32</v>
      </c>
      <c r="F760" t="s">
        <v>70</v>
      </c>
      <c r="G760" t="s">
        <v>896</v>
      </c>
      <c r="I760">
        <v>3.61867133940448</v>
      </c>
      <c r="J760" s="43">
        <v>1.1000000000000001</v>
      </c>
      <c r="K760" s="82">
        <v>33.6</v>
      </c>
      <c r="L760" s="82">
        <v>19.100000000000001</v>
      </c>
      <c r="M760" s="82">
        <v>19.600000000000001</v>
      </c>
      <c r="N760" s="82">
        <v>22.6</v>
      </c>
      <c r="O760" s="44">
        <f t="shared" si="37"/>
        <v>9.6684831970935505</v>
      </c>
      <c r="P760">
        <f t="shared" si="36"/>
        <v>19.2</v>
      </c>
      <c r="Q760" s="111">
        <v>0.16200000000000001</v>
      </c>
      <c r="R760">
        <v>0.32500000000000001</v>
      </c>
      <c r="S760" s="65">
        <v>3</v>
      </c>
      <c r="T760">
        <v>31</v>
      </c>
      <c r="U760" t="s">
        <v>31</v>
      </c>
      <c r="V760" t="s">
        <v>32</v>
      </c>
    </row>
    <row r="761" spans="1:23" x14ac:dyDescent="0.2">
      <c r="A761" s="1" t="s">
        <v>893</v>
      </c>
      <c r="B761" t="s">
        <v>33</v>
      </c>
      <c r="C761" t="s">
        <v>38</v>
      </c>
      <c r="D761" s="65" t="str">
        <f t="shared" si="35"/>
        <v>070_V_b</v>
      </c>
      <c r="E761">
        <v>58</v>
      </c>
      <c r="F761" t="s">
        <v>43</v>
      </c>
      <c r="G761" t="s">
        <v>897</v>
      </c>
      <c r="I761">
        <v>2.13021197471179</v>
      </c>
      <c r="J761" s="82">
        <v>2.5</v>
      </c>
      <c r="K761" s="82">
        <v>4.2</v>
      </c>
      <c r="L761" s="82">
        <v>19.600000000000001</v>
      </c>
      <c r="M761" s="82">
        <v>22.5</v>
      </c>
      <c r="N761" s="82">
        <v>30.7</v>
      </c>
      <c r="O761" s="44">
        <f t="shared" si="37"/>
        <v>8.7142076502732291</v>
      </c>
      <c r="P761">
        <f t="shared" si="36"/>
        <v>15.9</v>
      </c>
      <c r="Q761" s="111">
        <v>6.3E-2</v>
      </c>
      <c r="R761">
        <v>0.15</v>
      </c>
      <c r="S761" s="65">
        <v>4</v>
      </c>
      <c r="T761">
        <v>107</v>
      </c>
      <c r="U761" t="s">
        <v>31</v>
      </c>
      <c r="V761" t="s">
        <v>32</v>
      </c>
    </row>
    <row r="762" spans="1:23" s="19" customFormat="1" x14ac:dyDescent="0.2">
      <c r="A762" s="17" t="s">
        <v>893</v>
      </c>
      <c r="B762" s="18" t="s">
        <v>36</v>
      </c>
      <c r="C762" s="18" t="s">
        <v>38</v>
      </c>
      <c r="D762" s="66" t="str">
        <f t="shared" si="35"/>
        <v>070_O_b</v>
      </c>
      <c r="E762" s="19">
        <v>58</v>
      </c>
      <c r="F762" s="19" t="s">
        <v>68</v>
      </c>
      <c r="G762" s="19" t="s">
        <v>898</v>
      </c>
      <c r="I762">
        <v>5.7606619561175201</v>
      </c>
      <c r="J762" s="83">
        <v>31.5</v>
      </c>
      <c r="K762" s="83">
        <v>30.8</v>
      </c>
      <c r="L762" s="83">
        <v>27.5</v>
      </c>
      <c r="M762" s="83">
        <v>23.8</v>
      </c>
      <c r="N762" s="83">
        <v>16.7</v>
      </c>
      <c r="O762" s="54">
        <f t="shared" si="37"/>
        <v>0.43826291079812912</v>
      </c>
      <c r="P762">
        <f t="shared" si="36"/>
        <v>26.059999999999995</v>
      </c>
      <c r="Q762" s="111">
        <v>0.151</v>
      </c>
      <c r="R762">
        <v>0.36699999999999999</v>
      </c>
      <c r="S762" s="65">
        <v>24</v>
      </c>
      <c r="T762">
        <v>7</v>
      </c>
      <c r="U762" s="19" t="s">
        <v>31</v>
      </c>
      <c r="V762" t="s">
        <v>32</v>
      </c>
    </row>
    <row r="763" spans="1:23" x14ac:dyDescent="0.2">
      <c r="A763" s="5" t="s">
        <v>893</v>
      </c>
      <c r="B763" s="6" t="s">
        <v>27</v>
      </c>
      <c r="C763" s="6" t="s">
        <v>38</v>
      </c>
      <c r="D763" s="65" t="str">
        <f t="shared" si="35"/>
        <v>070_S_b</v>
      </c>
      <c r="E763">
        <v>64</v>
      </c>
      <c r="F763" t="s">
        <v>29</v>
      </c>
      <c r="G763" t="s">
        <v>899</v>
      </c>
      <c r="I763">
        <v>1.7012726609076501</v>
      </c>
      <c r="J763" s="82">
        <v>24.2</v>
      </c>
      <c r="K763" s="82">
        <v>6.8</v>
      </c>
      <c r="L763" s="82">
        <v>2.2000000000000002</v>
      </c>
      <c r="M763" s="82">
        <v>38.299999999999997</v>
      </c>
      <c r="N763" s="82">
        <v>15.9</v>
      </c>
      <c r="O763" s="44">
        <f t="shared" si="37"/>
        <v>15.394825174825169</v>
      </c>
      <c r="P763">
        <f t="shared" si="36"/>
        <v>17.48</v>
      </c>
      <c r="Q763" s="111">
        <v>0.161</v>
      </c>
      <c r="R763">
        <v>0.221</v>
      </c>
      <c r="S763" s="65">
        <v>14</v>
      </c>
      <c r="T763">
        <v>32</v>
      </c>
      <c r="U763" t="s">
        <v>31</v>
      </c>
      <c r="V763" t="s">
        <v>32</v>
      </c>
    </row>
    <row r="764" spans="1:23" x14ac:dyDescent="0.2">
      <c r="A764" s="5" t="s">
        <v>893</v>
      </c>
      <c r="B764" s="6" t="s">
        <v>36</v>
      </c>
      <c r="C764" s="6" t="s">
        <v>45</v>
      </c>
      <c r="D764" s="65" t="str">
        <f t="shared" si="35"/>
        <v>070_O_c</v>
      </c>
      <c r="E764">
        <v>94</v>
      </c>
      <c r="F764" t="s">
        <v>29</v>
      </c>
      <c r="G764" t="s">
        <v>900</v>
      </c>
      <c r="I764">
        <v>3.3707686661073799</v>
      </c>
      <c r="J764" s="82">
        <v>21.9</v>
      </c>
      <c r="K764" s="82">
        <v>5.3</v>
      </c>
      <c r="L764" s="82">
        <v>30.7</v>
      </c>
      <c r="M764">
        <v>12.5</v>
      </c>
      <c r="N764" s="82">
        <v>35.5</v>
      </c>
      <c r="O764" s="44">
        <f t="shared" si="37"/>
        <v>6.9583333333333304</v>
      </c>
      <c r="P764">
        <f t="shared" si="36"/>
        <v>21.18</v>
      </c>
      <c r="Q764" s="111">
        <v>0.16500000000000001</v>
      </c>
      <c r="R764">
        <v>0.29599999999999999</v>
      </c>
      <c r="S764" s="65">
        <v>17</v>
      </c>
      <c r="T764">
        <v>71</v>
      </c>
      <c r="U764" t="s">
        <v>31</v>
      </c>
      <c r="V764" t="s">
        <v>32</v>
      </c>
    </row>
    <row r="765" spans="1:23" x14ac:dyDescent="0.2">
      <c r="A765" s="5" t="s">
        <v>893</v>
      </c>
      <c r="B765" s="6" t="s">
        <v>33</v>
      </c>
      <c r="C765" s="6" t="s">
        <v>45</v>
      </c>
      <c r="D765" s="65" t="str">
        <f t="shared" si="35"/>
        <v>070_V_c</v>
      </c>
      <c r="E765">
        <v>101</v>
      </c>
      <c r="F765" t="s">
        <v>70</v>
      </c>
      <c r="G765" t="s">
        <v>901</v>
      </c>
      <c r="I765">
        <v>4.6198004836759399</v>
      </c>
      <c r="J765" s="82">
        <v>37.6</v>
      </c>
      <c r="K765" t="s">
        <v>57</v>
      </c>
      <c r="L765" s="82">
        <v>48</v>
      </c>
      <c r="M765">
        <v>21.2</v>
      </c>
      <c r="N765" s="82">
        <v>28.5</v>
      </c>
      <c r="O765" s="44">
        <f t="shared" si="37"/>
        <v>5.1280898876404475</v>
      </c>
      <c r="P765">
        <f t="shared" si="36"/>
        <v>33.825000000000003</v>
      </c>
      <c r="Q765" s="111">
        <v>0.23799999999999999</v>
      </c>
      <c r="R765">
        <v>0.314</v>
      </c>
      <c r="S765" s="65">
        <v>13</v>
      </c>
      <c r="T765">
        <v>22</v>
      </c>
      <c r="U765" t="s">
        <v>31</v>
      </c>
      <c r="V765" t="s">
        <v>32</v>
      </c>
    </row>
    <row r="766" spans="1:23" x14ac:dyDescent="0.2">
      <c r="A766" s="5" t="s">
        <v>893</v>
      </c>
      <c r="B766" s="6" t="s">
        <v>27</v>
      </c>
      <c r="C766" s="6" t="s">
        <v>45</v>
      </c>
      <c r="D766" s="65" t="str">
        <f t="shared" si="35"/>
        <v>070_S_c</v>
      </c>
      <c r="E766">
        <v>108</v>
      </c>
      <c r="F766" t="s">
        <v>68</v>
      </c>
      <c r="G766" t="s">
        <v>902</v>
      </c>
      <c r="I766">
        <v>7.8827154946454003</v>
      </c>
      <c r="J766" s="82">
        <v>36.5</v>
      </c>
      <c r="K766" s="82">
        <v>36.700000000000003</v>
      </c>
      <c r="L766" s="82">
        <v>26.1</v>
      </c>
      <c r="M766">
        <v>18.100000000000001</v>
      </c>
      <c r="N766" s="82">
        <v>43.8</v>
      </c>
      <c r="O766" s="44">
        <f t="shared" si="37"/>
        <v>2.7515048268029525</v>
      </c>
      <c r="P766">
        <f t="shared" si="36"/>
        <v>32.239999999999995</v>
      </c>
      <c r="Q766" s="111">
        <v>0.311</v>
      </c>
      <c r="R766">
        <v>0.3</v>
      </c>
      <c r="S766" s="65">
        <v>20</v>
      </c>
      <c r="T766">
        <v>8</v>
      </c>
      <c r="U766" t="s">
        <v>31</v>
      </c>
      <c r="V766" t="s">
        <v>32</v>
      </c>
    </row>
    <row r="767" spans="1:23" ht="16" x14ac:dyDescent="0.2">
      <c r="A767" s="5" t="s">
        <v>893</v>
      </c>
      <c r="B767" s="6" t="s">
        <v>36</v>
      </c>
      <c r="C767" s="6" t="s">
        <v>52</v>
      </c>
      <c r="D767" s="65" t="str">
        <f t="shared" si="35"/>
        <v>070_O_d</v>
      </c>
      <c r="E767">
        <v>131</v>
      </c>
      <c r="F767" t="s">
        <v>43</v>
      </c>
      <c r="G767" t="s">
        <v>903</v>
      </c>
      <c r="I767">
        <v>4.0645768260076496</v>
      </c>
      <c r="J767" s="82">
        <v>38.299999999999997</v>
      </c>
      <c r="K767" s="82">
        <v>44.3</v>
      </c>
      <c r="L767" s="84">
        <v>47.6</v>
      </c>
      <c r="M767">
        <v>18.100000000000001</v>
      </c>
      <c r="N767" s="82">
        <v>50.3</v>
      </c>
      <c r="O767" s="44">
        <f t="shared" si="37"/>
        <v>4.7159136884693211</v>
      </c>
      <c r="P767">
        <f t="shared" si="36"/>
        <v>39.719999999999992</v>
      </c>
      <c r="Q767" s="111">
        <v>0.35699999999999998</v>
      </c>
      <c r="R767">
        <v>0.48</v>
      </c>
      <c r="S767" s="65">
        <v>16</v>
      </c>
      <c r="T767">
        <v>25</v>
      </c>
      <c r="U767" t="s">
        <v>54</v>
      </c>
      <c r="V767" t="s">
        <v>32</v>
      </c>
    </row>
    <row r="768" spans="1:23" ht="16" x14ac:dyDescent="0.2">
      <c r="A768" s="5" t="s">
        <v>893</v>
      </c>
      <c r="B768" s="6" t="s">
        <v>27</v>
      </c>
      <c r="C768" s="6" t="s">
        <v>52</v>
      </c>
      <c r="D768" s="65" t="str">
        <f t="shared" si="35"/>
        <v>070_S_d</v>
      </c>
      <c r="E768">
        <v>132</v>
      </c>
      <c r="F768" t="s">
        <v>70</v>
      </c>
      <c r="G768" t="s">
        <v>904</v>
      </c>
      <c r="I768">
        <v>0</v>
      </c>
      <c r="J768" s="82">
        <v>1.1000000000000001</v>
      </c>
      <c r="K768" s="82">
        <v>1</v>
      </c>
      <c r="L768" s="84">
        <v>1</v>
      </c>
      <c r="M768">
        <v>1</v>
      </c>
      <c r="N768" s="82">
        <v>0.9</v>
      </c>
      <c r="O768" s="44">
        <f t="shared" si="37"/>
        <v>2.4390243902439068E-3</v>
      </c>
      <c r="P768">
        <f t="shared" si="36"/>
        <v>1</v>
      </c>
      <c r="Q768" s="111">
        <v>8.5000000000000006E-2</v>
      </c>
      <c r="R768" t="s">
        <v>57</v>
      </c>
      <c r="S768" s="65">
        <v>7</v>
      </c>
      <c r="T768">
        <v>50</v>
      </c>
      <c r="U768" t="s">
        <v>47</v>
      </c>
      <c r="V768" t="s">
        <v>32</v>
      </c>
      <c r="W768" t="s">
        <v>905</v>
      </c>
    </row>
    <row r="769" spans="1:23" ht="16" x14ac:dyDescent="0.2">
      <c r="A769" s="5" t="s">
        <v>893</v>
      </c>
      <c r="B769" s="6" t="s">
        <v>33</v>
      </c>
      <c r="C769" s="6" t="s">
        <v>52</v>
      </c>
      <c r="D769" s="65" t="str">
        <f t="shared" si="35"/>
        <v>070_V_d</v>
      </c>
      <c r="E769">
        <v>141</v>
      </c>
      <c r="F769" t="s">
        <v>39</v>
      </c>
      <c r="G769" t="s">
        <v>906</v>
      </c>
      <c r="I769">
        <v>5.2234177215189899</v>
      </c>
      <c r="J769" s="82">
        <v>27.4</v>
      </c>
      <c r="K769" s="82">
        <v>1.3</v>
      </c>
      <c r="L769" s="84">
        <v>28.3</v>
      </c>
      <c r="M769" s="82">
        <v>33.799999999999997</v>
      </c>
      <c r="N769" s="82">
        <v>5.3</v>
      </c>
      <c r="O769" s="44">
        <f t="shared" si="37"/>
        <v>9.3189427312775326</v>
      </c>
      <c r="P769">
        <f t="shared" si="36"/>
        <v>19.22</v>
      </c>
      <c r="Q769" s="111">
        <v>0.377</v>
      </c>
      <c r="R769">
        <v>0.63400000000000001</v>
      </c>
      <c r="S769" s="65">
        <v>12</v>
      </c>
      <c r="T769">
        <v>4</v>
      </c>
      <c r="U769" t="s">
        <v>47</v>
      </c>
      <c r="V769" t="s">
        <v>32</v>
      </c>
    </row>
    <row r="770" spans="1:23" ht="16" x14ac:dyDescent="0.2">
      <c r="A770" s="5" t="s">
        <v>907</v>
      </c>
      <c r="B770" s="6" t="s">
        <v>36</v>
      </c>
      <c r="C770" s="6" t="s">
        <v>28</v>
      </c>
      <c r="D770" s="65" t="str">
        <f t="shared" ref="D770:D833" si="38">A770&amp;"_"&amp;B770&amp;"_"&amp;C770</f>
        <v>071_O_a</v>
      </c>
      <c r="E770">
        <v>6</v>
      </c>
      <c r="F770" t="s">
        <v>41</v>
      </c>
      <c r="G770" t="s">
        <v>908</v>
      </c>
      <c r="I770">
        <v>2.6310478232497401</v>
      </c>
      <c r="J770" s="84">
        <v>3.3</v>
      </c>
      <c r="K770" s="82">
        <v>26.4</v>
      </c>
      <c r="L770" s="82">
        <v>24.5</v>
      </c>
      <c r="M770" s="82">
        <v>27.7</v>
      </c>
      <c r="N770" s="82">
        <v>31.4</v>
      </c>
      <c r="O770" s="44">
        <f t="shared" si="37"/>
        <v>6.4873829873829818</v>
      </c>
      <c r="P770">
        <f t="shared" ref="P770:P833" si="39">AVERAGE(J770:N770)</f>
        <v>22.660000000000004</v>
      </c>
      <c r="Q770" s="111">
        <v>0.20200000000000001</v>
      </c>
      <c r="R770">
        <v>0.38900000000000001</v>
      </c>
      <c r="S770" s="65">
        <v>16</v>
      </c>
      <c r="T770">
        <v>37</v>
      </c>
      <c r="U770" t="s">
        <v>54</v>
      </c>
      <c r="V770" t="s">
        <v>32</v>
      </c>
    </row>
    <row r="771" spans="1:23" ht="16" x14ac:dyDescent="0.2">
      <c r="A771" s="5" t="s">
        <v>907</v>
      </c>
      <c r="B771" s="6" t="s">
        <v>33</v>
      </c>
      <c r="C771" s="6" t="s">
        <v>28</v>
      </c>
      <c r="D771" s="65" t="str">
        <f t="shared" si="38"/>
        <v>071_V_a</v>
      </c>
      <c r="E771">
        <v>14</v>
      </c>
      <c r="F771" t="s">
        <v>39</v>
      </c>
      <c r="G771" t="s">
        <v>909</v>
      </c>
      <c r="I771">
        <v>0.77459757851277999</v>
      </c>
      <c r="J771" s="84">
        <v>26.6</v>
      </c>
      <c r="K771" s="82">
        <v>2.4</v>
      </c>
      <c r="L771" s="82">
        <v>27.3</v>
      </c>
      <c r="M771" s="82">
        <v>13.4</v>
      </c>
      <c r="N771" s="82">
        <v>24.8</v>
      </c>
      <c r="O771" s="44">
        <f t="shared" si="37"/>
        <v>8.1042085126733614</v>
      </c>
      <c r="P771">
        <f t="shared" si="39"/>
        <v>18.899999999999999</v>
      </c>
      <c r="Q771" s="111">
        <v>0.109</v>
      </c>
      <c r="R771">
        <v>0.16200000000000001</v>
      </c>
      <c r="S771" s="65">
        <v>11</v>
      </c>
      <c r="T771">
        <v>30</v>
      </c>
      <c r="U771" t="s">
        <v>51</v>
      </c>
      <c r="V771" t="s">
        <v>32</v>
      </c>
    </row>
    <row r="772" spans="1:23" s="19" customFormat="1" x14ac:dyDescent="0.2">
      <c r="A772" s="17" t="s">
        <v>907</v>
      </c>
      <c r="B772" s="18" t="s">
        <v>27</v>
      </c>
      <c r="C772" s="18" t="s">
        <v>28</v>
      </c>
      <c r="D772" s="66" t="str">
        <f t="shared" si="38"/>
        <v>071_S_a</v>
      </c>
      <c r="E772" s="19">
        <v>34</v>
      </c>
      <c r="F772" s="19" t="s">
        <v>49</v>
      </c>
      <c r="G772" s="19" t="s">
        <v>910</v>
      </c>
      <c r="I772">
        <v>4.1381643261696004</v>
      </c>
      <c r="J772" s="83">
        <v>29.1</v>
      </c>
      <c r="K772" s="83">
        <v>11.9</v>
      </c>
      <c r="L772" s="83">
        <v>20.3</v>
      </c>
      <c r="M772" s="83">
        <v>6.7</v>
      </c>
      <c r="N772" s="83">
        <v>46.4</v>
      </c>
      <c r="O772" s="54">
        <f t="shared" si="37"/>
        <v>5.6745098039215742</v>
      </c>
      <c r="P772">
        <f t="shared" si="39"/>
        <v>22.880000000000003</v>
      </c>
      <c r="Q772" s="112">
        <v>0.25</v>
      </c>
      <c r="R772" s="19">
        <v>0.22700000000000001</v>
      </c>
      <c r="S772" s="66">
        <v>14</v>
      </c>
      <c r="T772" s="19">
        <v>18</v>
      </c>
      <c r="U772" s="19" t="s">
        <v>31</v>
      </c>
      <c r="V772" t="s">
        <v>32</v>
      </c>
    </row>
    <row r="773" spans="1:23" x14ac:dyDescent="0.2">
      <c r="A773" s="5" t="s">
        <v>907</v>
      </c>
      <c r="B773" s="6" t="s">
        <v>27</v>
      </c>
      <c r="C773" s="6" t="s">
        <v>38</v>
      </c>
      <c r="D773" s="65" t="str">
        <f t="shared" si="38"/>
        <v>071_S_b</v>
      </c>
      <c r="E773">
        <v>55</v>
      </c>
      <c r="F773" t="s">
        <v>41</v>
      </c>
      <c r="G773" t="s">
        <v>911</v>
      </c>
      <c r="I773">
        <v>3.2444264194669801</v>
      </c>
      <c r="J773" s="82">
        <v>26.3</v>
      </c>
      <c r="K773" s="82">
        <v>28.1</v>
      </c>
      <c r="L773" s="82">
        <v>16.3</v>
      </c>
      <c r="M773" s="82">
        <v>28.7</v>
      </c>
      <c r="N773" s="82">
        <v>46.1</v>
      </c>
      <c r="O773" s="44">
        <f t="shared" si="37"/>
        <v>1.3492957746478893</v>
      </c>
      <c r="P773">
        <f t="shared" si="39"/>
        <v>29.1</v>
      </c>
      <c r="Q773" s="111">
        <v>0.12</v>
      </c>
      <c r="R773">
        <v>0.34499999999999997</v>
      </c>
      <c r="S773" s="65">
        <v>16</v>
      </c>
      <c r="T773">
        <v>25</v>
      </c>
      <c r="U773" t="s">
        <v>31</v>
      </c>
      <c r="V773" t="s">
        <v>32</v>
      </c>
    </row>
    <row r="774" spans="1:23" x14ac:dyDescent="0.2">
      <c r="A774" s="5" t="s">
        <v>907</v>
      </c>
      <c r="B774" s="6" t="s">
        <v>36</v>
      </c>
      <c r="C774" s="6" t="s">
        <v>38</v>
      </c>
      <c r="D774" s="65" t="str">
        <f t="shared" si="38"/>
        <v>071_O_b</v>
      </c>
      <c r="E774">
        <v>59</v>
      </c>
      <c r="F774" t="s">
        <v>34</v>
      </c>
      <c r="G774" t="s">
        <v>912</v>
      </c>
      <c r="I774">
        <v>1.0769918290715801</v>
      </c>
      <c r="J774" s="82">
        <v>4.9000000000000004</v>
      </c>
      <c r="K774" s="82">
        <v>3.1</v>
      </c>
      <c r="L774" s="82">
        <v>8.6</v>
      </c>
      <c r="M774" s="82">
        <v>3.8</v>
      </c>
      <c r="N774" s="82">
        <v>22</v>
      </c>
      <c r="O774" s="44">
        <f t="shared" si="37"/>
        <v>1.1751633986928087</v>
      </c>
      <c r="P774">
        <f t="shared" si="39"/>
        <v>8.48</v>
      </c>
      <c r="Q774" s="111">
        <v>3.4000000000000002E-2</v>
      </c>
      <c r="R774">
        <v>0.16200000000000001</v>
      </c>
      <c r="S774" s="65">
        <v>13</v>
      </c>
      <c r="T774">
        <v>19</v>
      </c>
      <c r="U774" t="s">
        <v>31</v>
      </c>
      <c r="V774" t="s">
        <v>32</v>
      </c>
    </row>
    <row r="775" spans="1:23" x14ac:dyDescent="0.2">
      <c r="A775" s="1" t="s">
        <v>907</v>
      </c>
      <c r="B775" t="s">
        <v>33</v>
      </c>
      <c r="C775" t="s">
        <v>38</v>
      </c>
      <c r="D775" s="65" t="str">
        <f t="shared" si="38"/>
        <v>071_V_b</v>
      </c>
      <c r="E775">
        <v>63</v>
      </c>
      <c r="F775" t="s">
        <v>41</v>
      </c>
      <c r="G775" t="s">
        <v>913</v>
      </c>
      <c r="I775">
        <v>2.6626013817963301</v>
      </c>
      <c r="J775" s="82">
        <v>3.3</v>
      </c>
      <c r="K775" s="82">
        <v>11.2</v>
      </c>
      <c r="L775" s="82">
        <v>41.2</v>
      </c>
      <c r="M775" s="82">
        <v>2.2999999999999998</v>
      </c>
      <c r="N775" s="82">
        <v>28.4</v>
      </c>
      <c r="O775" s="44">
        <f t="shared" si="37"/>
        <v>22.943908045977015</v>
      </c>
      <c r="P775">
        <f t="shared" si="39"/>
        <v>17.28</v>
      </c>
      <c r="Q775" s="111">
        <v>0.17499999999999999</v>
      </c>
      <c r="R775">
        <v>0.38100000000000001</v>
      </c>
      <c r="S775" s="65">
        <v>9</v>
      </c>
      <c r="T775">
        <v>8</v>
      </c>
      <c r="U775" t="s">
        <v>31</v>
      </c>
      <c r="V775" t="s">
        <v>32</v>
      </c>
    </row>
    <row r="776" spans="1:23" x14ac:dyDescent="0.2">
      <c r="A776" s="5" t="s">
        <v>907</v>
      </c>
      <c r="B776" s="6" t="s">
        <v>27</v>
      </c>
      <c r="C776" s="6" t="s">
        <v>45</v>
      </c>
      <c r="D776" s="65" t="str">
        <f t="shared" si="38"/>
        <v>071_S_c</v>
      </c>
      <c r="E776">
        <v>95</v>
      </c>
      <c r="F776" t="s">
        <v>43</v>
      </c>
      <c r="G776" t="s">
        <v>914</v>
      </c>
      <c r="I776">
        <v>3.23825234899329</v>
      </c>
      <c r="J776" s="82">
        <v>10.3</v>
      </c>
      <c r="K776" s="82">
        <v>14.4</v>
      </c>
      <c r="L776" s="82">
        <v>25.9</v>
      </c>
      <c r="M776">
        <v>25.4</v>
      </c>
      <c r="N776" s="82">
        <v>28.6</v>
      </c>
      <c r="O776" s="44">
        <f t="shared" si="37"/>
        <v>3.2529824561403524</v>
      </c>
      <c r="P776">
        <f t="shared" si="39"/>
        <v>20.919999999999998</v>
      </c>
      <c r="Q776" s="111">
        <v>0.16700000000000001</v>
      </c>
      <c r="R776">
        <v>0.308</v>
      </c>
      <c r="S776" s="65">
        <v>11</v>
      </c>
      <c r="T776">
        <v>35</v>
      </c>
      <c r="U776" t="s">
        <v>54</v>
      </c>
      <c r="V776" t="s">
        <v>32</v>
      </c>
    </row>
    <row r="777" spans="1:23" x14ac:dyDescent="0.2">
      <c r="A777" s="5" t="s">
        <v>907</v>
      </c>
      <c r="B777" s="6" t="s">
        <v>33</v>
      </c>
      <c r="C777" s="6" t="s">
        <v>45</v>
      </c>
      <c r="D777" s="65" t="str">
        <f t="shared" si="38"/>
        <v>071_V_c</v>
      </c>
      <c r="E777">
        <v>100</v>
      </c>
      <c r="F777" t="s">
        <v>70</v>
      </c>
      <c r="G777" t="s">
        <v>915</v>
      </c>
      <c r="I777">
        <v>0.963549454270755</v>
      </c>
      <c r="J777" s="82">
        <v>19.5</v>
      </c>
      <c r="K777" s="82">
        <v>9.3000000000000007</v>
      </c>
      <c r="L777" s="82">
        <v>45</v>
      </c>
      <c r="M777">
        <v>25.1</v>
      </c>
      <c r="N777" s="82">
        <v>17</v>
      </c>
      <c r="O777" s="44">
        <f t="shared" si="37"/>
        <v>9.1196157735085919</v>
      </c>
      <c r="P777">
        <f t="shared" si="39"/>
        <v>23.18</v>
      </c>
      <c r="Q777" s="111">
        <v>0.06</v>
      </c>
      <c r="R777">
        <v>0.17</v>
      </c>
      <c r="S777" s="65">
        <v>9</v>
      </c>
      <c r="T777">
        <v>12</v>
      </c>
      <c r="U777" t="s">
        <v>31</v>
      </c>
      <c r="V777" t="s">
        <v>32</v>
      </c>
    </row>
    <row r="778" spans="1:23" x14ac:dyDescent="0.2">
      <c r="A778" s="5" t="s">
        <v>907</v>
      </c>
      <c r="B778" s="6" t="s">
        <v>36</v>
      </c>
      <c r="C778" s="6" t="s">
        <v>45</v>
      </c>
      <c r="D778" s="65" t="str">
        <f t="shared" si="38"/>
        <v>071_O_c</v>
      </c>
      <c r="E778">
        <v>101</v>
      </c>
      <c r="F778" t="s">
        <v>49</v>
      </c>
      <c r="G778" t="s">
        <v>916</v>
      </c>
      <c r="I778">
        <v>1.90845677146312</v>
      </c>
      <c r="J778" s="82">
        <v>21.6</v>
      </c>
      <c r="K778" t="s">
        <v>57</v>
      </c>
      <c r="L778" s="82">
        <v>24.3</v>
      </c>
      <c r="M778">
        <v>17.5</v>
      </c>
      <c r="N778" s="82">
        <v>27.1</v>
      </c>
      <c r="O778" s="44">
        <f t="shared" si="37"/>
        <v>0.55473186119873386</v>
      </c>
      <c r="P778">
        <f t="shared" si="39"/>
        <v>22.625</v>
      </c>
      <c r="Q778" s="111">
        <v>0.14399999999999999</v>
      </c>
      <c r="R778">
        <v>0.218</v>
      </c>
      <c r="S778" s="65">
        <v>9</v>
      </c>
      <c r="T778">
        <v>34</v>
      </c>
      <c r="U778" t="s">
        <v>72</v>
      </c>
      <c r="V778" t="s">
        <v>32</v>
      </c>
    </row>
    <row r="779" spans="1:23" x14ac:dyDescent="0.2">
      <c r="A779" s="5" t="s">
        <v>907</v>
      </c>
      <c r="B779" s="6" t="s">
        <v>36</v>
      </c>
      <c r="C779" s="6" t="s">
        <v>52</v>
      </c>
      <c r="D779" s="65" t="str">
        <f t="shared" si="38"/>
        <v>071_O_d</v>
      </c>
      <c r="E779">
        <v>119</v>
      </c>
      <c r="F779" t="s">
        <v>63</v>
      </c>
      <c r="G779" t="s">
        <v>917</v>
      </c>
      <c r="I779">
        <v>3.76636535938183</v>
      </c>
      <c r="J779" s="82">
        <v>9.5</v>
      </c>
      <c r="K779" s="82">
        <v>23.5</v>
      </c>
      <c r="L779" s="82">
        <v>26.8</v>
      </c>
      <c r="M779">
        <v>25.4</v>
      </c>
      <c r="N779" s="82">
        <v>34.299999999999997</v>
      </c>
      <c r="O779" s="44">
        <f t="shared" si="37"/>
        <v>2.9912363067292733</v>
      </c>
      <c r="P779">
        <f t="shared" si="39"/>
        <v>23.9</v>
      </c>
      <c r="Q779" s="111">
        <v>0.23699999999999999</v>
      </c>
      <c r="R779">
        <v>0.27600000000000002</v>
      </c>
      <c r="S779" s="65">
        <v>12</v>
      </c>
      <c r="T779">
        <v>10</v>
      </c>
      <c r="U779" t="s">
        <v>31</v>
      </c>
      <c r="V779" t="s">
        <v>32</v>
      </c>
    </row>
    <row r="780" spans="1:23" ht="16" x14ac:dyDescent="0.2">
      <c r="A780" s="5" t="s">
        <v>907</v>
      </c>
      <c r="B780" s="6" t="s">
        <v>27</v>
      </c>
      <c r="C780" s="6" t="s">
        <v>52</v>
      </c>
      <c r="D780" s="65" t="str">
        <f t="shared" si="38"/>
        <v>071_S_d</v>
      </c>
      <c r="E780">
        <v>137</v>
      </c>
      <c r="F780" t="s">
        <v>68</v>
      </c>
      <c r="G780" t="s">
        <v>918</v>
      </c>
      <c r="H780" t="s">
        <v>56</v>
      </c>
      <c r="I780">
        <v>0</v>
      </c>
      <c r="J780" s="81"/>
      <c r="K780" s="82">
        <v>1</v>
      </c>
      <c r="L780" s="84">
        <v>1</v>
      </c>
      <c r="M780" s="82">
        <v>1</v>
      </c>
      <c r="N780" s="82">
        <v>0.9</v>
      </c>
      <c r="O780" s="44">
        <f t="shared" si="37"/>
        <v>0</v>
      </c>
      <c r="P780">
        <f t="shared" si="39"/>
        <v>0.97499999999999998</v>
      </c>
      <c r="Q780" s="111" t="s">
        <v>57</v>
      </c>
      <c r="R780" t="s">
        <v>57</v>
      </c>
      <c r="S780" s="65" t="s">
        <v>57</v>
      </c>
      <c r="T780" t="s">
        <v>57</v>
      </c>
      <c r="V780" t="s">
        <v>32</v>
      </c>
      <c r="W780" t="s">
        <v>67</v>
      </c>
    </row>
    <row r="781" spans="1:23" ht="16" x14ac:dyDescent="0.2">
      <c r="A781" s="5" t="s">
        <v>907</v>
      </c>
      <c r="B781" s="6" t="s">
        <v>33</v>
      </c>
      <c r="C781" s="6" t="s">
        <v>52</v>
      </c>
      <c r="D781" s="65" t="str">
        <f t="shared" si="38"/>
        <v>071_V_d</v>
      </c>
      <c r="E781">
        <v>140</v>
      </c>
      <c r="F781" t="s">
        <v>82</v>
      </c>
      <c r="G781" t="s">
        <v>919</v>
      </c>
      <c r="I781">
        <v>3.6735437633424799</v>
      </c>
      <c r="J781" s="82">
        <v>8.9</v>
      </c>
      <c r="K781" s="82">
        <v>5.2</v>
      </c>
      <c r="L781" s="84">
        <v>9.1</v>
      </c>
      <c r="M781" s="82">
        <v>14.3</v>
      </c>
      <c r="N781" s="82">
        <v>4.9000000000000004</v>
      </c>
      <c r="O781" s="44">
        <f t="shared" si="37"/>
        <v>1.4928888888888894</v>
      </c>
      <c r="P781">
        <f t="shared" si="39"/>
        <v>8.48</v>
      </c>
      <c r="Q781" s="111">
        <v>0.35899999999999999</v>
      </c>
      <c r="R781">
        <v>0.55300000000000005</v>
      </c>
      <c r="S781" s="65">
        <v>18</v>
      </c>
      <c r="T781">
        <v>8</v>
      </c>
      <c r="U781" t="s">
        <v>54</v>
      </c>
      <c r="V781" t="s">
        <v>32</v>
      </c>
    </row>
    <row r="782" spans="1:23" s="19" customFormat="1" ht="16" x14ac:dyDescent="0.2">
      <c r="A782" s="17" t="s">
        <v>920</v>
      </c>
      <c r="B782" s="18" t="s">
        <v>27</v>
      </c>
      <c r="C782" s="18" t="s">
        <v>28</v>
      </c>
      <c r="D782" s="66" t="str">
        <f t="shared" si="38"/>
        <v>072_S_a</v>
      </c>
      <c r="E782" s="19">
        <v>4</v>
      </c>
      <c r="F782" s="19" t="s">
        <v>70</v>
      </c>
      <c r="G782" s="19" t="s">
        <v>921</v>
      </c>
      <c r="I782">
        <v>5.4907960588051301</v>
      </c>
      <c r="J782" s="85">
        <v>13.1</v>
      </c>
      <c r="K782" s="83">
        <v>15.5</v>
      </c>
      <c r="L782" s="83">
        <v>19.3</v>
      </c>
      <c r="M782" s="82">
        <v>23.6</v>
      </c>
      <c r="N782" s="83">
        <v>21</v>
      </c>
      <c r="O782" s="54">
        <f t="shared" si="37"/>
        <v>1.1794405594405584</v>
      </c>
      <c r="P782">
        <f t="shared" si="39"/>
        <v>18.5</v>
      </c>
      <c r="Q782" s="112">
        <v>0.48399999999999999</v>
      </c>
      <c r="R782" s="19">
        <v>0.53900000000000003</v>
      </c>
      <c r="S782" s="66">
        <v>10</v>
      </c>
      <c r="T782" s="19">
        <v>47</v>
      </c>
      <c r="U782" s="19" t="s">
        <v>61</v>
      </c>
      <c r="V782" t="s">
        <v>32</v>
      </c>
    </row>
    <row r="783" spans="1:23" ht="16" x14ac:dyDescent="0.2">
      <c r="A783" s="45" t="s">
        <v>920</v>
      </c>
      <c r="B783" s="46" t="s">
        <v>36</v>
      </c>
      <c r="C783" s="46" t="s">
        <v>28</v>
      </c>
      <c r="D783" s="67" t="str">
        <f t="shared" si="38"/>
        <v>072_O_a</v>
      </c>
      <c r="E783" s="47">
        <v>8</v>
      </c>
      <c r="F783" s="47" t="s">
        <v>68</v>
      </c>
      <c r="G783" s="47" t="s">
        <v>922</v>
      </c>
      <c r="H783" s="47"/>
      <c r="I783">
        <v>1.2990744695998899</v>
      </c>
      <c r="J783" s="84">
        <v>19.399999999999999</v>
      </c>
      <c r="K783" s="82">
        <v>21.8</v>
      </c>
      <c r="L783" t="s">
        <v>57</v>
      </c>
      <c r="M783" s="82">
        <v>12.5</v>
      </c>
      <c r="N783" s="82">
        <v>21.9</v>
      </c>
      <c r="O783" s="48">
        <f t="shared" si="37"/>
        <v>1.3022346368715021</v>
      </c>
      <c r="P783">
        <f t="shared" si="39"/>
        <v>18.899999999999999</v>
      </c>
      <c r="Q783" s="113">
        <v>0.106</v>
      </c>
      <c r="R783" s="47">
        <v>0.17899999999999999</v>
      </c>
      <c r="S783" s="67">
        <v>6</v>
      </c>
      <c r="T783" s="47">
        <v>17</v>
      </c>
      <c r="U783" t="s">
        <v>31</v>
      </c>
      <c r="V783" t="s">
        <v>32</v>
      </c>
      <c r="W783" s="47"/>
    </row>
    <row r="784" spans="1:23" x14ac:dyDescent="0.2">
      <c r="A784" s="1" t="s">
        <v>920</v>
      </c>
      <c r="B784" t="s">
        <v>33</v>
      </c>
      <c r="C784" t="s">
        <v>28</v>
      </c>
      <c r="D784" s="65" t="str">
        <f t="shared" si="38"/>
        <v>072_V_a</v>
      </c>
      <c r="E784">
        <v>31</v>
      </c>
      <c r="F784" t="s">
        <v>70</v>
      </c>
      <c r="G784" t="s">
        <v>923</v>
      </c>
      <c r="I784">
        <v>1.1626655263738701</v>
      </c>
      <c r="J784" s="82">
        <v>3.9</v>
      </c>
      <c r="K784" s="82">
        <v>29.3</v>
      </c>
      <c r="L784" s="82">
        <v>14.3</v>
      </c>
      <c r="M784" s="82">
        <v>6.5</v>
      </c>
      <c r="N784" s="82">
        <v>23.5</v>
      </c>
      <c r="O784" s="44">
        <f t="shared" si="37"/>
        <v>9.6651851851851873</v>
      </c>
      <c r="P784">
        <f t="shared" si="39"/>
        <v>15.5</v>
      </c>
      <c r="Q784" s="111">
        <v>7.6999999999999999E-2</v>
      </c>
      <c r="R784">
        <v>0.221</v>
      </c>
      <c r="S784" s="65">
        <v>9</v>
      </c>
      <c r="T784">
        <v>22</v>
      </c>
      <c r="U784" t="s">
        <v>31</v>
      </c>
      <c r="V784" t="s">
        <v>32</v>
      </c>
    </row>
    <row r="785" spans="1:23" x14ac:dyDescent="0.2">
      <c r="A785" s="1" t="s">
        <v>920</v>
      </c>
      <c r="B785" t="s">
        <v>33</v>
      </c>
      <c r="C785" t="s">
        <v>38</v>
      </c>
      <c r="D785" s="65" t="str">
        <f t="shared" si="38"/>
        <v>072_V_b</v>
      </c>
      <c r="E785">
        <v>50</v>
      </c>
      <c r="F785" t="s">
        <v>63</v>
      </c>
      <c r="G785" t="s">
        <v>924</v>
      </c>
      <c r="I785">
        <v>3.21907640549846</v>
      </c>
      <c r="J785" s="82">
        <v>38</v>
      </c>
      <c r="K785" s="82">
        <v>48.8</v>
      </c>
      <c r="L785" s="82">
        <v>42</v>
      </c>
      <c r="M785" s="82">
        <v>41.7</v>
      </c>
      <c r="N785" s="82">
        <v>13.2</v>
      </c>
      <c r="O785" s="44">
        <f t="shared" si="37"/>
        <v>0.47521016617790784</v>
      </c>
      <c r="P785">
        <f t="shared" si="39"/>
        <v>36.739999999999995</v>
      </c>
      <c r="Q785" s="111">
        <v>0.17699999999999999</v>
      </c>
      <c r="R785">
        <v>0.317</v>
      </c>
      <c r="S785" s="65">
        <v>10</v>
      </c>
      <c r="T785" s="43">
        <v>13</v>
      </c>
      <c r="U785" t="s">
        <v>31</v>
      </c>
      <c r="V785" t="s">
        <v>32</v>
      </c>
    </row>
    <row r="786" spans="1:23" x14ac:dyDescent="0.2">
      <c r="A786" s="5" t="s">
        <v>920</v>
      </c>
      <c r="B786" s="6" t="s">
        <v>27</v>
      </c>
      <c r="C786" s="6" t="s">
        <v>38</v>
      </c>
      <c r="D786" s="65" t="str">
        <f t="shared" si="38"/>
        <v>072_S_b</v>
      </c>
      <c r="E786">
        <v>58</v>
      </c>
      <c r="F786" t="s">
        <v>70</v>
      </c>
      <c r="G786" t="s">
        <v>925</v>
      </c>
      <c r="I786">
        <v>4.4305169207884001</v>
      </c>
      <c r="J786" s="82">
        <v>8.1</v>
      </c>
      <c r="K786" s="82">
        <v>5.6</v>
      </c>
      <c r="L786" s="82">
        <v>13.5</v>
      </c>
      <c r="M786" s="82">
        <v>37.1</v>
      </c>
      <c r="N786" s="82">
        <v>48.2</v>
      </c>
      <c r="O786" s="44">
        <f t="shared" si="37"/>
        <v>12.898030067392435</v>
      </c>
      <c r="P786">
        <f t="shared" si="39"/>
        <v>22.5</v>
      </c>
      <c r="Q786" s="111">
        <v>0.16900000000000001</v>
      </c>
      <c r="R786">
        <v>0.45300000000000001</v>
      </c>
      <c r="S786" s="65">
        <v>10</v>
      </c>
      <c r="T786">
        <v>53</v>
      </c>
      <c r="U786" t="s">
        <v>31</v>
      </c>
      <c r="V786" t="s">
        <v>32</v>
      </c>
    </row>
    <row r="787" spans="1:23" x14ac:dyDescent="0.2">
      <c r="A787" s="5" t="s">
        <v>920</v>
      </c>
      <c r="B787" s="6" t="s">
        <v>36</v>
      </c>
      <c r="C787" s="6" t="s">
        <v>38</v>
      </c>
      <c r="D787" s="65" t="str">
        <f t="shared" si="38"/>
        <v>072_O_b</v>
      </c>
      <c r="E787">
        <v>62</v>
      </c>
      <c r="F787" t="s">
        <v>63</v>
      </c>
      <c r="G787" t="s">
        <v>926</v>
      </c>
      <c r="I787">
        <v>2.88368253498186</v>
      </c>
      <c r="J787" s="82">
        <v>33.6</v>
      </c>
      <c r="K787" s="82">
        <v>38.299999999999997</v>
      </c>
      <c r="L787" s="81">
        <v>1.5</v>
      </c>
      <c r="M787" s="82">
        <v>20.7</v>
      </c>
      <c r="N787" s="82">
        <v>46.9</v>
      </c>
      <c r="O787" s="44">
        <f t="shared" si="37"/>
        <v>11.51806588735387</v>
      </c>
      <c r="P787">
        <f t="shared" si="39"/>
        <v>28.2</v>
      </c>
      <c r="Q787" s="111">
        <v>0.182</v>
      </c>
      <c r="R787">
        <v>0.38900000000000001</v>
      </c>
      <c r="S787" s="65">
        <v>10</v>
      </c>
      <c r="T787">
        <v>10</v>
      </c>
      <c r="U787" t="s">
        <v>31</v>
      </c>
      <c r="V787" t="s">
        <v>32</v>
      </c>
    </row>
    <row r="788" spans="1:23" x14ac:dyDescent="0.2">
      <c r="A788" s="5" t="s">
        <v>920</v>
      </c>
      <c r="B788" s="6" t="s">
        <v>33</v>
      </c>
      <c r="C788" s="6" t="s">
        <v>45</v>
      </c>
      <c r="D788" s="65" t="str">
        <f t="shared" si="38"/>
        <v>072_V_c</v>
      </c>
      <c r="E788">
        <v>77</v>
      </c>
      <c r="F788" t="s">
        <v>63</v>
      </c>
      <c r="G788" t="s">
        <v>927</v>
      </c>
      <c r="I788">
        <v>1.4145787510758301</v>
      </c>
      <c r="J788" s="82">
        <v>26.9</v>
      </c>
      <c r="K788" s="82">
        <v>4</v>
      </c>
      <c r="L788" s="82">
        <v>12.3</v>
      </c>
      <c r="M788" s="82">
        <v>24.8</v>
      </c>
      <c r="N788" s="82">
        <v>34.9</v>
      </c>
      <c r="O788" s="44">
        <f t="shared" si="37"/>
        <v>6.8615686274509819</v>
      </c>
      <c r="P788">
        <f t="shared" si="39"/>
        <v>20.580000000000002</v>
      </c>
      <c r="Q788" s="111">
        <v>0.104</v>
      </c>
      <c r="R788">
        <v>0.251</v>
      </c>
      <c r="S788" s="65">
        <v>16</v>
      </c>
      <c r="T788">
        <v>35</v>
      </c>
      <c r="U788" t="s">
        <v>51</v>
      </c>
      <c r="V788" t="s">
        <v>32</v>
      </c>
    </row>
    <row r="789" spans="1:23" x14ac:dyDescent="0.2">
      <c r="A789" s="5" t="s">
        <v>920</v>
      </c>
      <c r="B789" s="6" t="s">
        <v>36</v>
      </c>
      <c r="C789" s="6" t="s">
        <v>45</v>
      </c>
      <c r="D789" s="65" t="str">
        <f t="shared" si="38"/>
        <v>072_O_c</v>
      </c>
      <c r="E789">
        <v>78</v>
      </c>
      <c r="F789" t="s">
        <v>43</v>
      </c>
      <c r="G789" t="s">
        <v>928</v>
      </c>
      <c r="I789">
        <v>1.8070719779697999</v>
      </c>
      <c r="J789" s="82">
        <v>25.1</v>
      </c>
      <c r="K789" s="82">
        <v>23.8</v>
      </c>
      <c r="L789" s="82">
        <v>33</v>
      </c>
      <c r="M789" s="82">
        <v>24.6</v>
      </c>
      <c r="N789" s="82">
        <v>41</v>
      </c>
      <c r="O789" s="44">
        <f t="shared" si="37"/>
        <v>0.68917057902974121</v>
      </c>
      <c r="P789">
        <f t="shared" si="39"/>
        <v>29.5</v>
      </c>
      <c r="Q789" s="111">
        <v>0.155</v>
      </c>
      <c r="R789">
        <v>0.372</v>
      </c>
      <c r="S789" s="65">
        <v>23</v>
      </c>
      <c r="T789">
        <v>27</v>
      </c>
      <c r="U789" t="s">
        <v>31</v>
      </c>
      <c r="V789" t="s">
        <v>32</v>
      </c>
    </row>
    <row r="790" spans="1:23" x14ac:dyDescent="0.2">
      <c r="A790" s="5" t="s">
        <v>920</v>
      </c>
      <c r="B790" s="6" t="s">
        <v>27</v>
      </c>
      <c r="C790" s="6" t="s">
        <v>45</v>
      </c>
      <c r="D790" s="65" t="str">
        <f t="shared" si="38"/>
        <v>072_S_c</v>
      </c>
      <c r="E790">
        <v>90</v>
      </c>
      <c r="F790" t="s">
        <v>70</v>
      </c>
      <c r="G790" t="s">
        <v>929</v>
      </c>
      <c r="I790">
        <v>4.9898078590002903</v>
      </c>
      <c r="J790" s="82">
        <v>55.5</v>
      </c>
      <c r="K790" s="82">
        <v>35.200000000000003</v>
      </c>
      <c r="L790" s="82">
        <v>42.4</v>
      </c>
      <c r="M790" s="82">
        <v>19</v>
      </c>
      <c r="N790" s="82">
        <v>48.8</v>
      </c>
      <c r="O790" s="44">
        <f t="shared" si="37"/>
        <v>6.087639710716636</v>
      </c>
      <c r="P790">
        <f t="shared" si="39"/>
        <v>40.179999999999993</v>
      </c>
      <c r="Q790" s="111">
        <v>0.35299999999999998</v>
      </c>
      <c r="R790">
        <v>0.44</v>
      </c>
      <c r="S790" s="65">
        <v>16</v>
      </c>
      <c r="T790">
        <v>42</v>
      </c>
      <c r="U790" t="s">
        <v>51</v>
      </c>
      <c r="V790" t="s">
        <v>32</v>
      </c>
    </row>
    <row r="791" spans="1:23" x14ac:dyDescent="0.2">
      <c r="A791" s="5" t="s">
        <v>920</v>
      </c>
      <c r="B791" s="6" t="s">
        <v>36</v>
      </c>
      <c r="C791" s="6" t="s">
        <v>52</v>
      </c>
      <c r="D791" s="65" t="str">
        <f t="shared" si="38"/>
        <v>072_O_d</v>
      </c>
      <c r="E791">
        <v>109</v>
      </c>
      <c r="F791" t="s">
        <v>29</v>
      </c>
      <c r="G791" t="s">
        <v>930</v>
      </c>
      <c r="I791">
        <v>1.46104301957047</v>
      </c>
      <c r="J791" s="82">
        <v>2.8</v>
      </c>
      <c r="K791" s="82">
        <v>6.6</v>
      </c>
      <c r="L791" s="82">
        <v>3</v>
      </c>
      <c r="M791">
        <v>17.100000000000001</v>
      </c>
      <c r="N791" s="82">
        <v>35.200000000000003</v>
      </c>
      <c r="O791" s="44">
        <f t="shared" si="37"/>
        <v>6.1128813559322035</v>
      </c>
      <c r="P791">
        <f t="shared" si="39"/>
        <v>12.940000000000001</v>
      </c>
      <c r="Q791" s="111">
        <v>9.4E-2</v>
      </c>
      <c r="R791">
        <v>0.14799999999999999</v>
      </c>
      <c r="S791" s="65">
        <v>15</v>
      </c>
      <c r="T791">
        <v>28</v>
      </c>
      <c r="U791" t="s">
        <v>54</v>
      </c>
      <c r="V791" t="s">
        <v>32</v>
      </c>
    </row>
    <row r="792" spans="1:23" s="19" customFormat="1" ht="16" x14ac:dyDescent="0.2">
      <c r="A792" s="17" t="s">
        <v>920</v>
      </c>
      <c r="B792" s="18" t="s">
        <v>27</v>
      </c>
      <c r="C792" s="18" t="s">
        <v>52</v>
      </c>
      <c r="D792" s="66" t="str">
        <f t="shared" si="38"/>
        <v>072_S_d</v>
      </c>
      <c r="E792" s="19">
        <v>138</v>
      </c>
      <c r="F792" s="19" t="s">
        <v>82</v>
      </c>
      <c r="G792" s="19" t="s">
        <v>931</v>
      </c>
      <c r="H792" s="19" t="s">
        <v>56</v>
      </c>
      <c r="I792">
        <v>0</v>
      </c>
      <c r="J792" s="122"/>
      <c r="K792" s="83">
        <v>1</v>
      </c>
      <c r="L792" s="84">
        <v>1</v>
      </c>
      <c r="M792" s="82">
        <v>1</v>
      </c>
      <c r="N792" s="83">
        <v>0.9</v>
      </c>
      <c r="O792" s="54">
        <f t="shared" si="37"/>
        <v>0</v>
      </c>
      <c r="P792">
        <f t="shared" si="39"/>
        <v>0.97499999999999998</v>
      </c>
      <c r="Q792" s="112" t="s">
        <v>57</v>
      </c>
      <c r="R792" s="19" t="s">
        <v>57</v>
      </c>
      <c r="S792" s="66" t="s">
        <v>57</v>
      </c>
      <c r="T792" s="19" t="s">
        <v>57</v>
      </c>
      <c r="V792" t="s">
        <v>32</v>
      </c>
      <c r="W792" s="19" t="s">
        <v>67</v>
      </c>
    </row>
    <row r="793" spans="1:23" ht="16" x14ac:dyDescent="0.2">
      <c r="A793" s="5" t="s">
        <v>920</v>
      </c>
      <c r="B793" s="6" t="s">
        <v>33</v>
      </c>
      <c r="C793" s="6" t="s">
        <v>52</v>
      </c>
      <c r="D793" s="65" t="str">
        <f t="shared" si="38"/>
        <v>072_V_d</v>
      </c>
      <c r="E793">
        <v>142</v>
      </c>
      <c r="F793" t="s">
        <v>41</v>
      </c>
      <c r="G793" t="s">
        <v>932</v>
      </c>
      <c r="I793">
        <v>2.53061914737878</v>
      </c>
      <c r="J793" s="82">
        <v>19.8</v>
      </c>
      <c r="K793" s="82">
        <v>31.4</v>
      </c>
      <c r="L793" s="84">
        <v>9.5</v>
      </c>
      <c r="M793" s="82">
        <v>27.6</v>
      </c>
      <c r="N793" s="82">
        <v>27.3</v>
      </c>
      <c r="O793" s="44">
        <f t="shared" si="37"/>
        <v>4.2399018497546193</v>
      </c>
      <c r="P793">
        <f t="shared" si="39"/>
        <v>23.12</v>
      </c>
      <c r="Q793" s="111">
        <v>0.106</v>
      </c>
      <c r="R793">
        <v>0.38900000000000001</v>
      </c>
      <c r="S793" s="65">
        <v>13</v>
      </c>
      <c r="T793">
        <v>31</v>
      </c>
      <c r="U793" t="s">
        <v>51</v>
      </c>
      <c r="V793" t="s">
        <v>32</v>
      </c>
    </row>
    <row r="794" spans="1:23" ht="16" x14ac:dyDescent="0.2">
      <c r="A794" s="5" t="s">
        <v>933</v>
      </c>
      <c r="B794" s="6" t="s">
        <v>36</v>
      </c>
      <c r="C794" s="6" t="s">
        <v>28</v>
      </c>
      <c r="D794" s="65" t="str">
        <f t="shared" si="38"/>
        <v>073_O_a</v>
      </c>
      <c r="E794">
        <v>2</v>
      </c>
      <c r="F794" t="s">
        <v>68</v>
      </c>
      <c r="G794" t="s">
        <v>934</v>
      </c>
      <c r="I794">
        <v>0.98136215653079795</v>
      </c>
      <c r="J794" s="84">
        <v>27.9</v>
      </c>
      <c r="K794" s="82">
        <v>30.5</v>
      </c>
      <c r="L794" s="82">
        <v>29.1</v>
      </c>
      <c r="M794" s="82">
        <v>40.700000000000003</v>
      </c>
      <c r="N794" s="82">
        <v>35.6</v>
      </c>
      <c r="O794" s="44">
        <f t="shared" si="37"/>
        <v>1.0728029121164906</v>
      </c>
      <c r="P794">
        <f t="shared" si="39"/>
        <v>32.76</v>
      </c>
      <c r="Q794" s="111">
        <v>0.155</v>
      </c>
      <c r="R794">
        <v>0.156</v>
      </c>
      <c r="S794" s="65">
        <v>24</v>
      </c>
      <c r="T794">
        <v>31</v>
      </c>
      <c r="U794" t="s">
        <v>54</v>
      </c>
      <c r="V794" t="s">
        <v>32</v>
      </c>
    </row>
    <row r="795" spans="1:23" x14ac:dyDescent="0.2">
      <c r="A795" s="5" t="s">
        <v>933</v>
      </c>
      <c r="B795" s="6" t="s">
        <v>27</v>
      </c>
      <c r="C795" s="6" t="s">
        <v>28</v>
      </c>
      <c r="D795" s="65" t="str">
        <f t="shared" si="38"/>
        <v>073_S_a</v>
      </c>
      <c r="E795">
        <v>25</v>
      </c>
      <c r="F795" t="s">
        <v>39</v>
      </c>
      <c r="G795" t="s">
        <v>935</v>
      </c>
      <c r="I795">
        <v>1.48621502209131</v>
      </c>
      <c r="J795" s="82">
        <v>5.9</v>
      </c>
      <c r="K795" t="s">
        <v>57</v>
      </c>
      <c r="L795" s="82">
        <v>18.100000000000001</v>
      </c>
      <c r="M795" s="82">
        <v>19.7</v>
      </c>
      <c r="N795" s="82">
        <v>21.6</v>
      </c>
      <c r="O795" s="44">
        <f t="shared" si="37"/>
        <v>3.9112128146453062</v>
      </c>
      <c r="P795">
        <f t="shared" si="39"/>
        <v>16.325000000000003</v>
      </c>
      <c r="Q795" s="111">
        <v>0.125</v>
      </c>
      <c r="R795">
        <v>0.22800000000000001</v>
      </c>
      <c r="S795" s="65">
        <v>9</v>
      </c>
      <c r="T795" s="43">
        <v>5</v>
      </c>
      <c r="U795" t="s">
        <v>31</v>
      </c>
      <c r="V795" t="s">
        <v>32</v>
      </c>
    </row>
    <row r="796" spans="1:23" x14ac:dyDescent="0.2">
      <c r="A796" s="1" t="s">
        <v>933</v>
      </c>
      <c r="B796" t="s">
        <v>33</v>
      </c>
      <c r="C796" t="s">
        <v>28</v>
      </c>
      <c r="D796" s="65" t="str">
        <f t="shared" si="38"/>
        <v>073_V_a</v>
      </c>
      <c r="E796">
        <v>30</v>
      </c>
      <c r="F796" t="s">
        <v>34</v>
      </c>
      <c r="G796" t="s">
        <v>936</v>
      </c>
      <c r="I796">
        <v>2.9436546094929299</v>
      </c>
      <c r="J796" s="82">
        <v>13.1</v>
      </c>
      <c r="K796" s="82">
        <v>44.3</v>
      </c>
      <c r="L796" s="82">
        <v>45.2</v>
      </c>
      <c r="M796" s="82">
        <v>47.7</v>
      </c>
      <c r="N796" s="82">
        <v>49.7</v>
      </c>
      <c r="O796" s="44">
        <f t="shared" si="37"/>
        <v>7.1404524284763742</v>
      </c>
      <c r="P796">
        <f t="shared" si="39"/>
        <v>40</v>
      </c>
      <c r="Q796" s="111">
        <v>0.184</v>
      </c>
      <c r="R796">
        <v>0.34399999999999997</v>
      </c>
      <c r="S796" s="65">
        <v>9</v>
      </c>
      <c r="T796">
        <v>11</v>
      </c>
      <c r="U796" t="s">
        <v>31</v>
      </c>
      <c r="V796" t="s">
        <v>32</v>
      </c>
    </row>
    <row r="797" spans="1:23" x14ac:dyDescent="0.2">
      <c r="A797" s="1" t="s">
        <v>933</v>
      </c>
      <c r="B797" t="s">
        <v>33</v>
      </c>
      <c r="C797" t="s">
        <v>38</v>
      </c>
      <c r="D797" s="65" t="str">
        <f t="shared" si="38"/>
        <v>073_V_b</v>
      </c>
      <c r="E797">
        <v>47</v>
      </c>
      <c r="F797" t="s">
        <v>63</v>
      </c>
      <c r="G797" t="s">
        <v>937</v>
      </c>
      <c r="I797">
        <v>1.3083323131167199</v>
      </c>
      <c r="J797" s="82">
        <v>1.7</v>
      </c>
      <c r="K797" s="82">
        <v>8.6999999999999993</v>
      </c>
      <c r="L797" s="82">
        <v>25.7</v>
      </c>
      <c r="M797" s="82">
        <v>31</v>
      </c>
      <c r="N797" s="82">
        <v>27.4</v>
      </c>
      <c r="O797" s="44">
        <f t="shared" si="37"/>
        <v>11.415151515151519</v>
      </c>
      <c r="P797">
        <f t="shared" si="39"/>
        <v>18.899999999999999</v>
      </c>
      <c r="Q797" s="111">
        <v>9.4E-2</v>
      </c>
      <c r="R797">
        <v>0.153</v>
      </c>
      <c r="S797" s="65">
        <v>10</v>
      </c>
      <c r="T797" s="43">
        <v>10</v>
      </c>
      <c r="U797" t="s">
        <v>54</v>
      </c>
      <c r="V797" t="s">
        <v>32</v>
      </c>
    </row>
    <row r="798" spans="1:23" x14ac:dyDescent="0.2">
      <c r="A798" s="5" t="s">
        <v>933</v>
      </c>
      <c r="B798" s="6" t="s">
        <v>27</v>
      </c>
      <c r="C798" s="6" t="s">
        <v>38</v>
      </c>
      <c r="D798" s="65" t="str">
        <f t="shared" si="38"/>
        <v>073_S_b</v>
      </c>
      <c r="E798">
        <v>57</v>
      </c>
      <c r="F798" t="s">
        <v>43</v>
      </c>
      <c r="G798" t="s">
        <v>938</v>
      </c>
      <c r="I798">
        <v>3.5894528233901299</v>
      </c>
      <c r="J798" s="82">
        <v>35.700000000000003</v>
      </c>
      <c r="K798" s="82">
        <v>32.4</v>
      </c>
      <c r="L798" s="82">
        <v>32.299999999999997</v>
      </c>
      <c r="M798" s="82">
        <v>31.4</v>
      </c>
      <c r="N798" s="82">
        <v>37.799999999999997</v>
      </c>
      <c r="O798" s="44">
        <f t="shared" si="37"/>
        <v>0.10814365199797699</v>
      </c>
      <c r="P798">
        <f t="shared" si="39"/>
        <v>33.919999999999995</v>
      </c>
      <c r="Q798" s="111">
        <v>0.313</v>
      </c>
      <c r="R798">
        <v>0.46400000000000002</v>
      </c>
      <c r="S798" s="65">
        <v>14</v>
      </c>
      <c r="T798">
        <v>15</v>
      </c>
      <c r="U798" t="s">
        <v>31</v>
      </c>
      <c r="V798" t="s">
        <v>32</v>
      </c>
    </row>
    <row r="799" spans="1:23" x14ac:dyDescent="0.2">
      <c r="A799" s="5" t="s">
        <v>933</v>
      </c>
      <c r="B799" s="6" t="s">
        <v>36</v>
      </c>
      <c r="C799" s="6" t="s">
        <v>38</v>
      </c>
      <c r="D799" s="65" t="str">
        <f t="shared" si="38"/>
        <v>073_O_b</v>
      </c>
      <c r="E799">
        <v>61</v>
      </c>
      <c r="F799" t="s">
        <v>82</v>
      </c>
      <c r="G799" t="s">
        <v>939</v>
      </c>
      <c r="I799">
        <v>4.5021963475253903</v>
      </c>
      <c r="J799" s="82">
        <v>29.9</v>
      </c>
      <c r="K799" s="82">
        <v>32.6</v>
      </c>
      <c r="L799" s="82">
        <v>43.4</v>
      </c>
      <c r="M799" s="82">
        <v>38</v>
      </c>
      <c r="N799" s="82">
        <v>33.799999999999997</v>
      </c>
      <c r="O799" s="44">
        <f t="shared" si="37"/>
        <v>0.99631688672688656</v>
      </c>
      <c r="P799">
        <f t="shared" si="39"/>
        <v>35.54</v>
      </c>
      <c r="Q799" s="111">
        <v>0.26800000000000002</v>
      </c>
      <c r="R799">
        <v>0.318</v>
      </c>
      <c r="S799" s="65">
        <v>17</v>
      </c>
      <c r="T799">
        <v>25</v>
      </c>
      <c r="U799" t="s">
        <v>31</v>
      </c>
      <c r="V799" t="s">
        <v>32</v>
      </c>
    </row>
    <row r="800" spans="1:23" x14ac:dyDescent="0.2">
      <c r="A800" s="5" t="s">
        <v>933</v>
      </c>
      <c r="B800" s="6" t="s">
        <v>33</v>
      </c>
      <c r="C800" s="6" t="s">
        <v>45</v>
      </c>
      <c r="D800" s="65" t="str">
        <f t="shared" si="38"/>
        <v>073_V_c</v>
      </c>
      <c r="E800">
        <v>74</v>
      </c>
      <c r="F800" t="s">
        <v>49</v>
      </c>
      <c r="G800" t="s">
        <v>940</v>
      </c>
      <c r="I800">
        <v>2.2574166581710702</v>
      </c>
      <c r="J800" s="82">
        <v>31.1</v>
      </c>
      <c r="K800" s="82">
        <v>30.8</v>
      </c>
      <c r="L800" s="82">
        <v>27.8</v>
      </c>
      <c r="M800" s="82">
        <v>27.6</v>
      </c>
      <c r="N800" s="82">
        <v>28.8</v>
      </c>
      <c r="O800" s="44">
        <f t="shared" ref="O800:O863" si="40">VAR(J800:M800)/AVERAGE(J800:M800)</f>
        <v>0.12080136402387041</v>
      </c>
      <c r="P800">
        <f t="shared" si="39"/>
        <v>29.220000000000006</v>
      </c>
      <c r="Q800" s="111">
        <v>0.13600000000000001</v>
      </c>
      <c r="R800">
        <v>0.28399999999999997</v>
      </c>
      <c r="S800" s="65">
        <v>26</v>
      </c>
      <c r="T800">
        <v>5</v>
      </c>
      <c r="U800" t="s">
        <v>51</v>
      </c>
      <c r="V800" t="s">
        <v>32</v>
      </c>
    </row>
    <row r="801" spans="1:23" x14ac:dyDescent="0.2">
      <c r="A801" s="5" t="s">
        <v>933</v>
      </c>
      <c r="B801" s="6" t="s">
        <v>27</v>
      </c>
      <c r="C801" s="6" t="s">
        <v>45</v>
      </c>
      <c r="D801" s="65" t="str">
        <f t="shared" si="38"/>
        <v>073_S_c</v>
      </c>
      <c r="E801">
        <v>87</v>
      </c>
      <c r="F801" t="s">
        <v>82</v>
      </c>
      <c r="G801" t="s">
        <v>941</v>
      </c>
      <c r="H801" t="s">
        <v>56</v>
      </c>
      <c r="I801">
        <v>0</v>
      </c>
      <c r="J801" s="82">
        <v>1</v>
      </c>
      <c r="K801" s="82">
        <v>19.2</v>
      </c>
      <c r="L801" s="82">
        <v>1</v>
      </c>
      <c r="M801" s="82">
        <v>1</v>
      </c>
      <c r="N801" s="82">
        <v>0.9</v>
      </c>
      <c r="O801" s="44">
        <f t="shared" si="40"/>
        <v>14.920720720720722</v>
      </c>
      <c r="P801">
        <f t="shared" si="39"/>
        <v>4.6199999999999992</v>
      </c>
      <c r="Q801" s="111" t="s">
        <v>57</v>
      </c>
      <c r="R801" s="6" t="s">
        <v>57</v>
      </c>
      <c r="S801" s="65" t="s">
        <v>57</v>
      </c>
      <c r="T801" s="6" t="s">
        <v>57</v>
      </c>
      <c r="U801" s="6" t="s">
        <v>57</v>
      </c>
      <c r="V801" t="s">
        <v>32</v>
      </c>
      <c r="W801" t="s">
        <v>517</v>
      </c>
    </row>
    <row r="802" spans="1:23" s="19" customFormat="1" x14ac:dyDescent="0.2">
      <c r="A802" s="17" t="s">
        <v>933</v>
      </c>
      <c r="B802" s="18" t="s">
        <v>36</v>
      </c>
      <c r="C802" s="18" t="s">
        <v>45</v>
      </c>
      <c r="D802" s="66" t="str">
        <f t="shared" si="38"/>
        <v>073_O_c</v>
      </c>
      <c r="E802" s="19">
        <v>93</v>
      </c>
      <c r="F802" s="19" t="s">
        <v>63</v>
      </c>
      <c r="G802" s="19" t="s">
        <v>942</v>
      </c>
      <c r="I802">
        <v>3.3302394324564002</v>
      </c>
      <c r="J802" s="83">
        <v>44.5</v>
      </c>
      <c r="K802" s="83">
        <v>44.1</v>
      </c>
      <c r="L802" s="82">
        <v>54.3</v>
      </c>
      <c r="M802">
        <v>52.2</v>
      </c>
      <c r="N802" s="83">
        <v>48.9</v>
      </c>
      <c r="O802" s="54">
        <f t="shared" si="40"/>
        <v>0.56304459251665806</v>
      </c>
      <c r="P802">
        <f t="shared" si="39"/>
        <v>48.8</v>
      </c>
      <c r="Q802" s="112">
        <v>0.28899999999999998</v>
      </c>
      <c r="R802" s="19">
        <v>0.435</v>
      </c>
      <c r="S802" s="66">
        <v>19</v>
      </c>
      <c r="T802" s="19">
        <v>15</v>
      </c>
      <c r="U802" s="19" t="s">
        <v>31</v>
      </c>
      <c r="V802" t="s">
        <v>32</v>
      </c>
    </row>
    <row r="803" spans="1:23" x14ac:dyDescent="0.2">
      <c r="A803" s="5" t="s">
        <v>933</v>
      </c>
      <c r="B803" s="6" t="s">
        <v>27</v>
      </c>
      <c r="C803" s="6" t="s">
        <v>52</v>
      </c>
      <c r="D803" s="65" t="str">
        <f t="shared" si="38"/>
        <v>073_S_d</v>
      </c>
      <c r="E803">
        <v>116</v>
      </c>
      <c r="F803" t="s">
        <v>43</v>
      </c>
      <c r="G803" t="s">
        <v>943</v>
      </c>
      <c r="I803">
        <v>5.1254857560262996</v>
      </c>
      <c r="J803" s="82">
        <v>25.1</v>
      </c>
      <c r="K803" s="82">
        <v>30.5</v>
      </c>
      <c r="L803" s="82">
        <v>41.3</v>
      </c>
      <c r="M803">
        <v>30.9</v>
      </c>
      <c r="N803" s="82">
        <v>39.5</v>
      </c>
      <c r="O803" s="44">
        <f t="shared" si="40"/>
        <v>1.4350547730829344</v>
      </c>
      <c r="P803">
        <f t="shared" si="39"/>
        <v>33.46</v>
      </c>
      <c r="Q803" s="111">
        <v>0.499</v>
      </c>
      <c r="R803">
        <v>0.65700000000000003</v>
      </c>
      <c r="S803" s="65">
        <v>15</v>
      </c>
      <c r="T803">
        <v>13</v>
      </c>
      <c r="U803" t="s">
        <v>31</v>
      </c>
      <c r="V803" t="s">
        <v>32</v>
      </c>
    </row>
    <row r="804" spans="1:23" ht="16" x14ac:dyDescent="0.2">
      <c r="A804" s="5" t="s">
        <v>933</v>
      </c>
      <c r="B804" s="6" t="s">
        <v>33</v>
      </c>
      <c r="C804" s="6" t="s">
        <v>52</v>
      </c>
      <c r="D804" s="65" t="str">
        <f t="shared" si="38"/>
        <v>073_V_d</v>
      </c>
      <c r="E804">
        <v>133</v>
      </c>
      <c r="F804" t="s">
        <v>39</v>
      </c>
      <c r="G804" t="s">
        <v>944</v>
      </c>
      <c r="I804">
        <v>4.0229898928948602</v>
      </c>
      <c r="J804" s="82">
        <v>38.5</v>
      </c>
      <c r="K804" s="82">
        <v>6.8</v>
      </c>
      <c r="L804" s="84">
        <v>19.100000000000001</v>
      </c>
      <c r="M804">
        <v>12.4</v>
      </c>
      <c r="N804" s="82">
        <v>16.5</v>
      </c>
      <c r="O804" s="44">
        <f t="shared" si="40"/>
        <v>9.9392361111111054</v>
      </c>
      <c r="P804">
        <f t="shared" si="39"/>
        <v>18.660000000000004</v>
      </c>
      <c r="Q804" s="111">
        <v>0.38900000000000001</v>
      </c>
      <c r="R804">
        <v>0.44600000000000001</v>
      </c>
      <c r="S804" s="65">
        <v>18</v>
      </c>
      <c r="T804">
        <v>15</v>
      </c>
      <c r="U804" t="s">
        <v>51</v>
      </c>
      <c r="V804" t="s">
        <v>32</v>
      </c>
    </row>
    <row r="805" spans="1:23" ht="16" x14ac:dyDescent="0.2">
      <c r="A805" s="5" t="s">
        <v>933</v>
      </c>
      <c r="B805" s="6" t="s">
        <v>36</v>
      </c>
      <c r="C805" s="6" t="s">
        <v>52</v>
      </c>
      <c r="D805" s="65" t="str">
        <f t="shared" si="38"/>
        <v>073_O_d</v>
      </c>
      <c r="E805">
        <v>137</v>
      </c>
      <c r="F805" t="s">
        <v>39</v>
      </c>
      <c r="G805" t="s">
        <v>945</v>
      </c>
      <c r="I805">
        <v>4.1279500900306898</v>
      </c>
      <c r="J805" s="81"/>
      <c r="K805" s="82">
        <v>35.1</v>
      </c>
      <c r="L805" s="84">
        <v>54.9</v>
      </c>
      <c r="M805" s="82">
        <v>37.6</v>
      </c>
      <c r="N805" s="82">
        <v>46</v>
      </c>
      <c r="O805" s="44">
        <f t="shared" si="40"/>
        <v>2.73346394984326</v>
      </c>
      <c r="P805">
        <f t="shared" si="39"/>
        <v>43.4</v>
      </c>
      <c r="Q805" s="111">
        <v>0.31900000000000001</v>
      </c>
      <c r="R805">
        <v>0.47</v>
      </c>
      <c r="S805" s="65">
        <v>16</v>
      </c>
      <c r="T805">
        <v>14</v>
      </c>
      <c r="U805" t="s">
        <v>51</v>
      </c>
      <c r="V805" t="s">
        <v>32</v>
      </c>
    </row>
    <row r="806" spans="1:23" ht="16" x14ac:dyDescent="0.2">
      <c r="A806" s="5" t="s">
        <v>946</v>
      </c>
      <c r="B806" s="6" t="s">
        <v>36</v>
      </c>
      <c r="C806" s="6" t="s">
        <v>28</v>
      </c>
      <c r="D806" s="65" t="str">
        <f t="shared" si="38"/>
        <v>074_O_a</v>
      </c>
      <c r="E806">
        <v>11</v>
      </c>
      <c r="F806" t="s">
        <v>39</v>
      </c>
      <c r="G806" t="s">
        <v>947</v>
      </c>
      <c r="I806">
        <v>3.5975933609958499</v>
      </c>
      <c r="J806" s="84">
        <v>19.899999999999999</v>
      </c>
      <c r="K806" s="82">
        <v>4.7</v>
      </c>
      <c r="L806" s="82">
        <v>23.7</v>
      </c>
      <c r="M806" s="82">
        <v>26.3</v>
      </c>
      <c r="N806" s="82">
        <v>34.200000000000003</v>
      </c>
      <c r="O806" s="44">
        <f t="shared" si="40"/>
        <v>5.0078641644325348</v>
      </c>
      <c r="P806">
        <f t="shared" si="39"/>
        <v>21.759999999999998</v>
      </c>
      <c r="Q806" s="111">
        <v>0.23699999999999999</v>
      </c>
      <c r="R806">
        <v>0.38900000000000001</v>
      </c>
      <c r="S806" s="65">
        <v>28</v>
      </c>
      <c r="T806" s="47">
        <v>49</v>
      </c>
      <c r="U806" s="47" t="s">
        <v>54</v>
      </c>
      <c r="V806" t="s">
        <v>32</v>
      </c>
    </row>
    <row r="807" spans="1:23" ht="16" x14ac:dyDescent="0.2">
      <c r="A807" s="1" t="s">
        <v>946</v>
      </c>
      <c r="B807" t="s">
        <v>33</v>
      </c>
      <c r="C807" t="s">
        <v>28</v>
      </c>
      <c r="D807" s="65" t="str">
        <f t="shared" si="38"/>
        <v>074_V_a</v>
      </c>
      <c r="E807">
        <v>17</v>
      </c>
      <c r="F807" t="s">
        <v>49</v>
      </c>
      <c r="G807" t="s">
        <v>948</v>
      </c>
      <c r="I807">
        <v>4.3794875559797397</v>
      </c>
      <c r="J807" s="84">
        <v>2.4</v>
      </c>
      <c r="K807" s="97">
        <v>43.2</v>
      </c>
      <c r="L807" s="82">
        <v>27.4</v>
      </c>
      <c r="M807" s="82">
        <v>41.8</v>
      </c>
      <c r="N807" s="82">
        <v>21.4</v>
      </c>
      <c r="O807" s="44">
        <f t="shared" si="40"/>
        <v>12.488269454123115</v>
      </c>
      <c r="P807">
        <f t="shared" si="39"/>
        <v>27.24</v>
      </c>
      <c r="Q807" s="111">
        <v>0.40100000000000002</v>
      </c>
      <c r="R807">
        <v>0.46700000000000003</v>
      </c>
      <c r="S807" s="65">
        <v>18</v>
      </c>
      <c r="T807">
        <v>73</v>
      </c>
      <c r="U807" s="47" t="s">
        <v>31</v>
      </c>
      <c r="V807" t="s">
        <v>32</v>
      </c>
    </row>
    <row r="808" spans="1:23" x14ac:dyDescent="0.2">
      <c r="A808" s="5" t="s">
        <v>946</v>
      </c>
      <c r="B808" s="6" t="s">
        <v>27</v>
      </c>
      <c r="C808" s="6" t="s">
        <v>28</v>
      </c>
      <c r="D808" s="65" t="str">
        <f t="shared" si="38"/>
        <v>074_S_a</v>
      </c>
      <c r="E808">
        <v>36</v>
      </c>
      <c r="F808" t="s">
        <v>41</v>
      </c>
      <c r="G808" t="s">
        <v>949</v>
      </c>
      <c r="I808">
        <v>8.2222873675047392</v>
      </c>
      <c r="J808" s="82">
        <v>1.8</v>
      </c>
      <c r="K808" s="82">
        <v>32.299999999999997</v>
      </c>
      <c r="L808" s="82">
        <v>37.9</v>
      </c>
      <c r="M808" s="82">
        <v>81.099999999999994</v>
      </c>
      <c r="N808" s="82">
        <v>32.299999999999997</v>
      </c>
      <c r="O808" s="44">
        <f t="shared" si="40"/>
        <v>27.87065099063792</v>
      </c>
      <c r="P808">
        <f t="shared" si="39"/>
        <v>37.08</v>
      </c>
      <c r="Q808" s="111">
        <v>0.33200000000000002</v>
      </c>
      <c r="R808">
        <v>0.39700000000000002</v>
      </c>
      <c r="S808" s="65">
        <v>15</v>
      </c>
      <c r="T808">
        <v>22</v>
      </c>
      <c r="U808" t="s">
        <v>31</v>
      </c>
      <c r="V808" t="s">
        <v>32</v>
      </c>
    </row>
    <row r="809" spans="1:23" x14ac:dyDescent="0.2">
      <c r="A809" s="5" t="s">
        <v>946</v>
      </c>
      <c r="B809" s="6" t="s">
        <v>36</v>
      </c>
      <c r="C809" s="6" t="s">
        <v>38</v>
      </c>
      <c r="D809" s="65" t="str">
        <f t="shared" si="38"/>
        <v>074_O_b</v>
      </c>
      <c r="E809">
        <v>47</v>
      </c>
      <c r="F809" t="s">
        <v>41</v>
      </c>
      <c r="G809" t="s">
        <v>950</v>
      </c>
      <c r="I809">
        <v>0.71993829729928305</v>
      </c>
      <c r="J809" s="82">
        <v>1.9</v>
      </c>
      <c r="K809" s="82">
        <v>8.3000000000000007</v>
      </c>
      <c r="L809" s="82">
        <v>13.1</v>
      </c>
      <c r="M809" s="82">
        <v>21.8</v>
      </c>
      <c r="N809" s="82">
        <v>25.8</v>
      </c>
      <c r="O809" s="44">
        <f t="shared" si="40"/>
        <v>6.2334811529933463</v>
      </c>
      <c r="P809">
        <f t="shared" si="39"/>
        <v>14.180000000000001</v>
      </c>
      <c r="Q809" s="111">
        <v>3.3000000000000002E-2</v>
      </c>
      <c r="R809">
        <v>0.123</v>
      </c>
      <c r="S809" s="65">
        <v>6</v>
      </c>
      <c r="T809" s="43">
        <v>30</v>
      </c>
      <c r="U809" t="s">
        <v>54</v>
      </c>
      <c r="V809" t="s">
        <v>32</v>
      </c>
    </row>
    <row r="810" spans="1:23" x14ac:dyDescent="0.2">
      <c r="A810" s="5" t="s">
        <v>946</v>
      </c>
      <c r="B810" s="6" t="s">
        <v>27</v>
      </c>
      <c r="C810" s="6" t="s">
        <v>38</v>
      </c>
      <c r="D810" s="65" t="str">
        <f t="shared" si="38"/>
        <v>074_S_b</v>
      </c>
      <c r="E810">
        <v>57</v>
      </c>
      <c r="F810" t="s">
        <v>39</v>
      </c>
      <c r="G810" t="s">
        <v>951</v>
      </c>
      <c r="I810">
        <v>1.6611262675657601</v>
      </c>
      <c r="J810" s="43">
        <v>1.9</v>
      </c>
      <c r="K810" s="82">
        <v>12.9</v>
      </c>
      <c r="L810" s="82">
        <v>11.4</v>
      </c>
      <c r="M810" s="82">
        <v>48</v>
      </c>
      <c r="N810" s="82">
        <v>26.3</v>
      </c>
      <c r="O810" s="44">
        <f t="shared" si="40"/>
        <v>22.05876010781671</v>
      </c>
      <c r="P810">
        <f t="shared" si="39"/>
        <v>20.100000000000001</v>
      </c>
      <c r="Q810" s="111">
        <v>0.24299999999999999</v>
      </c>
      <c r="R810">
        <v>0.14399999999999999</v>
      </c>
      <c r="S810" s="65">
        <v>17</v>
      </c>
      <c r="T810">
        <v>33</v>
      </c>
      <c r="U810" t="s">
        <v>31</v>
      </c>
      <c r="V810" t="s">
        <v>32</v>
      </c>
    </row>
    <row r="811" spans="1:23" x14ac:dyDescent="0.2">
      <c r="A811" s="1" t="s">
        <v>946</v>
      </c>
      <c r="B811" t="s">
        <v>33</v>
      </c>
      <c r="C811" t="s">
        <v>38</v>
      </c>
      <c r="D811" s="65" t="str">
        <f t="shared" si="38"/>
        <v>074_V_b</v>
      </c>
      <c r="E811">
        <v>57</v>
      </c>
      <c r="F811" t="s">
        <v>41</v>
      </c>
      <c r="G811" t="s">
        <v>952</v>
      </c>
      <c r="I811">
        <v>4.0724687290883796</v>
      </c>
      <c r="J811" s="82">
        <v>19.100000000000001</v>
      </c>
      <c r="K811" s="82">
        <v>27.2</v>
      </c>
      <c r="L811" s="82">
        <v>28.2</v>
      </c>
      <c r="M811" s="82">
        <v>32.5</v>
      </c>
      <c r="N811" s="82">
        <v>36.799999999999997</v>
      </c>
      <c r="O811" s="44">
        <f t="shared" si="40"/>
        <v>1.1699688473520291</v>
      </c>
      <c r="P811">
        <f t="shared" si="39"/>
        <v>28.76</v>
      </c>
      <c r="Q811" s="111">
        <v>5.0999999999999997E-2</v>
      </c>
      <c r="R811">
        <v>0.40400000000000003</v>
      </c>
      <c r="S811" s="65">
        <v>12</v>
      </c>
      <c r="T811">
        <v>65</v>
      </c>
      <c r="U811" t="s">
        <v>31</v>
      </c>
      <c r="V811" t="s">
        <v>32</v>
      </c>
    </row>
    <row r="812" spans="1:23" s="19" customFormat="1" x14ac:dyDescent="0.2">
      <c r="A812" s="17" t="s">
        <v>946</v>
      </c>
      <c r="B812" s="18" t="s">
        <v>33</v>
      </c>
      <c r="C812" s="18" t="s">
        <v>45</v>
      </c>
      <c r="D812" s="66" t="str">
        <f t="shared" si="38"/>
        <v>074_V_c</v>
      </c>
      <c r="E812" s="19">
        <v>78</v>
      </c>
      <c r="F812" s="19" t="s">
        <v>70</v>
      </c>
      <c r="G812" s="19" t="s">
        <v>953</v>
      </c>
      <c r="I812">
        <v>3.28064998575634</v>
      </c>
      <c r="J812" s="83">
        <v>22.7</v>
      </c>
      <c r="K812" s="83">
        <v>26.9</v>
      </c>
      <c r="L812" s="82">
        <v>28.1</v>
      </c>
      <c r="M812" s="82">
        <v>30.8</v>
      </c>
      <c r="N812" s="83">
        <v>32.9</v>
      </c>
      <c r="O812" s="54">
        <f t="shared" si="40"/>
        <v>0.41889400921660219</v>
      </c>
      <c r="P812">
        <f t="shared" si="39"/>
        <v>28.279999999999994</v>
      </c>
      <c r="Q812" s="112">
        <v>0.30399999999999999</v>
      </c>
      <c r="R812" s="19">
        <v>0.42899999999999999</v>
      </c>
      <c r="S812" s="66">
        <v>11</v>
      </c>
      <c r="T812" s="19">
        <v>18</v>
      </c>
      <c r="U812" s="19" t="s">
        <v>31</v>
      </c>
      <c r="V812" t="s">
        <v>32</v>
      </c>
    </row>
    <row r="813" spans="1:23" x14ac:dyDescent="0.2">
      <c r="A813" s="5" t="s">
        <v>946</v>
      </c>
      <c r="B813" s="6" t="s">
        <v>27</v>
      </c>
      <c r="C813" s="6" t="s">
        <v>45</v>
      </c>
      <c r="D813" s="65" t="str">
        <f t="shared" si="38"/>
        <v>074_S_c</v>
      </c>
      <c r="E813">
        <v>80</v>
      </c>
      <c r="F813" t="s">
        <v>82</v>
      </c>
      <c r="G813" t="s">
        <v>954</v>
      </c>
      <c r="I813">
        <v>2.2402129363546401</v>
      </c>
      <c r="J813" s="82">
        <v>23.6</v>
      </c>
      <c r="K813" s="82">
        <v>3.1</v>
      </c>
      <c r="L813" s="82">
        <v>35.5</v>
      </c>
      <c r="M813" s="82">
        <v>4</v>
      </c>
      <c r="N813" s="82">
        <v>42.8</v>
      </c>
      <c r="O813" s="44">
        <f t="shared" si="40"/>
        <v>15.049546827794563</v>
      </c>
      <c r="P813">
        <f t="shared" si="39"/>
        <v>21.8</v>
      </c>
      <c r="Q813" s="111">
        <v>0.115</v>
      </c>
      <c r="R813">
        <v>0.27800000000000002</v>
      </c>
      <c r="S813" s="65">
        <v>9</v>
      </c>
      <c r="T813">
        <v>23</v>
      </c>
      <c r="U813" t="s">
        <v>31</v>
      </c>
      <c r="V813" t="s">
        <v>32</v>
      </c>
    </row>
    <row r="814" spans="1:23" x14ac:dyDescent="0.2">
      <c r="A814" s="5" t="s">
        <v>946</v>
      </c>
      <c r="B814" s="6" t="s">
        <v>36</v>
      </c>
      <c r="C814" s="6" t="s">
        <v>45</v>
      </c>
      <c r="D814" s="65" t="str">
        <f t="shared" si="38"/>
        <v>074_O_c</v>
      </c>
      <c r="E814">
        <v>93</v>
      </c>
      <c r="F814" t="s">
        <v>34</v>
      </c>
      <c r="G814" t="s">
        <v>955</v>
      </c>
      <c r="I814">
        <v>2.0182382500739</v>
      </c>
      <c r="J814" s="82">
        <v>28.2</v>
      </c>
      <c r="K814" s="82">
        <v>2.2999999999999998</v>
      </c>
      <c r="L814" s="82">
        <v>17.600000000000001</v>
      </c>
      <c r="M814">
        <v>27.9</v>
      </c>
      <c r="N814" s="82">
        <v>35.200000000000003</v>
      </c>
      <c r="O814" s="44">
        <f t="shared" si="40"/>
        <v>7.8017543859649088</v>
      </c>
      <c r="P814">
        <f t="shared" si="39"/>
        <v>22.240000000000002</v>
      </c>
      <c r="Q814" s="111">
        <v>0.16300000000000001</v>
      </c>
      <c r="R814">
        <v>0.28799999999999998</v>
      </c>
      <c r="S814" s="65">
        <v>14</v>
      </c>
      <c r="T814">
        <v>23</v>
      </c>
      <c r="U814" t="s">
        <v>31</v>
      </c>
      <c r="V814" t="s">
        <v>32</v>
      </c>
    </row>
    <row r="815" spans="1:23" x14ac:dyDescent="0.2">
      <c r="A815" s="5" t="s">
        <v>946</v>
      </c>
      <c r="B815" s="6" t="s">
        <v>36</v>
      </c>
      <c r="C815" s="6" t="s">
        <v>52</v>
      </c>
      <c r="D815" s="65" t="str">
        <f t="shared" si="38"/>
        <v>074_O_d</v>
      </c>
      <c r="E815">
        <v>112</v>
      </c>
      <c r="F815" t="s">
        <v>49</v>
      </c>
      <c r="G815" t="s">
        <v>956</v>
      </c>
      <c r="I815">
        <v>2.7094669540577798</v>
      </c>
      <c r="J815" s="82">
        <v>28.9</v>
      </c>
      <c r="K815" s="82">
        <v>31.6</v>
      </c>
      <c r="L815" s="82">
        <v>31.5</v>
      </c>
      <c r="M815">
        <v>31.4</v>
      </c>
      <c r="N815" s="82">
        <v>39.4</v>
      </c>
      <c r="O815" s="44">
        <f t="shared" si="40"/>
        <v>5.4997298757428481E-2</v>
      </c>
      <c r="P815">
        <f t="shared" si="39"/>
        <v>32.56</v>
      </c>
      <c r="Q815" s="111">
        <v>0.128</v>
      </c>
      <c r="R815">
        <v>0.38900000000000001</v>
      </c>
      <c r="S815" s="65">
        <v>15</v>
      </c>
      <c r="T815">
        <v>35</v>
      </c>
      <c r="U815" t="s">
        <v>54</v>
      </c>
      <c r="V815" t="s">
        <v>32</v>
      </c>
    </row>
    <row r="816" spans="1:23" ht="16" x14ac:dyDescent="0.2">
      <c r="A816" s="5" t="s">
        <v>946</v>
      </c>
      <c r="B816" s="6" t="s">
        <v>27</v>
      </c>
      <c r="C816" s="6" t="s">
        <v>52</v>
      </c>
      <c r="D816" s="65" t="str">
        <f t="shared" si="38"/>
        <v>074_S_d</v>
      </c>
      <c r="E816">
        <v>138</v>
      </c>
      <c r="F816" t="s">
        <v>39</v>
      </c>
      <c r="G816" t="s">
        <v>957</v>
      </c>
      <c r="I816">
        <v>1.0619972785001499</v>
      </c>
      <c r="J816" s="81"/>
      <c r="K816" s="82">
        <v>3.5</v>
      </c>
      <c r="L816" s="84">
        <v>18.7</v>
      </c>
      <c r="M816" s="82">
        <v>22.8</v>
      </c>
      <c r="N816" s="82">
        <v>8.1999999999999993</v>
      </c>
      <c r="O816" s="44">
        <f t="shared" si="40"/>
        <v>6.8926666666666661</v>
      </c>
      <c r="P816">
        <f t="shared" si="39"/>
        <v>13.3</v>
      </c>
      <c r="Q816" s="111">
        <v>9.4E-2</v>
      </c>
      <c r="R816">
        <v>0.28899999999999998</v>
      </c>
      <c r="S816" s="65">
        <v>8</v>
      </c>
      <c r="T816">
        <v>36</v>
      </c>
      <c r="U816" t="s">
        <v>54</v>
      </c>
      <c r="V816" t="s">
        <v>32</v>
      </c>
    </row>
    <row r="817" spans="1:23" ht="16" x14ac:dyDescent="0.2">
      <c r="A817" s="5" t="s">
        <v>946</v>
      </c>
      <c r="B817" s="6" t="s">
        <v>33</v>
      </c>
      <c r="C817" s="6" t="s">
        <v>52</v>
      </c>
      <c r="D817" s="65" t="str">
        <f t="shared" si="38"/>
        <v>074_V_d</v>
      </c>
      <c r="E817">
        <v>143</v>
      </c>
      <c r="F817" t="s">
        <v>41</v>
      </c>
      <c r="G817" t="s">
        <v>958</v>
      </c>
      <c r="I817">
        <v>3.6617319080212298</v>
      </c>
      <c r="J817" s="82">
        <v>14.8</v>
      </c>
      <c r="K817" s="82">
        <v>21.1</v>
      </c>
      <c r="L817" s="84">
        <v>26.6</v>
      </c>
      <c r="M817" s="82">
        <v>18.7</v>
      </c>
      <c r="N817" s="82">
        <v>41.8</v>
      </c>
      <c r="O817" s="44">
        <f t="shared" si="40"/>
        <v>1.2009852216748746</v>
      </c>
      <c r="P817">
        <f t="shared" si="39"/>
        <v>24.6</v>
      </c>
      <c r="Q817" s="111">
        <v>0.187</v>
      </c>
      <c r="R817">
        <v>0.49099999999999999</v>
      </c>
      <c r="S817" s="65">
        <v>22</v>
      </c>
      <c r="T817">
        <v>21</v>
      </c>
      <c r="U817" t="s">
        <v>54</v>
      </c>
      <c r="V817" t="s">
        <v>32</v>
      </c>
    </row>
    <row r="818" spans="1:23" ht="16" x14ac:dyDescent="0.2">
      <c r="A818" s="1" t="s">
        <v>959</v>
      </c>
      <c r="B818" t="s">
        <v>33</v>
      </c>
      <c r="C818" t="s">
        <v>28</v>
      </c>
      <c r="D818" s="65" t="str">
        <f t="shared" si="38"/>
        <v>075_V_a</v>
      </c>
      <c r="E818">
        <v>16</v>
      </c>
      <c r="F818" t="s">
        <v>34</v>
      </c>
      <c r="G818" t="s">
        <v>960</v>
      </c>
      <c r="I818">
        <v>1.4658996948518599</v>
      </c>
      <c r="J818" s="84">
        <v>19.2</v>
      </c>
      <c r="K818" s="82">
        <v>48.1</v>
      </c>
      <c r="L818" s="82">
        <v>35.6</v>
      </c>
      <c r="M818" s="82">
        <v>38.4</v>
      </c>
      <c r="N818" s="82">
        <v>47.2</v>
      </c>
      <c r="O818" s="44">
        <f t="shared" si="40"/>
        <v>4.0834866713847555</v>
      </c>
      <c r="P818">
        <f t="shared" si="39"/>
        <v>37.700000000000003</v>
      </c>
      <c r="Q818" s="111">
        <v>0.157</v>
      </c>
      <c r="R818">
        <v>0.248</v>
      </c>
      <c r="S818" s="65">
        <v>12</v>
      </c>
      <c r="T818">
        <v>29</v>
      </c>
      <c r="U818" s="47" t="s">
        <v>31</v>
      </c>
      <c r="V818" t="s">
        <v>32</v>
      </c>
    </row>
    <row r="819" spans="1:23" ht="16" x14ac:dyDescent="0.2">
      <c r="A819" s="5" t="s">
        <v>959</v>
      </c>
      <c r="B819" s="6" t="s">
        <v>36</v>
      </c>
      <c r="C819" s="6" t="s">
        <v>28</v>
      </c>
      <c r="D819" s="65" t="str">
        <f t="shared" si="38"/>
        <v>075_O_a</v>
      </c>
      <c r="E819">
        <v>18</v>
      </c>
      <c r="F819" t="s">
        <v>82</v>
      </c>
      <c r="G819" t="s">
        <v>961</v>
      </c>
      <c r="I819">
        <v>4.4931850823439303</v>
      </c>
      <c r="J819" s="84">
        <v>3.4</v>
      </c>
      <c r="K819" s="82">
        <v>29.9</v>
      </c>
      <c r="L819" s="82">
        <v>34.4</v>
      </c>
      <c r="M819" s="82">
        <v>37</v>
      </c>
      <c r="N819" s="82">
        <v>37.299999999999997</v>
      </c>
      <c r="O819" s="44">
        <f t="shared" si="40"/>
        <v>9.1360394778732932</v>
      </c>
      <c r="P819">
        <f t="shared" si="39"/>
        <v>28.4</v>
      </c>
      <c r="Q819" s="111">
        <v>0.45800000000000002</v>
      </c>
      <c r="R819">
        <v>0.65100000000000002</v>
      </c>
      <c r="S819" s="65">
        <v>31</v>
      </c>
      <c r="T819">
        <v>57</v>
      </c>
      <c r="U819" t="s">
        <v>51</v>
      </c>
      <c r="V819" t="s">
        <v>32</v>
      </c>
    </row>
    <row r="820" spans="1:23" x14ac:dyDescent="0.2">
      <c r="A820" s="5" t="s">
        <v>959</v>
      </c>
      <c r="B820" s="6" t="s">
        <v>27</v>
      </c>
      <c r="C820" s="6" t="s">
        <v>28</v>
      </c>
      <c r="D820" s="65" t="str">
        <f t="shared" si="38"/>
        <v>075_S_a</v>
      </c>
      <c r="E820">
        <v>24</v>
      </c>
      <c r="F820" t="s">
        <v>43</v>
      </c>
      <c r="G820" t="s">
        <v>962</v>
      </c>
      <c r="I820">
        <v>6.0508152540088904</v>
      </c>
      <c r="J820" s="82">
        <v>42.1</v>
      </c>
      <c r="K820" s="82">
        <v>9</v>
      </c>
      <c r="L820" s="82">
        <v>51.7</v>
      </c>
      <c r="M820" s="82">
        <v>14</v>
      </c>
      <c r="N820" s="82">
        <v>57.3</v>
      </c>
      <c r="O820" s="44">
        <f t="shared" si="40"/>
        <v>14.974200913242001</v>
      </c>
      <c r="P820">
        <f t="shared" si="39"/>
        <v>34.820000000000007</v>
      </c>
      <c r="Q820" s="111">
        <v>0.49099999999999999</v>
      </c>
      <c r="R820">
        <v>0.66</v>
      </c>
      <c r="S820" s="65">
        <v>28</v>
      </c>
      <c r="T820" s="43">
        <v>48</v>
      </c>
      <c r="U820" t="s">
        <v>51</v>
      </c>
      <c r="V820" t="s">
        <v>32</v>
      </c>
      <c r="W820" t="s">
        <v>553</v>
      </c>
    </row>
    <row r="821" spans="1:23" x14ac:dyDescent="0.2">
      <c r="A821" s="5" t="s">
        <v>959</v>
      </c>
      <c r="B821" s="6" t="s">
        <v>27</v>
      </c>
      <c r="C821" s="6" t="s">
        <v>38</v>
      </c>
      <c r="D821" s="65" t="str">
        <f t="shared" si="38"/>
        <v>075_S_b</v>
      </c>
      <c r="E821">
        <v>37</v>
      </c>
      <c r="F821" t="s">
        <v>41</v>
      </c>
      <c r="G821" t="s">
        <v>963</v>
      </c>
      <c r="I821">
        <v>0.50585708298407395</v>
      </c>
      <c r="K821" s="82">
        <v>4.3</v>
      </c>
      <c r="L821" s="82">
        <v>25.1</v>
      </c>
      <c r="M821" s="82">
        <v>3.4</v>
      </c>
      <c r="N821" s="82">
        <v>15.9</v>
      </c>
      <c r="O821" s="44">
        <f t="shared" si="40"/>
        <v>13.785670731707311</v>
      </c>
      <c r="P821">
        <f t="shared" si="39"/>
        <v>12.175000000000001</v>
      </c>
      <c r="Q821" s="111">
        <v>4.4999999999999998E-2</v>
      </c>
      <c r="R821">
        <v>6.9000000000000006E-2</v>
      </c>
      <c r="S821" s="65">
        <v>8</v>
      </c>
      <c r="T821">
        <v>20</v>
      </c>
      <c r="U821" t="s">
        <v>31</v>
      </c>
      <c r="V821" t="s">
        <v>32</v>
      </c>
    </row>
    <row r="822" spans="1:23" s="19" customFormat="1" x14ac:dyDescent="0.2">
      <c r="A822" s="27" t="s">
        <v>959</v>
      </c>
      <c r="B822" s="19" t="s">
        <v>33</v>
      </c>
      <c r="C822" s="19" t="s">
        <v>38</v>
      </c>
      <c r="D822" s="66" t="str">
        <f t="shared" si="38"/>
        <v>075_V_b</v>
      </c>
      <c r="E822" s="19">
        <v>55</v>
      </c>
      <c r="F822" s="19" t="s">
        <v>82</v>
      </c>
      <c r="G822" s="19" t="s">
        <v>964</v>
      </c>
      <c r="I822">
        <v>3.63607570490537</v>
      </c>
      <c r="J822" s="83">
        <v>19.8</v>
      </c>
      <c r="K822" s="83">
        <v>39.799999999999997</v>
      </c>
      <c r="L822" s="82">
        <v>31.1</v>
      </c>
      <c r="M822" s="82">
        <v>18.100000000000001</v>
      </c>
      <c r="N822" s="83">
        <v>35.6</v>
      </c>
      <c r="O822" s="54">
        <f t="shared" si="40"/>
        <v>3.8178921568627566</v>
      </c>
      <c r="P822">
        <f t="shared" si="39"/>
        <v>28.879999999999995</v>
      </c>
      <c r="Q822" s="112">
        <v>0.29299999999999998</v>
      </c>
      <c r="R822" s="19">
        <v>0.433</v>
      </c>
      <c r="S822" s="66">
        <v>20</v>
      </c>
      <c r="T822" s="19">
        <v>20</v>
      </c>
      <c r="U822" t="s">
        <v>31</v>
      </c>
      <c r="V822" t="s">
        <v>32</v>
      </c>
    </row>
    <row r="823" spans="1:23" x14ac:dyDescent="0.2">
      <c r="A823" s="5" t="s">
        <v>959</v>
      </c>
      <c r="B823" s="6" t="s">
        <v>36</v>
      </c>
      <c r="C823" s="6" t="s">
        <v>38</v>
      </c>
      <c r="D823" s="65" t="str">
        <f t="shared" si="38"/>
        <v>075_O_b</v>
      </c>
      <c r="E823">
        <v>65</v>
      </c>
      <c r="F823" t="s">
        <v>34</v>
      </c>
      <c r="G823" t="s">
        <v>965</v>
      </c>
      <c r="I823">
        <v>3.3609074382669299</v>
      </c>
      <c r="J823" s="82">
        <v>3.9</v>
      </c>
      <c r="K823" s="82">
        <v>29.8</v>
      </c>
      <c r="L823" t="s">
        <v>57</v>
      </c>
      <c r="M823" s="82">
        <v>42.8</v>
      </c>
      <c r="N823" s="82">
        <v>49.3</v>
      </c>
      <c r="O823" s="44">
        <f t="shared" si="40"/>
        <v>15.379215686274504</v>
      </c>
      <c r="P823">
        <f t="shared" si="39"/>
        <v>31.45</v>
      </c>
      <c r="Q823" s="111">
        <v>0.191</v>
      </c>
      <c r="R823">
        <v>0.48399999999999999</v>
      </c>
      <c r="S823" s="65">
        <v>10</v>
      </c>
      <c r="T823">
        <v>19</v>
      </c>
      <c r="U823" t="s">
        <v>31</v>
      </c>
      <c r="V823" t="s">
        <v>32</v>
      </c>
    </row>
    <row r="824" spans="1:23" x14ac:dyDescent="0.2">
      <c r="A824" s="5" t="s">
        <v>959</v>
      </c>
      <c r="B824" s="6" t="s">
        <v>27</v>
      </c>
      <c r="C824" s="6" t="s">
        <v>45</v>
      </c>
      <c r="D824" s="65" t="str">
        <f t="shared" si="38"/>
        <v>075_S_c</v>
      </c>
      <c r="E824">
        <v>80</v>
      </c>
      <c r="F824" t="s">
        <v>49</v>
      </c>
      <c r="G824" t="s">
        <v>966</v>
      </c>
      <c r="H824" t="s">
        <v>56</v>
      </c>
      <c r="I824">
        <v>0</v>
      </c>
      <c r="J824" s="82">
        <v>1</v>
      </c>
      <c r="K824" s="82">
        <v>1</v>
      </c>
      <c r="L824" s="82">
        <v>1</v>
      </c>
      <c r="M824" s="82">
        <v>1</v>
      </c>
      <c r="N824" s="82">
        <v>0.9</v>
      </c>
      <c r="O824" s="44">
        <f t="shared" si="40"/>
        <v>0</v>
      </c>
      <c r="P824">
        <f t="shared" si="39"/>
        <v>0.98000000000000009</v>
      </c>
      <c r="Q824" s="111">
        <v>0.115</v>
      </c>
      <c r="R824" s="6" t="s">
        <v>57</v>
      </c>
      <c r="S824" s="65" t="s">
        <v>57</v>
      </c>
      <c r="T824" s="6" t="s">
        <v>57</v>
      </c>
      <c r="V824" t="s">
        <v>32</v>
      </c>
    </row>
    <row r="825" spans="1:23" x14ac:dyDescent="0.2">
      <c r="A825" s="5" t="s">
        <v>959</v>
      </c>
      <c r="B825" s="6" t="s">
        <v>36</v>
      </c>
      <c r="C825" s="6" t="s">
        <v>45</v>
      </c>
      <c r="D825" s="65" t="str">
        <f t="shared" si="38"/>
        <v>075_O_c</v>
      </c>
      <c r="E825">
        <v>96</v>
      </c>
      <c r="F825" t="s">
        <v>63</v>
      </c>
      <c r="G825" t="s">
        <v>967</v>
      </c>
      <c r="I825">
        <v>3.6726700251889199</v>
      </c>
      <c r="J825" s="82">
        <v>32.6</v>
      </c>
      <c r="K825" s="82">
        <v>41.8</v>
      </c>
      <c r="L825" s="82">
        <v>48.5</v>
      </c>
      <c r="M825">
        <v>50.5</v>
      </c>
      <c r="N825" s="82">
        <v>47.4</v>
      </c>
      <c r="O825" s="44">
        <f t="shared" si="40"/>
        <v>1.504113802383696</v>
      </c>
      <c r="P825">
        <f t="shared" si="39"/>
        <v>44.160000000000004</v>
      </c>
      <c r="Q825" s="111">
        <v>0.22900000000000001</v>
      </c>
      <c r="R825">
        <v>0.42799999999999999</v>
      </c>
      <c r="S825" s="65">
        <v>7</v>
      </c>
      <c r="T825">
        <v>13</v>
      </c>
      <c r="U825" t="s">
        <v>47</v>
      </c>
      <c r="V825" t="s">
        <v>32</v>
      </c>
    </row>
    <row r="826" spans="1:23" x14ac:dyDescent="0.2">
      <c r="A826" s="5" t="s">
        <v>959</v>
      </c>
      <c r="B826" s="6" t="s">
        <v>33</v>
      </c>
      <c r="C826" s="6" t="s">
        <v>45</v>
      </c>
      <c r="D826" s="65" t="str">
        <f t="shared" si="38"/>
        <v>075_V_c</v>
      </c>
      <c r="E826">
        <v>104</v>
      </c>
      <c r="F826" t="s">
        <v>63</v>
      </c>
      <c r="G826" t="s">
        <v>968</v>
      </c>
      <c r="I826">
        <v>0.71003579647149095</v>
      </c>
      <c r="J826" s="82">
        <v>1.4</v>
      </c>
      <c r="K826" s="82">
        <v>37.1</v>
      </c>
      <c r="L826" s="82">
        <v>5.0999999999999996</v>
      </c>
      <c r="M826">
        <v>9.1999999999999993</v>
      </c>
      <c r="N826" s="82">
        <v>2.2000000000000002</v>
      </c>
      <c r="O826" s="44">
        <f t="shared" si="40"/>
        <v>20.001515151515157</v>
      </c>
      <c r="P826">
        <f t="shared" si="39"/>
        <v>11</v>
      </c>
      <c r="Q826" s="111">
        <v>2.7E-2</v>
      </c>
      <c r="R826">
        <v>4.4999999999999998E-2</v>
      </c>
      <c r="S826" s="65">
        <v>5</v>
      </c>
      <c r="T826">
        <v>3</v>
      </c>
      <c r="U826" t="s">
        <v>72</v>
      </c>
      <c r="V826" t="s">
        <v>32</v>
      </c>
    </row>
    <row r="827" spans="1:23" x14ac:dyDescent="0.2">
      <c r="A827" s="5" t="s">
        <v>959</v>
      </c>
      <c r="B827" s="6" t="s">
        <v>27</v>
      </c>
      <c r="C827" s="6" t="s">
        <v>52</v>
      </c>
      <c r="D827" s="65" t="str">
        <f t="shared" si="38"/>
        <v>075_S_d</v>
      </c>
      <c r="E827">
        <v>116</v>
      </c>
      <c r="F827" t="s">
        <v>63</v>
      </c>
      <c r="G827" t="s">
        <v>969</v>
      </c>
      <c r="H827" t="s">
        <v>56</v>
      </c>
      <c r="I827">
        <v>0</v>
      </c>
      <c r="J827" s="82">
        <v>1.1000000000000001</v>
      </c>
      <c r="K827" s="82">
        <v>1</v>
      </c>
      <c r="L827" s="82">
        <v>1</v>
      </c>
      <c r="M827">
        <v>1</v>
      </c>
      <c r="N827" s="82">
        <v>0.9</v>
      </c>
      <c r="O827" s="44">
        <f t="shared" si="40"/>
        <v>2.4390243902439068E-3</v>
      </c>
      <c r="P827">
        <f t="shared" si="39"/>
        <v>1</v>
      </c>
      <c r="Q827" s="111" t="s">
        <v>57</v>
      </c>
      <c r="R827" t="s">
        <v>57</v>
      </c>
      <c r="V827" t="s">
        <v>32</v>
      </c>
    </row>
    <row r="828" spans="1:23" x14ac:dyDescent="0.2">
      <c r="A828" s="5" t="s">
        <v>959</v>
      </c>
      <c r="B828" s="6" t="s">
        <v>33</v>
      </c>
      <c r="C828" s="6" t="s">
        <v>52</v>
      </c>
      <c r="D828" s="65" t="str">
        <f t="shared" si="38"/>
        <v>075_V_d</v>
      </c>
      <c r="E828">
        <v>119</v>
      </c>
      <c r="F828" t="s">
        <v>82</v>
      </c>
      <c r="G828" t="s">
        <v>970</v>
      </c>
      <c r="I828">
        <v>1.8725980463624401</v>
      </c>
      <c r="J828" s="82">
        <v>6.1</v>
      </c>
      <c r="K828" s="82">
        <v>5.0999999999999996</v>
      </c>
      <c r="L828" s="82">
        <v>7.4</v>
      </c>
      <c r="M828">
        <v>10.8</v>
      </c>
      <c r="N828" s="82">
        <v>29.4</v>
      </c>
      <c r="O828" s="44">
        <f t="shared" si="40"/>
        <v>0.84036281179138195</v>
      </c>
      <c r="P828">
        <f t="shared" si="39"/>
        <v>11.76</v>
      </c>
      <c r="Q828" s="111">
        <v>0.09</v>
      </c>
      <c r="R828">
        <v>0.21</v>
      </c>
      <c r="S828" s="65">
        <v>14</v>
      </c>
      <c r="T828">
        <v>10</v>
      </c>
      <c r="U828" t="s">
        <v>54</v>
      </c>
      <c r="V828" t="s">
        <v>32</v>
      </c>
    </row>
    <row r="829" spans="1:23" ht="16" x14ac:dyDescent="0.2">
      <c r="A829" s="5" t="s">
        <v>959</v>
      </c>
      <c r="B829" s="6" t="s">
        <v>36</v>
      </c>
      <c r="C829" s="6" t="s">
        <v>52</v>
      </c>
      <c r="D829" s="65" t="str">
        <f t="shared" si="38"/>
        <v>075_O_d</v>
      </c>
      <c r="E829">
        <v>125</v>
      </c>
      <c r="F829" t="s">
        <v>34</v>
      </c>
      <c r="G829" t="s">
        <v>971</v>
      </c>
      <c r="I829">
        <v>2.6239085396665001</v>
      </c>
      <c r="J829" s="82">
        <v>44.7</v>
      </c>
      <c r="K829" s="82">
        <v>46.3</v>
      </c>
      <c r="L829" s="84">
        <v>55</v>
      </c>
      <c r="M829">
        <v>7.4</v>
      </c>
      <c r="N829" s="82">
        <v>12.4</v>
      </c>
      <c r="O829" s="44">
        <f t="shared" si="40"/>
        <v>11.635375923511512</v>
      </c>
      <c r="P829">
        <f t="shared" si="39"/>
        <v>33.160000000000004</v>
      </c>
      <c r="Q829" s="111">
        <v>0.35799999999999998</v>
      </c>
      <c r="R829">
        <v>0.57199999999999995</v>
      </c>
      <c r="S829" s="65">
        <v>13</v>
      </c>
      <c r="T829">
        <v>16</v>
      </c>
      <c r="U829" t="s">
        <v>31</v>
      </c>
      <c r="V829" t="s">
        <v>32</v>
      </c>
    </row>
    <row r="830" spans="1:23" ht="16" x14ac:dyDescent="0.2">
      <c r="A830" s="5" t="s">
        <v>972</v>
      </c>
      <c r="B830" s="6" t="s">
        <v>27</v>
      </c>
      <c r="C830" s="6" t="s">
        <v>28</v>
      </c>
      <c r="D830" s="65" t="str">
        <f t="shared" si="38"/>
        <v>076_S_a</v>
      </c>
      <c r="E830">
        <v>8</v>
      </c>
      <c r="F830" t="s">
        <v>41</v>
      </c>
      <c r="G830" t="s">
        <v>973</v>
      </c>
      <c r="I830">
        <v>2.0631852484693201</v>
      </c>
      <c r="J830" s="84">
        <v>3.2</v>
      </c>
      <c r="K830" s="82">
        <v>24.6</v>
      </c>
      <c r="L830" s="82">
        <v>29.5</v>
      </c>
      <c r="M830" s="82">
        <v>31.1</v>
      </c>
      <c r="N830" s="82">
        <v>36.5</v>
      </c>
      <c r="O830" s="44">
        <f t="shared" si="40"/>
        <v>7.5297134238310681</v>
      </c>
      <c r="P830">
        <f t="shared" si="39"/>
        <v>24.98</v>
      </c>
      <c r="Q830" s="111">
        <v>0.2</v>
      </c>
      <c r="R830">
        <v>0.34200000000000003</v>
      </c>
      <c r="S830" s="65">
        <v>3</v>
      </c>
      <c r="T830">
        <v>64</v>
      </c>
      <c r="U830" t="s">
        <v>31</v>
      </c>
      <c r="V830" t="s">
        <v>32</v>
      </c>
    </row>
    <row r="831" spans="1:23" ht="16" x14ac:dyDescent="0.2">
      <c r="A831" s="5" t="s">
        <v>972</v>
      </c>
      <c r="B831" s="6" t="s">
        <v>33</v>
      </c>
      <c r="C831" s="6" t="s">
        <v>28</v>
      </c>
      <c r="D831" s="65" t="str">
        <f t="shared" si="38"/>
        <v>076_V_a</v>
      </c>
      <c r="E831">
        <v>9</v>
      </c>
      <c r="F831" t="s">
        <v>43</v>
      </c>
      <c r="G831" t="s">
        <v>974</v>
      </c>
      <c r="I831">
        <v>3.7006453564586099</v>
      </c>
      <c r="J831" s="84">
        <v>24</v>
      </c>
      <c r="K831" s="82">
        <v>22.2</v>
      </c>
      <c r="L831" s="82">
        <v>19.3</v>
      </c>
      <c r="M831" s="82">
        <v>23.8</v>
      </c>
      <c r="N831" s="82">
        <v>26.1</v>
      </c>
      <c r="O831" s="44">
        <f t="shared" si="40"/>
        <v>0.21123553564762967</v>
      </c>
      <c r="P831">
        <f t="shared" si="39"/>
        <v>23.080000000000002</v>
      </c>
      <c r="Q831" s="111">
        <v>0.63600000000000001</v>
      </c>
      <c r="R831">
        <v>0.626</v>
      </c>
      <c r="S831" s="65">
        <v>11</v>
      </c>
      <c r="T831">
        <v>71</v>
      </c>
      <c r="U831" t="s">
        <v>61</v>
      </c>
      <c r="V831" t="s">
        <v>32</v>
      </c>
    </row>
    <row r="832" spans="1:23" s="19" customFormat="1" ht="16" x14ac:dyDescent="0.2">
      <c r="A832" s="17" t="s">
        <v>972</v>
      </c>
      <c r="B832" s="18" t="s">
        <v>36</v>
      </c>
      <c r="C832" s="18" t="s">
        <v>28</v>
      </c>
      <c r="D832" s="66" t="str">
        <f t="shared" si="38"/>
        <v>076_O_a</v>
      </c>
      <c r="E832" s="19">
        <v>14</v>
      </c>
      <c r="F832" s="19" t="s">
        <v>43</v>
      </c>
      <c r="G832" s="19" t="s">
        <v>975</v>
      </c>
      <c r="I832">
        <v>3.51263162777752</v>
      </c>
      <c r="J832" s="85">
        <v>10</v>
      </c>
      <c r="K832" s="83">
        <v>23.3</v>
      </c>
      <c r="L832" s="83">
        <v>19.3</v>
      </c>
      <c r="M832" s="82">
        <v>26.4</v>
      </c>
      <c r="N832" s="83">
        <v>34.4</v>
      </c>
      <c r="O832" s="54">
        <f t="shared" si="40"/>
        <v>2.5669198312236272</v>
      </c>
      <c r="P832">
        <f t="shared" si="39"/>
        <v>22.68</v>
      </c>
      <c r="Q832" s="112">
        <v>0.441</v>
      </c>
      <c r="R832" s="19">
        <v>0.435</v>
      </c>
      <c r="S832" s="66">
        <v>52</v>
      </c>
      <c r="T832" s="19">
        <v>9</v>
      </c>
      <c r="U832" t="s">
        <v>72</v>
      </c>
      <c r="V832" t="s">
        <v>32</v>
      </c>
    </row>
    <row r="833" spans="1:22" x14ac:dyDescent="0.2">
      <c r="A833" s="5" t="s">
        <v>972</v>
      </c>
      <c r="B833" s="6" t="s">
        <v>36</v>
      </c>
      <c r="C833" s="6" t="s">
        <v>38</v>
      </c>
      <c r="D833" s="65" t="str">
        <f t="shared" si="38"/>
        <v>076_O_b</v>
      </c>
      <c r="E833">
        <v>43</v>
      </c>
      <c r="F833" t="s">
        <v>29</v>
      </c>
      <c r="G833" t="s">
        <v>976</v>
      </c>
      <c r="I833">
        <v>1.1087224669603499</v>
      </c>
      <c r="J833" s="82">
        <v>13.6</v>
      </c>
      <c r="K833" s="82">
        <v>11.8</v>
      </c>
      <c r="L833" s="82">
        <v>24.6</v>
      </c>
      <c r="M833" s="82">
        <v>20</v>
      </c>
      <c r="N833" s="82">
        <v>30.6</v>
      </c>
      <c r="O833" s="44">
        <f t="shared" si="40"/>
        <v>1.9878095238095264</v>
      </c>
      <c r="P833">
        <f t="shared" si="39"/>
        <v>20.119999999999997</v>
      </c>
      <c r="Q833" s="111">
        <v>9.8000000000000004E-2</v>
      </c>
      <c r="R833">
        <v>0.21299999999999999</v>
      </c>
      <c r="S833" s="65">
        <v>18</v>
      </c>
      <c r="T833">
        <v>55</v>
      </c>
      <c r="U833" t="s">
        <v>54</v>
      </c>
      <c r="V833" t="s">
        <v>32</v>
      </c>
    </row>
    <row r="834" spans="1:22" x14ac:dyDescent="0.2">
      <c r="A834" s="5" t="s">
        <v>972</v>
      </c>
      <c r="B834" s="6" t="s">
        <v>27</v>
      </c>
      <c r="C834" s="6" t="s">
        <v>38</v>
      </c>
      <c r="D834" s="65" t="str">
        <f t="shared" ref="D834:D897" si="41">A834&amp;"_"&amp;B834&amp;"_"&amp;C834</f>
        <v>076_S_b</v>
      </c>
      <c r="E834">
        <v>65</v>
      </c>
      <c r="F834" t="s">
        <v>39</v>
      </c>
      <c r="G834" t="s">
        <v>977</v>
      </c>
      <c r="I834">
        <v>2.6212695046205101</v>
      </c>
      <c r="J834" s="82">
        <v>10.9</v>
      </c>
      <c r="K834" s="82">
        <v>33.6</v>
      </c>
      <c r="L834" t="s">
        <v>57</v>
      </c>
      <c r="M834" s="82">
        <v>40.6</v>
      </c>
      <c r="N834" s="82">
        <v>43.2</v>
      </c>
      <c r="O834" s="44">
        <f t="shared" si="40"/>
        <v>8.4981198589894316</v>
      </c>
      <c r="P834">
        <f t="shared" ref="P834:P897" si="42">AVERAGE(J834:N834)</f>
        <v>32.075000000000003</v>
      </c>
      <c r="Q834" s="111">
        <v>0.17799999999999999</v>
      </c>
      <c r="R834">
        <v>0.33</v>
      </c>
      <c r="S834" s="65">
        <v>15</v>
      </c>
      <c r="T834">
        <v>29</v>
      </c>
      <c r="U834" t="s">
        <v>31</v>
      </c>
      <c r="V834" t="s">
        <v>32</v>
      </c>
    </row>
    <row r="835" spans="1:22" x14ac:dyDescent="0.2">
      <c r="A835" s="1" t="s">
        <v>972</v>
      </c>
      <c r="B835" t="s">
        <v>33</v>
      </c>
      <c r="C835" t="s">
        <v>38</v>
      </c>
      <c r="D835" s="65" t="str">
        <f t="shared" si="41"/>
        <v>076_V_b</v>
      </c>
      <c r="E835">
        <v>70</v>
      </c>
      <c r="F835" t="s">
        <v>70</v>
      </c>
      <c r="G835" t="s">
        <v>978</v>
      </c>
      <c r="I835">
        <v>2.5192429022081999</v>
      </c>
      <c r="J835" s="82">
        <v>8</v>
      </c>
      <c r="K835" s="82">
        <v>8</v>
      </c>
      <c r="L835" s="82">
        <v>38.6</v>
      </c>
      <c r="M835" s="82">
        <v>32.5</v>
      </c>
      <c r="N835" s="82">
        <v>45.3</v>
      </c>
      <c r="O835" s="44">
        <f t="shared" si="40"/>
        <v>11.903673938002301</v>
      </c>
      <c r="P835">
        <f t="shared" si="42"/>
        <v>26.479999999999997</v>
      </c>
      <c r="Q835" s="111">
        <v>0.121</v>
      </c>
      <c r="R835">
        <v>0.29299999999999998</v>
      </c>
      <c r="S835" s="65">
        <v>9</v>
      </c>
      <c r="T835">
        <v>26</v>
      </c>
      <c r="U835" t="s">
        <v>31</v>
      </c>
      <c r="V835" t="s">
        <v>32</v>
      </c>
    </row>
    <row r="836" spans="1:22" x14ac:dyDescent="0.2">
      <c r="A836" s="5" t="s">
        <v>972</v>
      </c>
      <c r="B836" s="6" t="s">
        <v>33</v>
      </c>
      <c r="C836" s="6" t="s">
        <v>45</v>
      </c>
      <c r="D836" s="65" t="str">
        <f t="shared" si="41"/>
        <v>076_V_c</v>
      </c>
      <c r="E836">
        <v>73</v>
      </c>
      <c r="F836" t="s">
        <v>63</v>
      </c>
      <c r="G836" t="s">
        <v>979</v>
      </c>
      <c r="I836">
        <v>1.11810641101837</v>
      </c>
      <c r="J836" s="82">
        <v>5.0999999999999996</v>
      </c>
      <c r="K836" s="82" t="s">
        <v>57</v>
      </c>
      <c r="L836" s="82">
        <v>3.9</v>
      </c>
      <c r="M836" s="82">
        <v>4.3</v>
      </c>
      <c r="N836" s="82">
        <v>6.9</v>
      </c>
      <c r="O836" s="44">
        <f t="shared" si="40"/>
        <v>8.4210526315788209E-2</v>
      </c>
      <c r="P836">
        <f t="shared" si="42"/>
        <v>5.0500000000000007</v>
      </c>
      <c r="Q836" s="111">
        <v>3.5000000000000003E-2</v>
      </c>
      <c r="R836">
        <v>0.105</v>
      </c>
      <c r="S836" s="65">
        <v>3</v>
      </c>
      <c r="T836">
        <v>21</v>
      </c>
      <c r="U836" t="s">
        <v>51</v>
      </c>
      <c r="V836" t="s">
        <v>32</v>
      </c>
    </row>
    <row r="837" spans="1:22" x14ac:dyDescent="0.2">
      <c r="A837" s="5" t="s">
        <v>972</v>
      </c>
      <c r="B837" s="6" t="s">
        <v>36</v>
      </c>
      <c r="C837" s="6" t="s">
        <v>45</v>
      </c>
      <c r="D837" s="65" t="str">
        <f t="shared" si="41"/>
        <v>076_O_c</v>
      </c>
      <c r="E837">
        <v>74</v>
      </c>
      <c r="F837" t="s">
        <v>39</v>
      </c>
      <c r="G837" t="s">
        <v>980</v>
      </c>
      <c r="I837">
        <v>3.4693903557957002</v>
      </c>
      <c r="J837" s="82">
        <v>8.5</v>
      </c>
      <c r="K837" s="82">
        <v>6.7</v>
      </c>
      <c r="L837" s="82">
        <v>32.4</v>
      </c>
      <c r="M837" s="82">
        <v>27.9</v>
      </c>
      <c r="N837" s="82">
        <v>28.8</v>
      </c>
      <c r="O837" s="44">
        <f t="shared" si="40"/>
        <v>9.1875938189845474</v>
      </c>
      <c r="P837">
        <f t="shared" si="42"/>
        <v>20.86</v>
      </c>
      <c r="Q837" s="111">
        <v>0.14199999999999999</v>
      </c>
      <c r="R837">
        <v>0.33900000000000002</v>
      </c>
      <c r="S837" s="65">
        <v>46</v>
      </c>
      <c r="T837">
        <v>82</v>
      </c>
      <c r="U837" t="s">
        <v>51</v>
      </c>
      <c r="V837" t="s">
        <v>32</v>
      </c>
    </row>
    <row r="838" spans="1:22" x14ac:dyDescent="0.2">
      <c r="A838" s="5" t="s">
        <v>972</v>
      </c>
      <c r="B838" s="6" t="s">
        <v>27</v>
      </c>
      <c r="C838" s="6" t="s">
        <v>45</v>
      </c>
      <c r="D838" s="65" t="str">
        <f t="shared" si="41"/>
        <v>076_S_c</v>
      </c>
      <c r="E838">
        <v>76</v>
      </c>
      <c r="F838" t="s">
        <v>39</v>
      </c>
      <c r="G838" t="s">
        <v>981</v>
      </c>
      <c r="I838">
        <v>4.7870721294285099</v>
      </c>
      <c r="J838" s="82">
        <v>4</v>
      </c>
      <c r="K838" s="82">
        <v>37</v>
      </c>
      <c r="L838" s="82">
        <v>3.8</v>
      </c>
      <c r="M838" s="82">
        <v>38.5</v>
      </c>
      <c r="N838" s="82">
        <v>33.6</v>
      </c>
      <c r="O838" s="44">
        <f t="shared" si="40"/>
        <v>18.358823529411769</v>
      </c>
      <c r="P838">
        <f t="shared" si="42"/>
        <v>23.380000000000003</v>
      </c>
      <c r="Q838" s="111">
        <v>0.41799999999999998</v>
      </c>
      <c r="R838">
        <v>0.495</v>
      </c>
      <c r="S838" s="65">
        <v>11</v>
      </c>
      <c r="T838">
        <v>54</v>
      </c>
      <c r="U838" t="s">
        <v>31</v>
      </c>
      <c r="V838" t="s">
        <v>32</v>
      </c>
    </row>
    <row r="839" spans="1:22" x14ac:dyDescent="0.2">
      <c r="A839" s="5" t="s">
        <v>972</v>
      </c>
      <c r="B839" s="6" t="s">
        <v>27</v>
      </c>
      <c r="C839" s="6" t="s">
        <v>52</v>
      </c>
      <c r="D839" s="65" t="str">
        <f t="shared" si="41"/>
        <v>076_S_d</v>
      </c>
      <c r="E839">
        <v>109</v>
      </c>
      <c r="F839" t="s">
        <v>70</v>
      </c>
      <c r="G839" t="s">
        <v>982</v>
      </c>
      <c r="I839">
        <v>2.0523792637248199</v>
      </c>
      <c r="J839" s="82">
        <v>20.100000000000001</v>
      </c>
      <c r="K839" s="82">
        <v>20.3</v>
      </c>
      <c r="L839" s="82">
        <v>22.8</v>
      </c>
      <c r="M839">
        <v>26</v>
      </c>
      <c r="N839" s="82">
        <v>33.5</v>
      </c>
      <c r="O839" s="44">
        <f t="shared" si="40"/>
        <v>0.34050822122570956</v>
      </c>
      <c r="P839">
        <f t="shared" si="42"/>
        <v>24.54</v>
      </c>
      <c r="Q839" s="111">
        <v>0.13900000000000001</v>
      </c>
      <c r="R839">
        <v>0.26600000000000001</v>
      </c>
      <c r="S839" s="65">
        <v>12</v>
      </c>
      <c r="T839">
        <v>54</v>
      </c>
      <c r="U839" t="s">
        <v>54</v>
      </c>
      <c r="V839" t="s">
        <v>32</v>
      </c>
    </row>
    <row r="840" spans="1:22" x14ac:dyDescent="0.2">
      <c r="A840" s="5" t="s">
        <v>972</v>
      </c>
      <c r="B840" s="6" t="s">
        <v>33</v>
      </c>
      <c r="C840" s="6" t="s">
        <v>52</v>
      </c>
      <c r="D840" s="65" t="str">
        <f t="shared" si="41"/>
        <v>076_V_d</v>
      </c>
      <c r="E840">
        <v>118</v>
      </c>
      <c r="F840" t="s">
        <v>34</v>
      </c>
      <c r="G840" t="s">
        <v>983</v>
      </c>
      <c r="I840">
        <v>2.2249799035369802</v>
      </c>
      <c r="J840" s="82">
        <v>34</v>
      </c>
      <c r="K840" s="82">
        <v>25.7</v>
      </c>
      <c r="L840" s="82">
        <v>9.8000000000000007</v>
      </c>
      <c r="M840">
        <v>36.1</v>
      </c>
      <c r="N840" s="82">
        <v>45</v>
      </c>
      <c r="O840" s="44">
        <f t="shared" si="40"/>
        <v>5.4027777777777786</v>
      </c>
      <c r="P840">
        <f t="shared" si="42"/>
        <v>30.119999999999997</v>
      </c>
      <c r="Q840" s="111">
        <v>0.26400000000000001</v>
      </c>
      <c r="R840">
        <v>0.38500000000000001</v>
      </c>
      <c r="S840" s="65">
        <v>15</v>
      </c>
      <c r="T840">
        <v>40</v>
      </c>
      <c r="U840" t="s">
        <v>54</v>
      </c>
      <c r="V840" t="s">
        <v>32</v>
      </c>
    </row>
    <row r="841" spans="1:22" ht="16" x14ac:dyDescent="0.2">
      <c r="A841" s="5" t="s">
        <v>972</v>
      </c>
      <c r="B841" s="6" t="s">
        <v>36</v>
      </c>
      <c r="C841" s="6" t="s">
        <v>52</v>
      </c>
      <c r="D841" s="65" t="str">
        <f t="shared" si="41"/>
        <v>076_O_d</v>
      </c>
      <c r="E841">
        <v>128</v>
      </c>
      <c r="F841" t="s">
        <v>43</v>
      </c>
      <c r="G841" t="s">
        <v>984</v>
      </c>
      <c r="I841">
        <v>3.4626104459664302</v>
      </c>
      <c r="J841" s="82">
        <v>45.1</v>
      </c>
      <c r="K841" s="82">
        <v>23.6</v>
      </c>
      <c r="L841" s="84">
        <v>44.7</v>
      </c>
      <c r="M841" s="43">
        <v>13.4</v>
      </c>
      <c r="N841" s="82">
        <v>47.6</v>
      </c>
      <c r="O841" s="44">
        <f t="shared" si="40"/>
        <v>7.8765509989484741</v>
      </c>
      <c r="P841">
        <f t="shared" si="42"/>
        <v>34.880000000000003</v>
      </c>
      <c r="Q841" s="111">
        <v>0.34100000000000003</v>
      </c>
      <c r="R841">
        <v>0.45800000000000002</v>
      </c>
      <c r="S841" s="65">
        <v>16</v>
      </c>
      <c r="T841">
        <v>32</v>
      </c>
      <c r="U841" t="s">
        <v>54</v>
      </c>
      <c r="V841" t="s">
        <v>32</v>
      </c>
    </row>
    <row r="842" spans="1:22" x14ac:dyDescent="0.2">
      <c r="A842" s="1" t="s">
        <v>985</v>
      </c>
      <c r="B842" t="s">
        <v>33</v>
      </c>
      <c r="C842" t="s">
        <v>28</v>
      </c>
      <c r="D842" s="65" t="str">
        <f t="shared" si="41"/>
        <v>077_V_a</v>
      </c>
      <c r="E842">
        <v>22</v>
      </c>
      <c r="F842" t="s">
        <v>43</v>
      </c>
      <c r="G842" t="s">
        <v>986</v>
      </c>
      <c r="I842">
        <v>1.6571008334695201</v>
      </c>
      <c r="J842" s="82">
        <v>1.8</v>
      </c>
      <c r="K842" s="83">
        <v>18</v>
      </c>
      <c r="L842" s="82">
        <v>5.3</v>
      </c>
      <c r="M842" s="82">
        <v>5.2</v>
      </c>
      <c r="N842" s="82">
        <v>27.1</v>
      </c>
      <c r="O842" s="44">
        <f t="shared" si="40"/>
        <v>6.7259625962596257</v>
      </c>
      <c r="P842">
        <f t="shared" si="42"/>
        <v>11.48</v>
      </c>
      <c r="Q842" s="111">
        <v>0.121</v>
      </c>
      <c r="R842">
        <v>0.25</v>
      </c>
      <c r="S842" s="65">
        <v>7</v>
      </c>
      <c r="T842">
        <v>79</v>
      </c>
      <c r="U842" t="s">
        <v>72</v>
      </c>
      <c r="V842" t="s">
        <v>32</v>
      </c>
    </row>
    <row r="843" spans="1:22" x14ac:dyDescent="0.2">
      <c r="A843" s="5" t="s">
        <v>985</v>
      </c>
      <c r="B843" s="6" t="s">
        <v>36</v>
      </c>
      <c r="C843" s="6" t="s">
        <v>28</v>
      </c>
      <c r="D843" s="65" t="str">
        <f t="shared" si="41"/>
        <v>077_O_a</v>
      </c>
      <c r="E843">
        <v>29</v>
      </c>
      <c r="F843" t="s">
        <v>39</v>
      </c>
      <c r="G843" t="s">
        <v>987</v>
      </c>
      <c r="I843">
        <v>0.28496602491506201</v>
      </c>
      <c r="J843" s="82">
        <v>2.2000000000000002</v>
      </c>
      <c r="K843" s="82">
        <v>2.7</v>
      </c>
      <c r="L843" s="82">
        <v>4.9000000000000004</v>
      </c>
      <c r="M843" s="82">
        <v>2</v>
      </c>
      <c r="N843" s="82">
        <v>11</v>
      </c>
      <c r="O843" s="44">
        <f t="shared" si="40"/>
        <v>0.60225988700565025</v>
      </c>
      <c r="P843">
        <f t="shared" si="42"/>
        <v>4.5600000000000005</v>
      </c>
      <c r="Q843" s="111">
        <v>1.4999999999999999E-2</v>
      </c>
      <c r="R843">
        <v>4.1000000000000002E-2</v>
      </c>
      <c r="S843" s="65">
        <v>3</v>
      </c>
      <c r="T843">
        <v>5</v>
      </c>
      <c r="U843" t="s">
        <v>47</v>
      </c>
      <c r="V843" t="s">
        <v>32</v>
      </c>
    </row>
    <row r="844" spans="1:22" x14ac:dyDescent="0.2">
      <c r="A844" s="5" t="s">
        <v>985</v>
      </c>
      <c r="B844" s="6" t="s">
        <v>27</v>
      </c>
      <c r="C844" s="6" t="s">
        <v>28</v>
      </c>
      <c r="D844" s="65" t="str">
        <f t="shared" si="41"/>
        <v>077_S_a</v>
      </c>
      <c r="E844">
        <v>32</v>
      </c>
      <c r="F844" t="s">
        <v>82</v>
      </c>
      <c r="G844" t="s">
        <v>988</v>
      </c>
      <c r="I844">
        <v>6.6086948736314302</v>
      </c>
      <c r="J844" s="82">
        <v>28.6</v>
      </c>
      <c r="K844" s="82">
        <v>30</v>
      </c>
      <c r="L844" s="82">
        <v>32.6</v>
      </c>
      <c r="M844" s="82">
        <v>45.9</v>
      </c>
      <c r="N844" s="82">
        <v>35.700000000000003</v>
      </c>
      <c r="O844" s="44">
        <f t="shared" si="40"/>
        <v>1.8325066861171961</v>
      </c>
      <c r="P844">
        <f t="shared" si="42"/>
        <v>34.56</v>
      </c>
      <c r="Q844" s="111">
        <v>0.41499999999999998</v>
      </c>
      <c r="R844">
        <v>0.69599999999999995</v>
      </c>
      <c r="S844" s="65">
        <v>34</v>
      </c>
      <c r="T844">
        <v>31</v>
      </c>
      <c r="U844" t="s">
        <v>72</v>
      </c>
      <c r="V844" t="s">
        <v>32</v>
      </c>
    </row>
    <row r="845" spans="1:22" x14ac:dyDescent="0.2">
      <c r="A845" s="5" t="s">
        <v>985</v>
      </c>
      <c r="B845" s="6" t="s">
        <v>36</v>
      </c>
      <c r="C845" s="6" t="s">
        <v>38</v>
      </c>
      <c r="D845" s="65" t="str">
        <f t="shared" si="41"/>
        <v>077_O_b</v>
      </c>
      <c r="E845">
        <v>59</v>
      </c>
      <c r="F845" t="s">
        <v>63</v>
      </c>
      <c r="G845" t="s">
        <v>989</v>
      </c>
      <c r="I845">
        <v>1.4033529893962999</v>
      </c>
      <c r="J845" s="82">
        <v>10.9</v>
      </c>
      <c r="K845" s="82">
        <v>15.1</v>
      </c>
      <c r="L845" s="82">
        <v>16.2</v>
      </c>
      <c r="M845" s="82">
        <v>23.2</v>
      </c>
      <c r="N845" s="82">
        <v>25.2</v>
      </c>
      <c r="O845" s="44">
        <f t="shared" si="40"/>
        <v>1.5944954128440327</v>
      </c>
      <c r="P845">
        <f t="shared" si="42"/>
        <v>18.12</v>
      </c>
      <c r="Q845" s="111">
        <v>5.1999999999999998E-2</v>
      </c>
      <c r="R845">
        <v>0.17699999999999999</v>
      </c>
      <c r="S845" s="65">
        <v>5</v>
      </c>
      <c r="T845">
        <v>72</v>
      </c>
      <c r="U845" t="s">
        <v>47</v>
      </c>
      <c r="V845" t="s">
        <v>32</v>
      </c>
    </row>
    <row r="846" spans="1:22" x14ac:dyDescent="0.2">
      <c r="A846" s="1" t="s">
        <v>985</v>
      </c>
      <c r="B846" t="s">
        <v>33</v>
      </c>
      <c r="C846" t="s">
        <v>38</v>
      </c>
      <c r="D846" s="65" t="str">
        <f t="shared" si="41"/>
        <v>077_V_b</v>
      </c>
      <c r="E846">
        <v>61</v>
      </c>
      <c r="F846" t="s">
        <v>39</v>
      </c>
      <c r="G846" t="s">
        <v>990</v>
      </c>
      <c r="I846">
        <v>0.60114274908147802</v>
      </c>
      <c r="J846" s="82">
        <v>3.3</v>
      </c>
      <c r="K846" s="82">
        <v>6.1</v>
      </c>
      <c r="L846" s="81">
        <v>0.1</v>
      </c>
      <c r="M846" s="82">
        <v>9.9</v>
      </c>
      <c r="N846" s="82">
        <v>15.8</v>
      </c>
      <c r="O846" s="44">
        <f t="shared" si="40"/>
        <v>3.5759450171821316</v>
      </c>
      <c r="P846">
        <f t="shared" si="42"/>
        <v>7.0400000000000009</v>
      </c>
      <c r="Q846" s="111">
        <v>2.9000000000000001E-2</v>
      </c>
      <c r="R846">
        <v>0.158</v>
      </c>
      <c r="S846" s="65">
        <v>10</v>
      </c>
      <c r="T846">
        <v>27</v>
      </c>
      <c r="U846" t="s">
        <v>31</v>
      </c>
      <c r="V846" t="s">
        <v>32</v>
      </c>
    </row>
    <row r="847" spans="1:22" x14ac:dyDescent="0.2">
      <c r="A847" s="5" t="s">
        <v>985</v>
      </c>
      <c r="B847" s="6" t="s">
        <v>27</v>
      </c>
      <c r="C847" s="6" t="s">
        <v>38</v>
      </c>
      <c r="D847" s="65" t="str">
        <f t="shared" si="41"/>
        <v>077_S_b</v>
      </c>
      <c r="E847">
        <v>62</v>
      </c>
      <c r="F847" t="s">
        <v>34</v>
      </c>
      <c r="G847" t="s">
        <v>991</v>
      </c>
      <c r="I847">
        <v>3.4175982823720998</v>
      </c>
      <c r="J847" s="82">
        <v>20.6</v>
      </c>
      <c r="K847" s="82">
        <v>18.100000000000001</v>
      </c>
      <c r="L847" s="82">
        <v>41.8</v>
      </c>
      <c r="M847" s="82">
        <v>19.2</v>
      </c>
      <c r="N847" s="82">
        <v>46.8</v>
      </c>
      <c r="O847" s="44">
        <f t="shared" si="40"/>
        <v>5.1197258441992624</v>
      </c>
      <c r="P847">
        <f t="shared" si="42"/>
        <v>29.3</v>
      </c>
      <c r="Q847" s="111">
        <v>0.18</v>
      </c>
      <c r="R847">
        <v>0.39200000000000002</v>
      </c>
      <c r="S847" s="65">
        <v>12</v>
      </c>
      <c r="T847">
        <v>27</v>
      </c>
      <c r="U847" t="s">
        <v>47</v>
      </c>
      <c r="V847" t="s">
        <v>32</v>
      </c>
    </row>
    <row r="848" spans="1:22" x14ac:dyDescent="0.2">
      <c r="A848" s="5" t="s">
        <v>985</v>
      </c>
      <c r="B848" s="6" t="s">
        <v>36</v>
      </c>
      <c r="C848" s="6" t="s">
        <v>45</v>
      </c>
      <c r="D848" s="65" t="str">
        <f t="shared" si="41"/>
        <v>077_O_c</v>
      </c>
      <c r="E848">
        <v>95</v>
      </c>
      <c r="F848" t="s">
        <v>68</v>
      </c>
      <c r="G848" t="s">
        <v>992</v>
      </c>
      <c r="I848">
        <v>4.3920563758389299</v>
      </c>
      <c r="J848" s="82">
        <v>33.4</v>
      </c>
      <c r="K848" s="82">
        <v>35.9</v>
      </c>
      <c r="L848" s="82">
        <v>33</v>
      </c>
      <c r="M848">
        <v>33.6</v>
      </c>
      <c r="N848" s="82">
        <v>33.700000000000003</v>
      </c>
      <c r="O848" s="44">
        <f t="shared" si="40"/>
        <v>5.0306597988717137E-2</v>
      </c>
      <c r="P848">
        <f t="shared" si="42"/>
        <v>33.92</v>
      </c>
      <c r="Q848" s="111">
        <v>0.219</v>
      </c>
      <c r="R848">
        <v>0.43</v>
      </c>
      <c r="S848" s="65">
        <v>13</v>
      </c>
      <c r="T848">
        <v>46</v>
      </c>
      <c r="U848" t="s">
        <v>31</v>
      </c>
      <c r="V848" t="s">
        <v>32</v>
      </c>
    </row>
    <row r="849" spans="1:23" x14ac:dyDescent="0.2">
      <c r="A849" s="5" t="s">
        <v>985</v>
      </c>
      <c r="B849" s="6" t="s">
        <v>27</v>
      </c>
      <c r="C849" s="6" t="s">
        <v>45</v>
      </c>
      <c r="D849" s="65" t="str">
        <f t="shared" si="41"/>
        <v>077_S_c</v>
      </c>
      <c r="E849">
        <v>96</v>
      </c>
      <c r="F849" t="s">
        <v>82</v>
      </c>
      <c r="G849" t="s">
        <v>993</v>
      </c>
      <c r="I849">
        <v>1.6090902355904599</v>
      </c>
      <c r="J849" s="82">
        <v>44.5</v>
      </c>
      <c r="K849" s="82">
        <v>18.8</v>
      </c>
      <c r="L849" s="82">
        <v>23.2</v>
      </c>
      <c r="M849">
        <v>20.8</v>
      </c>
      <c r="N849" s="82">
        <v>13.3</v>
      </c>
      <c r="O849" s="44">
        <f t="shared" si="40"/>
        <v>5.2966449207828568</v>
      </c>
      <c r="P849">
        <f t="shared" si="42"/>
        <v>24.119999999999997</v>
      </c>
      <c r="Q849" s="111">
        <v>7.6999999999999999E-2</v>
      </c>
      <c r="R849">
        <v>0.16900000000000001</v>
      </c>
      <c r="S849" s="65">
        <v>9</v>
      </c>
      <c r="T849">
        <v>39</v>
      </c>
      <c r="U849" t="s">
        <v>31</v>
      </c>
      <c r="V849" t="s">
        <v>32</v>
      </c>
    </row>
    <row r="850" spans="1:23" x14ac:dyDescent="0.2">
      <c r="A850" s="5" t="s">
        <v>985</v>
      </c>
      <c r="B850" s="6" t="s">
        <v>33</v>
      </c>
      <c r="C850" s="6" t="s">
        <v>45</v>
      </c>
      <c r="D850" s="65" t="str">
        <f t="shared" si="41"/>
        <v>077_V_c</v>
      </c>
      <c r="E850">
        <v>108</v>
      </c>
      <c r="F850" t="s">
        <v>82</v>
      </c>
      <c r="G850" t="s">
        <v>994</v>
      </c>
      <c r="I850">
        <v>2.1022991088145</v>
      </c>
      <c r="J850" s="82">
        <v>23.8</v>
      </c>
      <c r="K850" s="82">
        <v>6.9</v>
      </c>
      <c r="L850" s="82">
        <v>20.8</v>
      </c>
      <c r="M850">
        <v>6.8</v>
      </c>
      <c r="N850" s="82">
        <v>31.7</v>
      </c>
      <c r="O850" s="44">
        <f t="shared" si="40"/>
        <v>5.5622069754145258</v>
      </c>
      <c r="P850">
        <f t="shared" si="42"/>
        <v>18</v>
      </c>
      <c r="Q850" s="111">
        <v>8.8999999999999996E-2</v>
      </c>
      <c r="R850">
        <v>0.23300000000000001</v>
      </c>
      <c r="S850" s="65">
        <v>19</v>
      </c>
      <c r="T850">
        <v>29</v>
      </c>
      <c r="U850" t="s">
        <v>47</v>
      </c>
      <c r="V850" t="s">
        <v>32</v>
      </c>
    </row>
    <row r="851" spans="1:23" x14ac:dyDescent="0.2">
      <c r="A851" s="5" t="s">
        <v>985</v>
      </c>
      <c r="B851" s="6" t="s">
        <v>27</v>
      </c>
      <c r="C851" s="6" t="s">
        <v>52</v>
      </c>
      <c r="D851" s="65" t="str">
        <f t="shared" si="41"/>
        <v>077_S_d</v>
      </c>
      <c r="E851">
        <v>114</v>
      </c>
      <c r="F851" t="s">
        <v>41</v>
      </c>
      <c r="G851" t="s">
        <v>995</v>
      </c>
      <c r="H851" t="s">
        <v>56</v>
      </c>
      <c r="I851">
        <v>0</v>
      </c>
      <c r="J851" s="82">
        <v>1.1000000000000001</v>
      </c>
      <c r="K851" s="82">
        <v>1</v>
      </c>
      <c r="L851" s="82">
        <v>0.9</v>
      </c>
      <c r="M851">
        <v>1</v>
      </c>
      <c r="N851" s="82">
        <v>0.9</v>
      </c>
      <c r="O851" s="44">
        <f t="shared" si="40"/>
        <v>6.6666666666666706E-3</v>
      </c>
      <c r="P851">
        <f t="shared" si="42"/>
        <v>0.98000000000000009</v>
      </c>
      <c r="Q851" s="111" t="s">
        <v>57</v>
      </c>
      <c r="R851" t="s">
        <v>57</v>
      </c>
      <c r="S851" s="65" t="s">
        <v>57</v>
      </c>
      <c r="T851" t="s">
        <v>57</v>
      </c>
      <c r="V851" t="s">
        <v>32</v>
      </c>
      <c r="W851" t="s">
        <v>67</v>
      </c>
    </row>
    <row r="852" spans="1:23" x14ac:dyDescent="0.2">
      <c r="A852" s="5" t="s">
        <v>985</v>
      </c>
      <c r="B852" s="6" t="s">
        <v>36</v>
      </c>
      <c r="C852" s="6" t="s">
        <v>52</v>
      </c>
      <c r="D852" s="65" t="str">
        <f t="shared" si="41"/>
        <v>077_O_d</v>
      </c>
      <c r="E852">
        <v>119</v>
      </c>
      <c r="F852" t="s">
        <v>39</v>
      </c>
      <c r="G852" t="s">
        <v>996</v>
      </c>
      <c r="I852">
        <v>4.6545925061962397</v>
      </c>
      <c r="J852" s="82">
        <v>13.1</v>
      </c>
      <c r="K852" s="82">
        <v>47.1</v>
      </c>
      <c r="L852" s="82">
        <v>53.3</v>
      </c>
      <c r="M852">
        <v>46.8</v>
      </c>
      <c r="N852" s="82">
        <v>56.3</v>
      </c>
      <c r="O852" s="44">
        <f t="shared" si="40"/>
        <v>8.2938448741942068</v>
      </c>
      <c r="P852">
        <f t="shared" si="42"/>
        <v>43.320000000000007</v>
      </c>
      <c r="Q852" s="111">
        <v>0.496</v>
      </c>
      <c r="R852">
        <v>0.495</v>
      </c>
      <c r="S852" s="65">
        <v>19</v>
      </c>
      <c r="T852">
        <v>8</v>
      </c>
      <c r="U852" t="s">
        <v>54</v>
      </c>
      <c r="V852" t="s">
        <v>32</v>
      </c>
    </row>
    <row r="853" spans="1:23" ht="16" x14ac:dyDescent="0.2">
      <c r="A853" s="5" t="s">
        <v>985</v>
      </c>
      <c r="B853" s="6" t="s">
        <v>33</v>
      </c>
      <c r="C853" s="6" t="s">
        <v>52</v>
      </c>
      <c r="D853" s="65" t="str">
        <f t="shared" si="41"/>
        <v>077_V_d</v>
      </c>
      <c r="E853">
        <v>124</v>
      </c>
      <c r="F853" t="s">
        <v>63</v>
      </c>
      <c r="G853" t="s">
        <v>997</v>
      </c>
      <c r="I853">
        <v>2.5457820805834501</v>
      </c>
      <c r="J853" s="82">
        <v>13</v>
      </c>
      <c r="K853" s="82">
        <v>38.700000000000003</v>
      </c>
      <c r="L853" s="84">
        <v>47.6</v>
      </c>
      <c r="M853">
        <v>35.5</v>
      </c>
      <c r="N853" s="82">
        <v>34.9</v>
      </c>
      <c r="O853" s="44">
        <f t="shared" si="40"/>
        <v>6.4286844708209649</v>
      </c>
      <c r="P853">
        <f t="shared" si="42"/>
        <v>33.940000000000005</v>
      </c>
      <c r="Q853" s="111">
        <v>0.151</v>
      </c>
      <c r="R853">
        <v>0.318</v>
      </c>
      <c r="S853" s="65">
        <v>10</v>
      </c>
      <c r="T853">
        <v>65</v>
      </c>
      <c r="U853" t="s">
        <v>51</v>
      </c>
      <c r="V853" t="s">
        <v>32</v>
      </c>
    </row>
    <row r="854" spans="1:23" ht="16" x14ac:dyDescent="0.2">
      <c r="A854" s="5" t="s">
        <v>998</v>
      </c>
      <c r="B854" s="6" t="s">
        <v>36</v>
      </c>
      <c r="C854" s="6" t="s">
        <v>28</v>
      </c>
      <c r="D854" s="65" t="str">
        <f t="shared" si="41"/>
        <v>078_O_a</v>
      </c>
      <c r="E854">
        <v>5</v>
      </c>
      <c r="F854" t="s">
        <v>39</v>
      </c>
      <c r="G854" t="s">
        <v>999</v>
      </c>
      <c r="I854">
        <v>5.9730041255156898</v>
      </c>
      <c r="J854" s="84">
        <v>36.299999999999997</v>
      </c>
      <c r="K854" s="82">
        <v>30.3</v>
      </c>
      <c r="L854" s="82">
        <v>34.700000000000003</v>
      </c>
      <c r="M854" s="82">
        <v>45.2</v>
      </c>
      <c r="N854" s="82">
        <v>41.8</v>
      </c>
      <c r="O854" s="44">
        <f t="shared" si="40"/>
        <v>1.0680091012514208</v>
      </c>
      <c r="P854">
        <f t="shared" si="42"/>
        <v>37.660000000000004</v>
      </c>
      <c r="Q854" s="111">
        <v>0.39200000000000002</v>
      </c>
      <c r="R854">
        <v>0.48899999999999999</v>
      </c>
      <c r="S854" s="65">
        <v>10</v>
      </c>
      <c r="T854">
        <v>18</v>
      </c>
      <c r="U854" t="s">
        <v>31</v>
      </c>
      <c r="V854" t="s">
        <v>32</v>
      </c>
    </row>
    <row r="855" spans="1:23" ht="16" x14ac:dyDescent="0.2">
      <c r="A855" s="5" t="s">
        <v>998</v>
      </c>
      <c r="B855" s="6" t="s">
        <v>27</v>
      </c>
      <c r="C855" s="6" t="s">
        <v>28</v>
      </c>
      <c r="D855" s="65" t="str">
        <f t="shared" si="41"/>
        <v>078_S_a</v>
      </c>
      <c r="E855">
        <v>6</v>
      </c>
      <c r="F855" t="s">
        <v>39</v>
      </c>
      <c r="G855" t="s">
        <v>1000</v>
      </c>
      <c r="H855" t="s">
        <v>56</v>
      </c>
      <c r="I855">
        <v>0.318094527826979</v>
      </c>
      <c r="J855" s="84">
        <v>1</v>
      </c>
      <c r="K855" s="82">
        <v>1</v>
      </c>
      <c r="L855" s="82">
        <v>1</v>
      </c>
      <c r="M855" s="82">
        <v>1</v>
      </c>
      <c r="N855" s="82">
        <v>0.9</v>
      </c>
      <c r="O855" s="44">
        <f t="shared" si="40"/>
        <v>0</v>
      </c>
      <c r="P855">
        <f t="shared" si="42"/>
        <v>0.98000000000000009</v>
      </c>
      <c r="Q855" s="111" t="s">
        <v>57</v>
      </c>
      <c r="R855" t="s">
        <v>57</v>
      </c>
      <c r="S855" s="65" t="s">
        <v>57</v>
      </c>
      <c r="T855" t="s">
        <v>57</v>
      </c>
      <c r="U855" t="s">
        <v>57</v>
      </c>
      <c r="V855" t="s">
        <v>32</v>
      </c>
      <c r="W855" t="s">
        <v>67</v>
      </c>
    </row>
    <row r="856" spans="1:23" ht="16" x14ac:dyDescent="0.2">
      <c r="A856" s="1" t="s">
        <v>998</v>
      </c>
      <c r="B856" t="s">
        <v>33</v>
      </c>
      <c r="C856" t="s">
        <v>28</v>
      </c>
      <c r="D856" s="65" t="str">
        <f t="shared" si="41"/>
        <v>078_V_a</v>
      </c>
      <c r="E856">
        <v>6</v>
      </c>
      <c r="F856" t="s">
        <v>63</v>
      </c>
      <c r="G856" t="s">
        <v>1001</v>
      </c>
      <c r="I856">
        <v>1.2647641465460999</v>
      </c>
      <c r="J856" s="84">
        <v>24.1</v>
      </c>
      <c r="K856" s="82">
        <v>31.5</v>
      </c>
      <c r="L856" s="82">
        <v>17.600000000000001</v>
      </c>
      <c r="M856" s="82">
        <v>28.1</v>
      </c>
      <c r="N856" s="82">
        <v>37.1</v>
      </c>
      <c r="O856" s="44">
        <f t="shared" si="40"/>
        <v>1.4084567291872288</v>
      </c>
      <c r="P856">
        <f t="shared" si="42"/>
        <v>27.68</v>
      </c>
      <c r="Q856" s="111">
        <v>0.21299999999999999</v>
      </c>
      <c r="R856">
        <v>0.26500000000000001</v>
      </c>
      <c r="S856" s="65">
        <v>4</v>
      </c>
      <c r="T856">
        <v>20</v>
      </c>
      <c r="U856" t="s">
        <v>54</v>
      </c>
      <c r="V856" t="s">
        <v>32</v>
      </c>
    </row>
    <row r="857" spans="1:23" x14ac:dyDescent="0.2">
      <c r="A857" s="5" t="s">
        <v>998</v>
      </c>
      <c r="B857" s="6" t="s">
        <v>36</v>
      </c>
      <c r="C857" s="6" t="s">
        <v>38</v>
      </c>
      <c r="D857" s="65" t="str">
        <f t="shared" si="41"/>
        <v>078_O_b</v>
      </c>
      <c r="E857">
        <v>55</v>
      </c>
      <c r="F857" t="s">
        <v>49</v>
      </c>
      <c r="G857" t="s">
        <v>1002</v>
      </c>
      <c r="I857">
        <v>6.7159907300115904</v>
      </c>
      <c r="J857" s="82">
        <v>36.4</v>
      </c>
      <c r="K857" s="82">
        <v>5.9</v>
      </c>
      <c r="L857" s="82">
        <v>23.8</v>
      </c>
      <c r="M857" s="82">
        <v>12.4</v>
      </c>
      <c r="N857" s="82">
        <v>30.5</v>
      </c>
      <c r="O857" s="44">
        <f t="shared" si="40"/>
        <v>9.1619108280254746</v>
      </c>
      <c r="P857">
        <f t="shared" si="42"/>
        <v>21.8</v>
      </c>
      <c r="Q857" s="111">
        <v>0.34699999999999998</v>
      </c>
      <c r="R857">
        <v>0.59799999999999998</v>
      </c>
      <c r="S857" s="65">
        <v>30</v>
      </c>
      <c r="T857">
        <v>39</v>
      </c>
      <c r="U857" t="s">
        <v>31</v>
      </c>
      <c r="V857" t="s">
        <v>32</v>
      </c>
    </row>
    <row r="858" spans="1:23" x14ac:dyDescent="0.2">
      <c r="A858" s="1" t="s">
        <v>998</v>
      </c>
      <c r="B858" t="s">
        <v>33</v>
      </c>
      <c r="C858" t="s">
        <v>38</v>
      </c>
      <c r="D858" s="65" t="str">
        <f t="shared" si="41"/>
        <v>078_V_b</v>
      </c>
      <c r="E858">
        <v>67</v>
      </c>
      <c r="F858" t="s">
        <v>43</v>
      </c>
      <c r="G858" t="s">
        <v>1003</v>
      </c>
      <c r="I858">
        <v>4.5032738018092697</v>
      </c>
      <c r="J858" s="82">
        <v>24.2</v>
      </c>
      <c r="K858" s="82">
        <v>37.299999999999997</v>
      </c>
      <c r="L858" t="s">
        <v>57</v>
      </c>
      <c r="M858" s="82">
        <v>21.9</v>
      </c>
      <c r="N858" s="82">
        <v>30.9</v>
      </c>
      <c r="O858" s="44">
        <f t="shared" si="40"/>
        <v>2.482374100719416</v>
      </c>
      <c r="P858">
        <f t="shared" si="42"/>
        <v>28.575000000000003</v>
      </c>
      <c r="Q858" s="111">
        <v>0.25800000000000001</v>
      </c>
      <c r="R858">
        <v>0.40899999999999997</v>
      </c>
      <c r="S858" s="65">
        <v>16</v>
      </c>
      <c r="T858">
        <v>12</v>
      </c>
      <c r="U858" t="s">
        <v>31</v>
      </c>
      <c r="V858" t="s">
        <v>32</v>
      </c>
    </row>
    <row r="859" spans="1:23" x14ac:dyDescent="0.2">
      <c r="A859" s="5" t="s">
        <v>998</v>
      </c>
      <c r="B859" s="6" t="s">
        <v>27</v>
      </c>
      <c r="C859" s="6" t="s">
        <v>38</v>
      </c>
      <c r="D859" s="65" t="str">
        <f t="shared" si="41"/>
        <v>078_S_b</v>
      </c>
      <c r="E859">
        <v>69</v>
      </c>
      <c r="F859" t="s">
        <v>70</v>
      </c>
      <c r="G859" t="s">
        <v>1004</v>
      </c>
      <c r="I859">
        <v>3.3495102611940299</v>
      </c>
      <c r="J859" s="82">
        <v>18</v>
      </c>
      <c r="K859" s="82">
        <v>40</v>
      </c>
      <c r="L859" s="82">
        <v>74.900000000000006</v>
      </c>
      <c r="M859" s="82">
        <v>74.2</v>
      </c>
      <c r="N859" s="82">
        <v>75.099999999999994</v>
      </c>
      <c r="O859" s="44">
        <f t="shared" si="40"/>
        <v>14.917415097376459</v>
      </c>
      <c r="P859">
        <f t="shared" si="42"/>
        <v>56.440000000000012</v>
      </c>
      <c r="Q859" s="111">
        <v>0.54100000000000004</v>
      </c>
      <c r="R859">
        <v>0.57399999999999995</v>
      </c>
      <c r="S859" s="65">
        <v>8</v>
      </c>
      <c r="T859">
        <v>17</v>
      </c>
      <c r="U859" t="s">
        <v>31</v>
      </c>
      <c r="V859" t="s">
        <v>32</v>
      </c>
      <c r="W859" t="s">
        <v>1005</v>
      </c>
    </row>
    <row r="860" spans="1:23" x14ac:dyDescent="0.2">
      <c r="A860" s="5" t="s">
        <v>998</v>
      </c>
      <c r="B860" s="6" t="s">
        <v>36</v>
      </c>
      <c r="C860" s="6" t="s">
        <v>45</v>
      </c>
      <c r="D860" s="65" t="str">
        <f t="shared" si="41"/>
        <v>078_O_c</v>
      </c>
      <c r="E860">
        <v>80</v>
      </c>
      <c r="F860" t="s">
        <v>34</v>
      </c>
      <c r="G860" t="s">
        <v>1006</v>
      </c>
      <c r="I860">
        <v>4.2581146652847801</v>
      </c>
      <c r="J860" s="82">
        <v>28.5</v>
      </c>
      <c r="K860" s="82">
        <v>34.6</v>
      </c>
      <c r="L860" s="82">
        <v>35.5</v>
      </c>
      <c r="M860" s="82">
        <v>38</v>
      </c>
      <c r="N860" s="82">
        <v>55.3</v>
      </c>
      <c r="O860" s="44">
        <f t="shared" si="40"/>
        <v>0.47603709126403554</v>
      </c>
      <c r="P860">
        <f t="shared" si="42"/>
        <v>38.379999999999995</v>
      </c>
      <c r="Q860" s="111">
        <v>0.26700000000000002</v>
      </c>
      <c r="R860">
        <v>0.70599999999999996</v>
      </c>
      <c r="S860" s="65">
        <v>11</v>
      </c>
      <c r="T860">
        <v>9</v>
      </c>
      <c r="U860" t="s">
        <v>31</v>
      </c>
      <c r="V860" t="s">
        <v>32</v>
      </c>
      <c r="W860" t="s">
        <v>1007</v>
      </c>
    </row>
    <row r="861" spans="1:23" x14ac:dyDescent="0.2">
      <c r="A861" s="5" t="s">
        <v>998</v>
      </c>
      <c r="B861" s="6" t="s">
        <v>27</v>
      </c>
      <c r="C861" s="6" t="s">
        <v>45</v>
      </c>
      <c r="D861" s="65" t="str">
        <f t="shared" si="41"/>
        <v>078_S_c</v>
      </c>
      <c r="E861">
        <v>87</v>
      </c>
      <c r="F861" t="s">
        <v>41</v>
      </c>
      <c r="G861" t="s">
        <v>1008</v>
      </c>
      <c r="I861">
        <v>1.30800538478797</v>
      </c>
      <c r="J861" s="82">
        <v>4.3</v>
      </c>
      <c r="K861" s="82">
        <v>28.3</v>
      </c>
      <c r="L861" s="82">
        <v>41.8</v>
      </c>
      <c r="M861" s="82">
        <v>21.9</v>
      </c>
      <c r="N861" s="82">
        <v>49.8</v>
      </c>
      <c r="O861" s="44">
        <f t="shared" si="40"/>
        <v>10.076947040498434</v>
      </c>
      <c r="P861">
        <f t="shared" si="42"/>
        <v>29.220000000000006</v>
      </c>
      <c r="Q861" s="111">
        <v>0.192</v>
      </c>
      <c r="R861">
        <v>0.308</v>
      </c>
      <c r="S861" s="65">
        <v>8</v>
      </c>
      <c r="T861">
        <v>70</v>
      </c>
      <c r="U861" t="s">
        <v>72</v>
      </c>
      <c r="V861" t="s">
        <v>32</v>
      </c>
    </row>
    <row r="862" spans="1:23" x14ac:dyDescent="0.2">
      <c r="A862" s="5" t="s">
        <v>998</v>
      </c>
      <c r="B862" s="6" t="s">
        <v>33</v>
      </c>
      <c r="C862" s="6" t="s">
        <v>45</v>
      </c>
      <c r="D862" s="65" t="str">
        <f t="shared" si="41"/>
        <v>078_V_c</v>
      </c>
      <c r="E862">
        <v>100</v>
      </c>
      <c r="F862" t="s">
        <v>41</v>
      </c>
      <c r="G862" t="s">
        <v>1009</v>
      </c>
      <c r="I862">
        <v>3.5431008882752901</v>
      </c>
      <c r="J862" s="82">
        <v>6.5</v>
      </c>
      <c r="K862" s="82">
        <v>33.299999999999997</v>
      </c>
      <c r="L862" s="82">
        <v>4.5</v>
      </c>
      <c r="M862">
        <v>17.899999999999999</v>
      </c>
      <c r="N862" s="82">
        <v>6.4</v>
      </c>
      <c r="O862" s="44">
        <f t="shared" si="40"/>
        <v>11.245230439442654</v>
      </c>
      <c r="P862">
        <f t="shared" si="42"/>
        <v>13.719999999999999</v>
      </c>
      <c r="Q862" s="111">
        <v>0.41699999999999998</v>
      </c>
      <c r="R862">
        <v>0.59</v>
      </c>
      <c r="S862" s="65">
        <v>6</v>
      </c>
      <c r="T862">
        <v>32</v>
      </c>
      <c r="U862" t="s">
        <v>54</v>
      </c>
      <c r="V862" t="s">
        <v>32</v>
      </c>
    </row>
    <row r="863" spans="1:23" ht="16" x14ac:dyDescent="0.2">
      <c r="A863" s="5" t="s">
        <v>998</v>
      </c>
      <c r="B863" s="6" t="s">
        <v>33</v>
      </c>
      <c r="C863" s="6" t="s">
        <v>52</v>
      </c>
      <c r="D863" s="65" t="str">
        <f t="shared" si="41"/>
        <v>078_V_d</v>
      </c>
      <c r="E863">
        <v>125</v>
      </c>
      <c r="F863" t="s">
        <v>29</v>
      </c>
      <c r="G863" t="s">
        <v>1010</v>
      </c>
      <c r="I863">
        <v>2.71837291561395</v>
      </c>
      <c r="J863" s="82">
        <v>13.8</v>
      </c>
      <c r="K863" s="82">
        <v>22.2</v>
      </c>
      <c r="L863" s="84">
        <v>4.4000000000000004</v>
      </c>
      <c r="M863">
        <v>29.1</v>
      </c>
      <c r="N863" s="82">
        <v>31.4</v>
      </c>
      <c r="O863" s="44">
        <f t="shared" si="40"/>
        <v>6.5589928057553966</v>
      </c>
      <c r="P863">
        <f t="shared" si="42"/>
        <v>20.18</v>
      </c>
      <c r="Q863" s="111">
        <v>0.17899999999999999</v>
      </c>
      <c r="R863">
        <v>0.42499999999999999</v>
      </c>
      <c r="S863" s="65">
        <v>7</v>
      </c>
      <c r="T863">
        <v>21</v>
      </c>
      <c r="U863" t="s">
        <v>31</v>
      </c>
      <c r="V863" t="s">
        <v>32</v>
      </c>
    </row>
    <row r="864" spans="1:23" ht="16" x14ac:dyDescent="0.2">
      <c r="A864" s="5" t="s">
        <v>998</v>
      </c>
      <c r="B864" s="6" t="s">
        <v>27</v>
      </c>
      <c r="C864" s="6" t="s">
        <v>52</v>
      </c>
      <c r="D864" s="65" t="str">
        <f t="shared" si="41"/>
        <v>078_S_d</v>
      </c>
      <c r="E864">
        <v>133</v>
      </c>
      <c r="F864" t="s">
        <v>29</v>
      </c>
      <c r="G864" t="s">
        <v>1011</v>
      </c>
      <c r="I864">
        <v>0.95007542615779095</v>
      </c>
      <c r="J864" s="82">
        <v>6.5</v>
      </c>
      <c r="K864" s="82">
        <v>30.5</v>
      </c>
      <c r="L864" s="84">
        <v>20.8</v>
      </c>
      <c r="M864">
        <v>16.2</v>
      </c>
      <c r="N864" s="82">
        <v>35.200000000000003</v>
      </c>
      <c r="O864" s="44">
        <f t="shared" ref="O864:O927" si="43">VAR(J864:M864)/AVERAGE(J864:M864)</f>
        <v>5.3798198198198222</v>
      </c>
      <c r="P864">
        <f t="shared" si="42"/>
        <v>21.84</v>
      </c>
      <c r="Q864" s="111">
        <v>0.17199999999999999</v>
      </c>
      <c r="R864">
        <v>0.35</v>
      </c>
      <c r="S864" s="65">
        <v>15</v>
      </c>
      <c r="T864">
        <v>12</v>
      </c>
      <c r="U864" t="s">
        <v>51</v>
      </c>
      <c r="V864" t="s">
        <v>32</v>
      </c>
    </row>
    <row r="865" spans="1:23" ht="16" x14ac:dyDescent="0.2">
      <c r="A865" s="5" t="s">
        <v>998</v>
      </c>
      <c r="B865" s="6" t="s">
        <v>36</v>
      </c>
      <c r="C865" s="6" t="s">
        <v>52</v>
      </c>
      <c r="D865" s="65" t="str">
        <f t="shared" si="41"/>
        <v>078_O_d</v>
      </c>
      <c r="E865">
        <v>144</v>
      </c>
      <c r="F865" t="s">
        <v>49</v>
      </c>
      <c r="G865" t="s">
        <v>1012</v>
      </c>
      <c r="I865">
        <v>2.5609002169197401</v>
      </c>
      <c r="J865" s="82">
        <v>36.1</v>
      </c>
      <c r="K865" s="82">
        <v>20.2</v>
      </c>
      <c r="L865" s="84">
        <v>23.6</v>
      </c>
      <c r="M865" s="82">
        <v>18.3</v>
      </c>
      <c r="N865" s="82">
        <v>33.299999999999997</v>
      </c>
      <c r="O865" s="44">
        <f t="shared" si="43"/>
        <v>2.6108621860149346</v>
      </c>
      <c r="P865">
        <f t="shared" si="42"/>
        <v>26.3</v>
      </c>
      <c r="Q865" s="111">
        <v>0.35699999999999998</v>
      </c>
      <c r="R865">
        <v>0.39</v>
      </c>
      <c r="S865" s="65">
        <v>8</v>
      </c>
      <c r="T865">
        <v>53</v>
      </c>
      <c r="U865" t="s">
        <v>72</v>
      </c>
      <c r="V865" t="s">
        <v>32</v>
      </c>
    </row>
    <row r="866" spans="1:23" x14ac:dyDescent="0.2">
      <c r="A866" s="1" t="s">
        <v>1013</v>
      </c>
      <c r="B866" t="s">
        <v>33</v>
      </c>
      <c r="C866" t="s">
        <v>28</v>
      </c>
      <c r="D866" s="65" t="str">
        <f t="shared" si="41"/>
        <v>079_V_a</v>
      </c>
      <c r="E866">
        <v>21</v>
      </c>
      <c r="F866" t="s">
        <v>82</v>
      </c>
      <c r="G866" t="s">
        <v>1014</v>
      </c>
      <c r="I866">
        <v>3.0838463432652099</v>
      </c>
      <c r="J866" s="82">
        <v>11.2</v>
      </c>
      <c r="K866" s="82">
        <v>18.399999999999999</v>
      </c>
      <c r="L866" s="82">
        <v>22.3</v>
      </c>
      <c r="M866" s="82">
        <v>26.3</v>
      </c>
      <c r="N866" s="82">
        <v>33.1</v>
      </c>
      <c r="O866" s="44">
        <f t="shared" si="43"/>
        <v>2.11713554987212</v>
      </c>
      <c r="P866">
        <f t="shared" si="42"/>
        <v>22.26</v>
      </c>
      <c r="Q866" s="111">
        <v>0.24</v>
      </c>
      <c r="R866">
        <v>0.36</v>
      </c>
      <c r="S866" s="65">
        <v>12</v>
      </c>
      <c r="T866">
        <v>29</v>
      </c>
      <c r="U866" t="s">
        <v>72</v>
      </c>
      <c r="V866" t="s">
        <v>32</v>
      </c>
    </row>
    <row r="867" spans="1:23" x14ac:dyDescent="0.2">
      <c r="A867" s="5" t="s">
        <v>1013</v>
      </c>
      <c r="B867" s="6" t="s">
        <v>27</v>
      </c>
      <c r="C867" s="6" t="s">
        <v>28</v>
      </c>
      <c r="D867" s="65" t="str">
        <f t="shared" si="41"/>
        <v>079_S_a</v>
      </c>
      <c r="E867">
        <v>24</v>
      </c>
      <c r="F867" t="s">
        <v>70</v>
      </c>
      <c r="G867" t="s">
        <v>1015</v>
      </c>
      <c r="I867">
        <v>3.0053523783856599</v>
      </c>
      <c r="J867" s="82">
        <v>1.3</v>
      </c>
      <c r="K867" s="82">
        <v>7.2</v>
      </c>
      <c r="L867" s="82">
        <v>1.9</v>
      </c>
      <c r="M867" s="82">
        <v>3.9</v>
      </c>
      <c r="N867" s="82">
        <v>30.8</v>
      </c>
      <c r="O867" s="44">
        <f t="shared" si="43"/>
        <v>1.9792540792540785</v>
      </c>
      <c r="P867">
        <f t="shared" si="42"/>
        <v>9.02</v>
      </c>
      <c r="Q867" s="111">
        <v>0.16</v>
      </c>
      <c r="R867">
        <v>0.216</v>
      </c>
      <c r="S867" s="65">
        <v>6</v>
      </c>
      <c r="T867" s="43">
        <v>72</v>
      </c>
      <c r="U867" t="s">
        <v>51</v>
      </c>
      <c r="V867" t="s">
        <v>32</v>
      </c>
      <c r="W867" t="s">
        <v>1016</v>
      </c>
    </row>
    <row r="868" spans="1:23" x14ac:dyDescent="0.2">
      <c r="A868" s="5" t="s">
        <v>1013</v>
      </c>
      <c r="B868" s="6" t="s">
        <v>36</v>
      </c>
      <c r="C868" s="6" t="s">
        <v>28</v>
      </c>
      <c r="D868" s="65" t="str">
        <f t="shared" si="41"/>
        <v>079_O_a</v>
      </c>
      <c r="E868">
        <v>25</v>
      </c>
      <c r="F868" t="s">
        <v>70</v>
      </c>
      <c r="G868" t="s">
        <v>1017</v>
      </c>
      <c r="I868">
        <v>2.91119293078056</v>
      </c>
      <c r="J868" s="107">
        <v>6.1</v>
      </c>
      <c r="K868" t="s">
        <v>57</v>
      </c>
      <c r="L868" s="82">
        <v>25.6</v>
      </c>
      <c r="M868" s="82">
        <v>14.1</v>
      </c>
      <c r="N868" s="82">
        <v>29.9</v>
      </c>
      <c r="O868" s="44">
        <f t="shared" si="43"/>
        <v>6.2936681222707405</v>
      </c>
      <c r="P868">
        <f t="shared" si="42"/>
        <v>18.925000000000001</v>
      </c>
      <c r="Q868" s="111">
        <v>0.18</v>
      </c>
      <c r="R868">
        <v>0.28299999999999997</v>
      </c>
      <c r="S868" s="65">
        <v>12</v>
      </c>
      <c r="T868" s="43">
        <v>45</v>
      </c>
      <c r="U868" t="s">
        <v>31</v>
      </c>
      <c r="V868" t="s">
        <v>32</v>
      </c>
    </row>
    <row r="869" spans="1:23" x14ac:dyDescent="0.2">
      <c r="A869" s="5" t="s">
        <v>1013</v>
      </c>
      <c r="B869" s="6" t="s">
        <v>27</v>
      </c>
      <c r="C869" s="6" t="s">
        <v>38</v>
      </c>
      <c r="D869" s="65" t="str">
        <f t="shared" si="41"/>
        <v>079_S_b</v>
      </c>
      <c r="E869">
        <v>38</v>
      </c>
      <c r="F869" t="s">
        <v>49</v>
      </c>
      <c r="G869" t="s">
        <v>1018</v>
      </c>
      <c r="I869">
        <v>4.8573287053485998</v>
      </c>
      <c r="J869" s="82">
        <v>20.7</v>
      </c>
      <c r="K869" s="82">
        <v>32.200000000000003</v>
      </c>
      <c r="L869" s="82">
        <v>34.200000000000003</v>
      </c>
      <c r="M869" s="82">
        <v>8.8000000000000007</v>
      </c>
      <c r="N869" s="82">
        <v>10.5</v>
      </c>
      <c r="O869" s="44">
        <f t="shared" si="43"/>
        <v>5.7449774070212021</v>
      </c>
      <c r="P869">
        <f t="shared" si="42"/>
        <v>21.28</v>
      </c>
      <c r="Q869" s="111">
        <v>0.371</v>
      </c>
      <c r="R869">
        <v>0.47</v>
      </c>
      <c r="S869" s="65">
        <v>15</v>
      </c>
      <c r="T869">
        <v>41</v>
      </c>
      <c r="U869" t="s">
        <v>31</v>
      </c>
      <c r="V869" t="s">
        <v>32</v>
      </c>
    </row>
    <row r="870" spans="1:23" x14ac:dyDescent="0.2">
      <c r="A870" s="1" t="s">
        <v>1013</v>
      </c>
      <c r="B870" t="s">
        <v>33</v>
      </c>
      <c r="C870" t="s">
        <v>38</v>
      </c>
      <c r="D870" s="65" t="str">
        <f t="shared" si="41"/>
        <v>079_V_b</v>
      </c>
      <c r="E870">
        <v>55</v>
      </c>
      <c r="F870" t="s">
        <v>39</v>
      </c>
      <c r="G870" t="s">
        <v>1019</v>
      </c>
      <c r="I870">
        <v>0</v>
      </c>
      <c r="J870" s="82">
        <v>6.5</v>
      </c>
      <c r="K870" s="82">
        <v>2.7</v>
      </c>
      <c r="L870" s="82">
        <v>21.6</v>
      </c>
      <c r="M870" s="82">
        <v>23</v>
      </c>
      <c r="N870" s="82">
        <v>21.8</v>
      </c>
      <c r="O870" s="44">
        <f t="shared" si="43"/>
        <v>7.967534076827758</v>
      </c>
      <c r="P870">
        <f t="shared" si="42"/>
        <v>15.12</v>
      </c>
      <c r="Q870" s="111">
        <v>7.5999999999999998E-2</v>
      </c>
      <c r="R870">
        <v>0.151</v>
      </c>
      <c r="S870" s="65">
        <v>6</v>
      </c>
      <c r="T870">
        <v>3</v>
      </c>
      <c r="U870" t="s">
        <v>31</v>
      </c>
      <c r="V870" t="s">
        <v>32</v>
      </c>
    </row>
    <row r="871" spans="1:23" x14ac:dyDescent="0.2">
      <c r="A871" s="5" t="s">
        <v>1013</v>
      </c>
      <c r="B871" s="6" t="s">
        <v>36</v>
      </c>
      <c r="C871" s="6" t="s">
        <v>38</v>
      </c>
      <c r="D871" s="65" t="str">
        <f t="shared" si="41"/>
        <v>079_O_b</v>
      </c>
      <c r="E871">
        <v>56</v>
      </c>
      <c r="F871" t="s">
        <v>29</v>
      </c>
      <c r="G871" t="s">
        <v>1020</v>
      </c>
      <c r="I871">
        <v>3.1057667493796499</v>
      </c>
      <c r="J871" s="82">
        <v>4.7</v>
      </c>
      <c r="K871" s="82">
        <v>18.2</v>
      </c>
      <c r="L871" s="82">
        <v>51.7</v>
      </c>
      <c r="M871" s="82">
        <v>40.200000000000003</v>
      </c>
      <c r="N871" s="82">
        <v>38</v>
      </c>
      <c r="O871" s="44">
        <f t="shared" si="43"/>
        <v>15.650406504065046</v>
      </c>
      <c r="P871">
        <f t="shared" si="42"/>
        <v>30.560000000000002</v>
      </c>
      <c r="Q871" s="111">
        <v>0.157</v>
      </c>
      <c r="R871">
        <v>0.252</v>
      </c>
      <c r="S871" s="65">
        <v>8</v>
      </c>
      <c r="T871">
        <v>56</v>
      </c>
      <c r="U871" t="s">
        <v>31</v>
      </c>
      <c r="V871" t="s">
        <v>32</v>
      </c>
    </row>
    <row r="872" spans="1:23" x14ac:dyDescent="0.2">
      <c r="A872" s="5" t="s">
        <v>1013</v>
      </c>
      <c r="B872" s="6" t="s">
        <v>33</v>
      </c>
      <c r="C872" s="6" t="s">
        <v>45</v>
      </c>
      <c r="D872" s="65" t="str">
        <f t="shared" si="41"/>
        <v>079_V_c</v>
      </c>
      <c r="E872">
        <v>96</v>
      </c>
      <c r="F872" t="s">
        <v>49</v>
      </c>
      <c r="G872" t="s">
        <v>1021</v>
      </c>
      <c r="I872">
        <v>4.4982812268484196</v>
      </c>
      <c r="J872" s="82">
        <v>53.8</v>
      </c>
      <c r="K872" s="82">
        <v>9.1999999999999993</v>
      </c>
      <c r="L872" s="82">
        <v>45.3</v>
      </c>
      <c r="M872">
        <v>13.4</v>
      </c>
      <c r="N872" s="82">
        <v>41.8</v>
      </c>
      <c r="O872" s="44">
        <f t="shared" si="43"/>
        <v>16.521583127910151</v>
      </c>
      <c r="P872">
        <f t="shared" si="42"/>
        <v>32.700000000000003</v>
      </c>
      <c r="Q872" s="111">
        <v>0.38900000000000001</v>
      </c>
      <c r="R872">
        <v>0.56399999999999995</v>
      </c>
      <c r="S872" s="65">
        <v>14</v>
      </c>
      <c r="T872">
        <v>17</v>
      </c>
      <c r="U872" t="s">
        <v>47</v>
      </c>
      <c r="V872" t="s">
        <v>32</v>
      </c>
    </row>
    <row r="873" spans="1:23" x14ac:dyDescent="0.2">
      <c r="A873" s="5" t="s">
        <v>1013</v>
      </c>
      <c r="B873" s="6" t="s">
        <v>36</v>
      </c>
      <c r="C873" s="6" t="s">
        <v>45</v>
      </c>
      <c r="D873" s="65" t="str">
        <f t="shared" si="41"/>
        <v>079_O_c</v>
      </c>
      <c r="E873">
        <v>104</v>
      </c>
      <c r="F873" t="s">
        <v>43</v>
      </c>
      <c r="G873" t="s">
        <v>1022</v>
      </c>
      <c r="I873">
        <v>1.8804346714395299</v>
      </c>
      <c r="J873" s="82">
        <v>29.3</v>
      </c>
      <c r="K873" s="82">
        <v>80.5</v>
      </c>
      <c r="L873" s="82">
        <v>26.6</v>
      </c>
      <c r="M873">
        <v>34.6</v>
      </c>
      <c r="N873" s="82">
        <v>40.200000000000003</v>
      </c>
      <c r="O873" s="44">
        <f t="shared" si="43"/>
        <v>15.073762183235875</v>
      </c>
      <c r="P873">
        <f t="shared" si="42"/>
        <v>42.239999999999995</v>
      </c>
      <c r="Q873" s="111">
        <v>0.186</v>
      </c>
      <c r="R873">
        <v>0.219</v>
      </c>
      <c r="S873" s="65">
        <v>5</v>
      </c>
      <c r="T873">
        <v>84</v>
      </c>
      <c r="U873" t="s">
        <v>72</v>
      </c>
      <c r="V873" t="s">
        <v>32</v>
      </c>
    </row>
    <row r="874" spans="1:23" x14ac:dyDescent="0.2">
      <c r="A874" s="5" t="s">
        <v>1013</v>
      </c>
      <c r="B874" s="6" t="s">
        <v>27</v>
      </c>
      <c r="C874" s="6" t="s">
        <v>45</v>
      </c>
      <c r="D874" s="65" t="str">
        <f t="shared" si="41"/>
        <v>079_S_c</v>
      </c>
      <c r="E874">
        <v>107</v>
      </c>
      <c r="F874" t="s">
        <v>70</v>
      </c>
      <c r="G874" t="s">
        <v>1023</v>
      </c>
      <c r="I874">
        <v>0.88662640842477403</v>
      </c>
      <c r="J874" s="82">
        <v>17.3</v>
      </c>
      <c r="K874" s="82">
        <v>11.3</v>
      </c>
      <c r="L874" s="82">
        <v>13.2</v>
      </c>
      <c r="M874">
        <v>9.6</v>
      </c>
      <c r="N874" s="82">
        <v>30.3</v>
      </c>
      <c r="O874" s="44">
        <f t="shared" si="43"/>
        <v>0.85317769130998677</v>
      </c>
      <c r="P874">
        <f t="shared" si="42"/>
        <v>16.34</v>
      </c>
      <c r="Q874" s="111">
        <v>0.14499999999999999</v>
      </c>
      <c r="R874">
        <v>0.24399999999999999</v>
      </c>
      <c r="S874" s="65">
        <v>16</v>
      </c>
      <c r="T874">
        <v>35</v>
      </c>
      <c r="U874" t="s">
        <v>72</v>
      </c>
      <c r="V874" t="s">
        <v>32</v>
      </c>
    </row>
    <row r="875" spans="1:23" x14ac:dyDescent="0.2">
      <c r="A875" s="5" t="s">
        <v>1013</v>
      </c>
      <c r="B875" s="6" t="s">
        <v>33</v>
      </c>
      <c r="C875" s="6" t="s">
        <v>52</v>
      </c>
      <c r="D875" s="65" t="str">
        <f t="shared" si="41"/>
        <v>079_V_d</v>
      </c>
      <c r="E875">
        <v>119</v>
      </c>
      <c r="F875" t="s">
        <v>41</v>
      </c>
      <c r="G875" t="s">
        <v>1024</v>
      </c>
      <c r="I875">
        <v>2.41770666277883</v>
      </c>
      <c r="J875" s="82">
        <v>4.8</v>
      </c>
      <c r="K875">
        <v>4.8</v>
      </c>
      <c r="L875" s="82">
        <v>20.2</v>
      </c>
      <c r="M875">
        <v>5.6</v>
      </c>
      <c r="N875" s="82">
        <v>21.9</v>
      </c>
      <c r="O875" s="44">
        <f t="shared" si="43"/>
        <v>6.4854990583804151</v>
      </c>
      <c r="P875">
        <f t="shared" si="42"/>
        <v>11.459999999999999</v>
      </c>
      <c r="Q875" s="111">
        <v>7.6999999999999999E-2</v>
      </c>
      <c r="R875">
        <v>0.16900000000000001</v>
      </c>
      <c r="S875" s="65">
        <v>12</v>
      </c>
      <c r="T875">
        <v>30</v>
      </c>
      <c r="U875" t="s">
        <v>31</v>
      </c>
      <c r="V875" t="s">
        <v>32</v>
      </c>
    </row>
    <row r="876" spans="1:23" ht="16" x14ac:dyDescent="0.2">
      <c r="A876" s="5" t="s">
        <v>1013</v>
      </c>
      <c r="B876" s="6" t="s">
        <v>27</v>
      </c>
      <c r="C876" s="6" t="s">
        <v>52</v>
      </c>
      <c r="D876" s="65" t="str">
        <f t="shared" si="41"/>
        <v>079_S_d</v>
      </c>
      <c r="E876">
        <v>122</v>
      </c>
      <c r="F876" t="s">
        <v>34</v>
      </c>
      <c r="G876" t="s">
        <v>1025</v>
      </c>
      <c r="H876" t="s">
        <v>56</v>
      </c>
      <c r="I876">
        <v>0</v>
      </c>
      <c r="J876" s="82">
        <v>1.1000000000000001</v>
      </c>
      <c r="K876" s="82">
        <v>1</v>
      </c>
      <c r="L876" s="84">
        <v>1</v>
      </c>
      <c r="M876">
        <v>1</v>
      </c>
      <c r="N876" s="82">
        <v>1</v>
      </c>
      <c r="O876" s="44">
        <f t="shared" si="43"/>
        <v>2.4390243902439068E-3</v>
      </c>
      <c r="P876">
        <f t="shared" si="42"/>
        <v>1.02</v>
      </c>
      <c r="Q876" s="111" t="s">
        <v>57</v>
      </c>
      <c r="R876" t="s">
        <v>57</v>
      </c>
      <c r="S876" s="65" t="s">
        <v>57</v>
      </c>
      <c r="T876" t="s">
        <v>57</v>
      </c>
      <c r="V876" t="s">
        <v>32</v>
      </c>
      <c r="W876" t="s">
        <v>67</v>
      </c>
    </row>
    <row r="877" spans="1:23" ht="16" x14ac:dyDescent="0.2">
      <c r="A877" s="5" t="s">
        <v>1013</v>
      </c>
      <c r="B877" s="6" t="s">
        <v>36</v>
      </c>
      <c r="C877" s="6" t="s">
        <v>52</v>
      </c>
      <c r="D877" s="65" t="str">
        <f t="shared" si="41"/>
        <v>079_O_d</v>
      </c>
      <c r="E877">
        <v>122</v>
      </c>
      <c r="F877" t="s">
        <v>68</v>
      </c>
      <c r="G877" t="s">
        <v>1026</v>
      </c>
      <c r="I877">
        <v>1.26581910642935</v>
      </c>
      <c r="J877" s="82">
        <v>1.3</v>
      </c>
      <c r="K877" s="82">
        <v>1.6</v>
      </c>
      <c r="L877" s="84">
        <v>5.4</v>
      </c>
      <c r="M877" s="43">
        <v>19.8</v>
      </c>
      <c r="N877" s="82">
        <v>0.9</v>
      </c>
      <c r="O877" s="44">
        <f t="shared" si="43"/>
        <v>10.820759193357057</v>
      </c>
      <c r="P877">
        <f t="shared" si="42"/>
        <v>5.8</v>
      </c>
      <c r="Q877" s="111">
        <v>2.5999999999999999E-2</v>
      </c>
      <c r="R877">
        <v>5.8999999999999997E-2</v>
      </c>
      <c r="S877" s="65">
        <v>4</v>
      </c>
      <c r="T877">
        <v>10</v>
      </c>
      <c r="U877" t="s">
        <v>31</v>
      </c>
      <c r="V877" t="s">
        <v>32</v>
      </c>
    </row>
    <row r="878" spans="1:23" ht="16" x14ac:dyDescent="0.2">
      <c r="A878" s="5" t="s">
        <v>1027</v>
      </c>
      <c r="B878" s="6" t="s">
        <v>27</v>
      </c>
      <c r="C878" s="6" t="s">
        <v>28</v>
      </c>
      <c r="D878" s="65" t="str">
        <f t="shared" si="41"/>
        <v>080_S_a</v>
      </c>
      <c r="E878">
        <v>3</v>
      </c>
      <c r="F878" t="s">
        <v>63</v>
      </c>
      <c r="G878" t="s">
        <v>1028</v>
      </c>
      <c r="I878">
        <v>4.2735534639716102</v>
      </c>
      <c r="J878" s="84">
        <v>46.4</v>
      </c>
      <c r="K878" s="82">
        <v>12.9</v>
      </c>
      <c r="L878" s="82">
        <v>38.6</v>
      </c>
      <c r="M878" s="82">
        <v>37.799999999999997</v>
      </c>
      <c r="N878" s="82">
        <v>45.5</v>
      </c>
      <c r="O878" s="44">
        <f t="shared" si="43"/>
        <v>6.2348071726848504</v>
      </c>
      <c r="P878">
        <f t="shared" si="42"/>
        <v>36.239999999999995</v>
      </c>
      <c r="Q878" s="111">
        <v>0.51200000000000001</v>
      </c>
      <c r="R878">
        <v>0.50800000000000001</v>
      </c>
      <c r="S878" s="65">
        <v>9</v>
      </c>
      <c r="T878">
        <v>21</v>
      </c>
      <c r="U878" t="s">
        <v>260</v>
      </c>
      <c r="V878" t="s">
        <v>32</v>
      </c>
    </row>
    <row r="879" spans="1:23" x14ac:dyDescent="0.2">
      <c r="A879" s="5" t="s">
        <v>1027</v>
      </c>
      <c r="B879" s="6" t="s">
        <v>36</v>
      </c>
      <c r="C879" s="6" t="s">
        <v>28</v>
      </c>
      <c r="D879" s="65" t="str">
        <f t="shared" si="41"/>
        <v>080_O_a</v>
      </c>
      <c r="E879">
        <v>27</v>
      </c>
      <c r="F879" t="s">
        <v>34</v>
      </c>
      <c r="G879" t="s">
        <v>1029</v>
      </c>
      <c r="I879">
        <v>1.4055865623414401</v>
      </c>
      <c r="J879" s="82">
        <v>1.1000000000000001</v>
      </c>
      <c r="K879" t="s">
        <v>57</v>
      </c>
      <c r="L879" s="82">
        <v>3.3</v>
      </c>
      <c r="M879" s="82">
        <v>1.8</v>
      </c>
      <c r="N879" s="82">
        <v>13.4</v>
      </c>
      <c r="O879" s="44">
        <f t="shared" si="43"/>
        <v>0.61129032258064486</v>
      </c>
      <c r="P879">
        <f t="shared" si="42"/>
        <v>4.9000000000000004</v>
      </c>
      <c r="Q879" s="111">
        <v>3.5000000000000003E-2</v>
      </c>
      <c r="R879">
        <v>0.10199999999999999</v>
      </c>
      <c r="S879" s="65">
        <v>9</v>
      </c>
      <c r="T879">
        <v>0</v>
      </c>
      <c r="U879" t="s">
        <v>31</v>
      </c>
      <c r="V879" t="s">
        <v>32</v>
      </c>
    </row>
    <row r="880" spans="1:23" x14ac:dyDescent="0.2">
      <c r="A880" s="1" t="s">
        <v>1027</v>
      </c>
      <c r="B880" t="s">
        <v>33</v>
      </c>
      <c r="C880" t="s">
        <v>28</v>
      </c>
      <c r="D880" s="65" t="str">
        <f t="shared" si="41"/>
        <v>080_V_a</v>
      </c>
      <c r="E880">
        <v>29</v>
      </c>
      <c r="F880" t="s">
        <v>41</v>
      </c>
      <c r="G880" t="s">
        <v>1030</v>
      </c>
      <c r="I880">
        <v>3.48592865232163</v>
      </c>
      <c r="J880" s="82">
        <v>30.4</v>
      </c>
      <c r="K880" s="82">
        <v>23.9</v>
      </c>
      <c r="L880" s="82">
        <v>33.4</v>
      </c>
      <c r="M880" s="82">
        <v>19.7</v>
      </c>
      <c r="N880" s="82">
        <v>36.799999999999997</v>
      </c>
      <c r="O880" s="44">
        <f t="shared" si="43"/>
        <v>1.4317815021725686</v>
      </c>
      <c r="P880">
        <f t="shared" si="42"/>
        <v>28.839999999999996</v>
      </c>
      <c r="Q880" s="111">
        <v>0.33800000000000002</v>
      </c>
      <c r="R880">
        <v>0.48099999999999998</v>
      </c>
      <c r="S880" s="65">
        <v>14</v>
      </c>
      <c r="T880">
        <v>34</v>
      </c>
      <c r="U880" t="s">
        <v>51</v>
      </c>
      <c r="V880" t="s">
        <v>32</v>
      </c>
    </row>
    <row r="881" spans="1:23" x14ac:dyDescent="0.2">
      <c r="A881" s="5" t="s">
        <v>1027</v>
      </c>
      <c r="B881" s="6" t="s">
        <v>27</v>
      </c>
      <c r="C881" s="6" t="s">
        <v>38</v>
      </c>
      <c r="D881" s="65" t="str">
        <f t="shared" si="41"/>
        <v>080_S_b</v>
      </c>
      <c r="E881">
        <v>44</v>
      </c>
      <c r="F881" t="s">
        <v>82</v>
      </c>
      <c r="G881" t="s">
        <v>1031</v>
      </c>
      <c r="I881">
        <v>4.3041428571428604</v>
      </c>
      <c r="J881" s="82">
        <v>35.9</v>
      </c>
      <c r="K881" s="82">
        <v>22.2</v>
      </c>
      <c r="L881" s="82">
        <v>29.2</v>
      </c>
      <c r="M881" s="82">
        <v>34.5</v>
      </c>
      <c r="N881" s="82">
        <v>25.5</v>
      </c>
      <c r="O881" s="44">
        <f t="shared" si="43"/>
        <v>1.2668856048166397</v>
      </c>
      <c r="P881">
        <f t="shared" si="42"/>
        <v>29.46</v>
      </c>
      <c r="Q881" s="111">
        <v>0.48399999999999999</v>
      </c>
      <c r="R881">
        <v>0.76700000000000002</v>
      </c>
      <c r="S881" s="65">
        <v>15</v>
      </c>
      <c r="T881">
        <v>34</v>
      </c>
      <c r="U881" t="s">
        <v>31</v>
      </c>
      <c r="V881" t="s">
        <v>32</v>
      </c>
    </row>
    <row r="882" spans="1:23" x14ac:dyDescent="0.2">
      <c r="A882" s="1" t="s">
        <v>1027</v>
      </c>
      <c r="B882" t="s">
        <v>33</v>
      </c>
      <c r="C882" t="s">
        <v>38</v>
      </c>
      <c r="D882" s="65" t="str">
        <f t="shared" si="41"/>
        <v>080_V_b</v>
      </c>
      <c r="E882">
        <v>49</v>
      </c>
      <c r="F882" t="s">
        <v>63</v>
      </c>
      <c r="G882" t="s">
        <v>1032</v>
      </c>
      <c r="I882">
        <v>1.2372637868791201</v>
      </c>
      <c r="J882" s="82">
        <v>15.8</v>
      </c>
      <c r="K882" s="82">
        <v>5.2</v>
      </c>
      <c r="L882" s="82">
        <v>21</v>
      </c>
      <c r="M882" s="82">
        <v>20</v>
      </c>
      <c r="N882" s="82">
        <v>12.6</v>
      </c>
      <c r="O882" s="44">
        <f t="shared" si="43"/>
        <v>3.3694623655913993</v>
      </c>
      <c r="P882">
        <f t="shared" si="42"/>
        <v>14.919999999999998</v>
      </c>
      <c r="Q882" s="111">
        <v>0.1</v>
      </c>
      <c r="R882">
        <v>0.27</v>
      </c>
      <c r="S882" s="65">
        <v>21</v>
      </c>
      <c r="T882" s="43">
        <v>23</v>
      </c>
      <c r="U882" t="s">
        <v>54</v>
      </c>
      <c r="V882" t="s">
        <v>32</v>
      </c>
    </row>
    <row r="883" spans="1:23" x14ac:dyDescent="0.2">
      <c r="A883" s="5" t="s">
        <v>1027</v>
      </c>
      <c r="B883" s="6" t="s">
        <v>36</v>
      </c>
      <c r="C883" s="6" t="s">
        <v>38</v>
      </c>
      <c r="D883" s="65" t="str">
        <f t="shared" si="41"/>
        <v>080_O_b</v>
      </c>
      <c r="E883">
        <v>50</v>
      </c>
      <c r="F883" t="s">
        <v>68</v>
      </c>
      <c r="G883" t="s">
        <v>1033</v>
      </c>
      <c r="I883">
        <v>3.6455515546560799</v>
      </c>
      <c r="K883" s="82">
        <v>33.6</v>
      </c>
      <c r="L883" s="82">
        <v>35.299999999999997</v>
      </c>
      <c r="M883" s="82">
        <v>35.299999999999997</v>
      </c>
      <c r="N883" s="82">
        <v>45.9</v>
      </c>
      <c r="O883" s="44">
        <f t="shared" si="43"/>
        <v>2.7735124760076637E-2</v>
      </c>
      <c r="P883">
        <f t="shared" si="42"/>
        <v>37.524999999999999</v>
      </c>
      <c r="Q883" s="111">
        <v>0.184</v>
      </c>
      <c r="R883">
        <v>0.41499999999999998</v>
      </c>
      <c r="S883" s="65">
        <v>14</v>
      </c>
      <c r="T883" s="43">
        <v>20</v>
      </c>
      <c r="U883" t="s">
        <v>31</v>
      </c>
      <c r="V883" t="s">
        <v>32</v>
      </c>
    </row>
    <row r="884" spans="1:23" x14ac:dyDescent="0.2">
      <c r="A884" s="5" t="s">
        <v>1027</v>
      </c>
      <c r="B884" s="6" t="s">
        <v>27</v>
      </c>
      <c r="C884" s="6" t="s">
        <v>45</v>
      </c>
      <c r="D884" s="65" t="str">
        <f t="shared" si="41"/>
        <v>080_S_c</v>
      </c>
      <c r="E884">
        <v>87</v>
      </c>
      <c r="F884" t="s">
        <v>34</v>
      </c>
      <c r="G884" t="s">
        <v>1034</v>
      </c>
      <c r="H884" t="s">
        <v>56</v>
      </c>
      <c r="I884">
        <v>4.3516019744222598</v>
      </c>
      <c r="J884" s="82">
        <v>42.7</v>
      </c>
      <c r="K884" s="82">
        <v>1.2</v>
      </c>
      <c r="L884" s="82">
        <v>93.8</v>
      </c>
      <c r="M884" s="82">
        <v>46.4</v>
      </c>
      <c r="N884" s="82">
        <v>53.8</v>
      </c>
      <c r="O884" s="44">
        <f t="shared" si="43"/>
        <v>31.16369726597862</v>
      </c>
      <c r="P884">
        <f t="shared" si="42"/>
        <v>47.58</v>
      </c>
      <c r="Q884" s="111">
        <v>0.41099999999999998</v>
      </c>
      <c r="R884">
        <v>0.57399999999999995</v>
      </c>
      <c r="S884" s="65">
        <v>26</v>
      </c>
      <c r="T884">
        <v>56</v>
      </c>
      <c r="U884" t="s">
        <v>72</v>
      </c>
      <c r="V884" t="s">
        <v>32</v>
      </c>
    </row>
    <row r="885" spans="1:23" x14ac:dyDescent="0.2">
      <c r="A885" s="5" t="s">
        <v>1027</v>
      </c>
      <c r="B885" s="6" t="s">
        <v>36</v>
      </c>
      <c r="C885" s="6" t="s">
        <v>45</v>
      </c>
      <c r="D885" s="65" t="str">
        <f t="shared" si="41"/>
        <v>080_O_c</v>
      </c>
      <c r="E885">
        <v>92</v>
      </c>
      <c r="F885" t="s">
        <v>43</v>
      </c>
      <c r="G885" t="s">
        <v>1035</v>
      </c>
      <c r="I885">
        <v>2.6233598335686201</v>
      </c>
      <c r="J885" s="82">
        <v>20.3</v>
      </c>
      <c r="K885" s="82">
        <v>45.2</v>
      </c>
      <c r="L885" s="82">
        <v>42.8</v>
      </c>
      <c r="M885">
        <v>42.7</v>
      </c>
      <c r="N885" s="82">
        <v>41.1</v>
      </c>
      <c r="O885" s="44">
        <f t="shared" si="43"/>
        <v>3.6203973509933713</v>
      </c>
      <c r="P885">
        <f t="shared" si="42"/>
        <v>38.42</v>
      </c>
      <c r="Q885" s="111">
        <v>0.26700000000000002</v>
      </c>
      <c r="R885">
        <v>0.35299999999999998</v>
      </c>
      <c r="S885" s="65">
        <v>15</v>
      </c>
      <c r="T885">
        <v>10</v>
      </c>
      <c r="U885" t="s">
        <v>54</v>
      </c>
      <c r="V885" t="s">
        <v>32</v>
      </c>
    </row>
    <row r="886" spans="1:23" x14ac:dyDescent="0.2">
      <c r="A886" s="5" t="s">
        <v>1027</v>
      </c>
      <c r="B886" s="6" t="s">
        <v>33</v>
      </c>
      <c r="C886" s="6" t="s">
        <v>45</v>
      </c>
      <c r="D886" s="65" t="str">
        <f t="shared" si="41"/>
        <v>080_V_c</v>
      </c>
      <c r="E886">
        <v>101</v>
      </c>
      <c r="F886" t="s">
        <v>34</v>
      </c>
      <c r="G886" t="s">
        <v>1036</v>
      </c>
      <c r="I886">
        <v>4.4478839177750897</v>
      </c>
      <c r="J886" s="82">
        <v>37</v>
      </c>
      <c r="K886" t="s">
        <v>57</v>
      </c>
      <c r="L886" s="82">
        <v>35</v>
      </c>
      <c r="M886">
        <v>5.0999999999999996</v>
      </c>
      <c r="N886" s="82">
        <v>15.3</v>
      </c>
      <c r="O886" s="44">
        <f t="shared" si="43"/>
        <v>12.422957198443592</v>
      </c>
      <c r="P886">
        <f t="shared" si="42"/>
        <v>23.099999999999998</v>
      </c>
      <c r="Q886" s="111">
        <v>0.314</v>
      </c>
      <c r="R886">
        <v>0.56599999999999995</v>
      </c>
      <c r="S886" s="65">
        <v>14</v>
      </c>
      <c r="T886">
        <v>22</v>
      </c>
      <c r="U886" t="s">
        <v>72</v>
      </c>
      <c r="V886" t="s">
        <v>32</v>
      </c>
    </row>
    <row r="887" spans="1:23" ht="16" x14ac:dyDescent="0.2">
      <c r="A887" s="5" t="s">
        <v>1027</v>
      </c>
      <c r="B887" s="6" t="s">
        <v>27</v>
      </c>
      <c r="C887" s="6" t="s">
        <v>52</v>
      </c>
      <c r="D887" s="65" t="str">
        <f t="shared" si="41"/>
        <v>080_S_d</v>
      </c>
      <c r="E887">
        <v>122</v>
      </c>
      <c r="F887" t="s">
        <v>43</v>
      </c>
      <c r="G887" t="s">
        <v>1037</v>
      </c>
      <c r="H887" t="s">
        <v>1038</v>
      </c>
      <c r="I887">
        <v>0</v>
      </c>
      <c r="J887" s="82">
        <v>1.1000000000000001</v>
      </c>
      <c r="K887" s="82">
        <v>1</v>
      </c>
      <c r="L887" s="84">
        <v>1</v>
      </c>
      <c r="M887">
        <v>0.9</v>
      </c>
      <c r="N887" s="82">
        <v>0.9</v>
      </c>
      <c r="O887" s="44">
        <f t="shared" si="43"/>
        <v>6.6666666666666706E-3</v>
      </c>
      <c r="P887">
        <f t="shared" si="42"/>
        <v>0.98000000000000009</v>
      </c>
      <c r="Q887" s="111">
        <v>0.16600000000000001</v>
      </c>
      <c r="R887" t="s">
        <v>57</v>
      </c>
      <c r="S887" s="65">
        <v>11</v>
      </c>
      <c r="T887">
        <v>21</v>
      </c>
      <c r="U887" t="s">
        <v>31</v>
      </c>
      <c r="V887" t="s">
        <v>32</v>
      </c>
      <c r="W887" t="s">
        <v>162</v>
      </c>
    </row>
    <row r="888" spans="1:23" ht="16" x14ac:dyDescent="0.2">
      <c r="A888" s="5" t="s">
        <v>1027</v>
      </c>
      <c r="B888" s="6" t="s">
        <v>36</v>
      </c>
      <c r="C888" s="6" t="s">
        <v>52</v>
      </c>
      <c r="D888" s="65" t="str">
        <f t="shared" si="41"/>
        <v>080_O_d</v>
      </c>
      <c r="E888">
        <v>122</v>
      </c>
      <c r="F888" t="s">
        <v>82</v>
      </c>
      <c r="G888" t="s">
        <v>1039</v>
      </c>
      <c r="H888" t="s">
        <v>147</v>
      </c>
      <c r="I888">
        <v>1.9242208499818401</v>
      </c>
      <c r="J888" s="82">
        <v>12.4</v>
      </c>
      <c r="K888" s="82">
        <v>31.6</v>
      </c>
      <c r="L888" s="84">
        <v>33.6</v>
      </c>
      <c r="M888">
        <v>35.200000000000003</v>
      </c>
      <c r="N888" s="82">
        <v>47</v>
      </c>
      <c r="O888" s="44">
        <f t="shared" si="43"/>
        <v>4.0113475177305036</v>
      </c>
      <c r="P888">
        <f t="shared" si="42"/>
        <v>31.96</v>
      </c>
      <c r="Q888" s="111" t="s">
        <v>57</v>
      </c>
      <c r="R888">
        <v>0.374</v>
      </c>
      <c r="V888" t="s">
        <v>32</v>
      </c>
      <c r="W888" s="6" t="s">
        <v>1040</v>
      </c>
    </row>
    <row r="889" spans="1:23" ht="16" x14ac:dyDescent="0.2">
      <c r="A889" s="5" t="s">
        <v>1027</v>
      </c>
      <c r="B889" s="6" t="s">
        <v>33</v>
      </c>
      <c r="C889" s="6" t="s">
        <v>52</v>
      </c>
      <c r="D889" s="65" t="str">
        <f t="shared" si="41"/>
        <v>080_V_d</v>
      </c>
      <c r="E889">
        <v>141</v>
      </c>
      <c r="F889" t="s">
        <v>68</v>
      </c>
      <c r="G889" t="s">
        <v>1041</v>
      </c>
      <c r="I889">
        <v>1.5873417721519001</v>
      </c>
      <c r="J889" s="82">
        <v>6.1</v>
      </c>
      <c r="K889" s="82">
        <v>20.2</v>
      </c>
      <c r="L889" s="84">
        <v>34.1</v>
      </c>
      <c r="M889" s="82">
        <v>4.5</v>
      </c>
      <c r="N889" s="82">
        <v>43.9</v>
      </c>
      <c r="O889" s="44">
        <f t="shared" si="43"/>
        <v>11.81936312275295</v>
      </c>
      <c r="P889">
        <f t="shared" si="42"/>
        <v>21.76</v>
      </c>
      <c r="Q889" s="111">
        <v>0.14099999999999999</v>
      </c>
      <c r="R889">
        <v>0.29199999999999998</v>
      </c>
      <c r="S889" s="65">
        <v>16</v>
      </c>
      <c r="T889">
        <v>11</v>
      </c>
      <c r="U889" t="s">
        <v>54</v>
      </c>
      <c r="V889" t="s">
        <v>32</v>
      </c>
    </row>
    <row r="890" spans="1:23" ht="16" x14ac:dyDescent="0.2">
      <c r="A890" s="5" t="s">
        <v>1042</v>
      </c>
      <c r="B890" s="6" t="s">
        <v>36</v>
      </c>
      <c r="C890" s="6" t="s">
        <v>28</v>
      </c>
      <c r="D890" s="65" t="str">
        <f t="shared" si="41"/>
        <v>081_O_a</v>
      </c>
      <c r="E890">
        <v>4</v>
      </c>
      <c r="F890" t="s">
        <v>82</v>
      </c>
      <c r="G890" t="s">
        <v>1043</v>
      </c>
      <c r="I890">
        <v>0.99540193931811105</v>
      </c>
      <c r="J890" s="84">
        <v>2.2000000000000002</v>
      </c>
      <c r="K890" s="82">
        <v>2.1</v>
      </c>
      <c r="L890" s="82">
        <v>2</v>
      </c>
      <c r="M890" s="82">
        <v>8.9</v>
      </c>
      <c r="N890" s="82">
        <v>5.7</v>
      </c>
      <c r="O890" s="44">
        <f t="shared" si="43"/>
        <v>3.0438596491228074</v>
      </c>
      <c r="P890">
        <f t="shared" si="42"/>
        <v>4.1800000000000006</v>
      </c>
      <c r="Q890" s="111">
        <v>2.9000000000000001E-2</v>
      </c>
      <c r="R890">
        <v>5.2999999999999999E-2</v>
      </c>
      <c r="S890" s="65">
        <v>0</v>
      </c>
      <c r="T890">
        <v>66</v>
      </c>
      <c r="U890" t="s">
        <v>61</v>
      </c>
      <c r="V890" t="s">
        <v>32</v>
      </c>
    </row>
    <row r="891" spans="1:23" x14ac:dyDescent="0.2">
      <c r="A891" s="5" t="s">
        <v>1042</v>
      </c>
      <c r="B891" s="6" t="s">
        <v>27</v>
      </c>
      <c r="C891" s="6" t="s">
        <v>28</v>
      </c>
      <c r="D891" s="65" t="str">
        <f t="shared" si="41"/>
        <v>081_S_a</v>
      </c>
      <c r="E891">
        <v>19</v>
      </c>
      <c r="F891" t="s">
        <v>82</v>
      </c>
      <c r="G891" t="s">
        <v>1044</v>
      </c>
      <c r="I891">
        <v>1.96950698282199</v>
      </c>
      <c r="J891" s="82">
        <v>2.4</v>
      </c>
      <c r="K891" s="82">
        <v>1.6</v>
      </c>
      <c r="L891" s="82">
        <v>6.5</v>
      </c>
      <c r="M891" s="82">
        <v>12.8</v>
      </c>
      <c r="N891" s="82">
        <v>13.7</v>
      </c>
      <c r="O891" s="44">
        <f t="shared" si="43"/>
        <v>4.5028612303290432</v>
      </c>
      <c r="P891">
        <f t="shared" si="42"/>
        <v>7.4</v>
      </c>
      <c r="Q891" s="111">
        <v>3.5999999999999997E-2</v>
      </c>
      <c r="R891">
        <v>7.5999999999999998E-2</v>
      </c>
      <c r="S891" s="65">
        <v>5</v>
      </c>
      <c r="T891">
        <v>39</v>
      </c>
      <c r="U891" t="s">
        <v>31</v>
      </c>
      <c r="V891" t="s">
        <v>32</v>
      </c>
    </row>
    <row r="892" spans="1:23" x14ac:dyDescent="0.2">
      <c r="A892" s="1" t="s">
        <v>1042</v>
      </c>
      <c r="B892" t="s">
        <v>33</v>
      </c>
      <c r="C892" t="s">
        <v>28</v>
      </c>
      <c r="D892" s="65" t="str">
        <f t="shared" si="41"/>
        <v>081_V_a</v>
      </c>
      <c r="E892">
        <v>25</v>
      </c>
      <c r="F892" t="s">
        <v>34</v>
      </c>
      <c r="G892" t="s">
        <v>1045</v>
      </c>
      <c r="I892">
        <v>1.45316642120766</v>
      </c>
      <c r="J892" s="107">
        <v>1.5</v>
      </c>
      <c r="K892" t="s">
        <v>57</v>
      </c>
      <c r="L892" s="82">
        <v>2.2000000000000002</v>
      </c>
      <c r="M892" s="82">
        <v>4.2</v>
      </c>
      <c r="N892" s="82">
        <v>2.8</v>
      </c>
      <c r="O892" s="44">
        <f t="shared" si="43"/>
        <v>0.74556962025316442</v>
      </c>
      <c r="P892">
        <f t="shared" si="42"/>
        <v>2.6749999999999998</v>
      </c>
      <c r="Q892" s="111">
        <v>0.06</v>
      </c>
      <c r="R892">
        <v>6.4000000000000001E-2</v>
      </c>
      <c r="S892" s="65">
        <v>5</v>
      </c>
      <c r="T892" s="43">
        <v>31</v>
      </c>
      <c r="U892" t="s">
        <v>31</v>
      </c>
      <c r="V892" t="s">
        <v>32</v>
      </c>
    </row>
    <row r="893" spans="1:23" x14ac:dyDescent="0.2">
      <c r="A893" s="5" t="s">
        <v>1042</v>
      </c>
      <c r="B893" s="6" t="s">
        <v>36</v>
      </c>
      <c r="C893" s="6" t="s">
        <v>38</v>
      </c>
      <c r="D893" s="65" t="str">
        <f t="shared" si="41"/>
        <v>081_O_b</v>
      </c>
      <c r="E893">
        <v>44</v>
      </c>
      <c r="F893" t="s">
        <v>41</v>
      </c>
      <c r="G893" t="s">
        <v>1046</v>
      </c>
      <c r="I893">
        <v>0.98437593984962402</v>
      </c>
      <c r="J893" s="82">
        <v>1</v>
      </c>
      <c r="K893" s="82">
        <v>7.2</v>
      </c>
      <c r="L893" s="82">
        <v>5.6</v>
      </c>
      <c r="M893" s="82">
        <v>11.1</v>
      </c>
      <c r="N893" s="82">
        <v>14.4</v>
      </c>
      <c r="O893" s="44">
        <f t="shared" si="43"/>
        <v>2.8062918340026792</v>
      </c>
      <c r="P893">
        <f t="shared" si="42"/>
        <v>7.8599999999999994</v>
      </c>
      <c r="Q893" s="111">
        <v>2.4E-2</v>
      </c>
      <c r="R893">
        <v>6.5000000000000002E-2</v>
      </c>
      <c r="S893" s="65">
        <v>0</v>
      </c>
      <c r="T893">
        <v>38</v>
      </c>
      <c r="U893" t="s">
        <v>31</v>
      </c>
      <c r="V893" t="s">
        <v>32</v>
      </c>
    </row>
    <row r="894" spans="1:23" x14ac:dyDescent="0.2">
      <c r="A894" s="1" t="s">
        <v>1042</v>
      </c>
      <c r="B894" t="s">
        <v>33</v>
      </c>
      <c r="C894" t="s">
        <v>38</v>
      </c>
      <c r="D894" s="65" t="str">
        <f t="shared" si="41"/>
        <v>081_V_b</v>
      </c>
      <c r="E894">
        <v>52</v>
      </c>
      <c r="F894" t="s">
        <v>34</v>
      </c>
      <c r="G894" t="s">
        <v>1047</v>
      </c>
      <c r="I894">
        <v>0.51533527261878098</v>
      </c>
      <c r="J894" s="82">
        <v>5.3</v>
      </c>
      <c r="K894" s="82">
        <v>2.8</v>
      </c>
      <c r="L894" s="82">
        <v>1.4</v>
      </c>
      <c r="M894" s="82">
        <v>12.3</v>
      </c>
      <c r="N894" s="82">
        <v>7.1</v>
      </c>
      <c r="O894" s="44">
        <f t="shared" si="43"/>
        <v>4.3039755351681954</v>
      </c>
      <c r="P894">
        <f t="shared" si="42"/>
        <v>5.7799999999999994</v>
      </c>
      <c r="Q894" s="111">
        <v>5.7000000000000002E-2</v>
      </c>
      <c r="R894">
        <v>8.6999999999999994E-2</v>
      </c>
      <c r="S894" s="65">
        <v>3</v>
      </c>
      <c r="T894">
        <v>59</v>
      </c>
      <c r="U894" t="s">
        <v>31</v>
      </c>
      <c r="V894" t="s">
        <v>32</v>
      </c>
    </row>
    <row r="895" spans="1:23" x14ac:dyDescent="0.2">
      <c r="A895" s="5" t="s">
        <v>1042</v>
      </c>
      <c r="B895" s="6" t="s">
        <v>27</v>
      </c>
      <c r="C895" s="6" t="s">
        <v>38</v>
      </c>
      <c r="D895" s="65" t="str">
        <f t="shared" si="41"/>
        <v>081_S_b</v>
      </c>
      <c r="E895">
        <v>54</v>
      </c>
      <c r="F895" t="s">
        <v>49</v>
      </c>
      <c r="G895" t="s">
        <v>1048</v>
      </c>
      <c r="I895">
        <v>1.5654720469871699</v>
      </c>
      <c r="J895" s="82">
        <v>16.600000000000001</v>
      </c>
      <c r="K895" s="82">
        <v>23</v>
      </c>
      <c r="L895" s="82">
        <v>25.7</v>
      </c>
      <c r="M895" s="82">
        <v>17.600000000000001</v>
      </c>
      <c r="N895" s="82">
        <v>27.1</v>
      </c>
      <c r="O895" s="44">
        <f t="shared" si="43"/>
        <v>0.91206272617611539</v>
      </c>
      <c r="P895">
        <f t="shared" si="42"/>
        <v>22</v>
      </c>
      <c r="Q895" s="111">
        <v>0.13800000000000001</v>
      </c>
      <c r="R895">
        <v>0.23499999999999999</v>
      </c>
      <c r="S895" s="65">
        <v>7</v>
      </c>
      <c r="T895" s="43">
        <v>48</v>
      </c>
      <c r="U895" t="s">
        <v>31</v>
      </c>
      <c r="V895" t="s">
        <v>32</v>
      </c>
    </row>
    <row r="896" spans="1:23" x14ac:dyDescent="0.2">
      <c r="A896" s="5" t="s">
        <v>1042</v>
      </c>
      <c r="B896" s="6" t="s">
        <v>27</v>
      </c>
      <c r="C896" s="6" t="s">
        <v>45</v>
      </c>
      <c r="D896" s="65" t="str">
        <f t="shared" si="41"/>
        <v>081_S_c</v>
      </c>
      <c r="E896">
        <v>73</v>
      </c>
      <c r="F896" t="s">
        <v>70</v>
      </c>
      <c r="G896" t="s">
        <v>1049</v>
      </c>
      <c r="I896">
        <v>1.5871107780562801</v>
      </c>
      <c r="J896" s="82">
        <v>7.9</v>
      </c>
      <c r="K896" s="82" t="s">
        <v>57</v>
      </c>
      <c r="L896" s="82">
        <v>2.2999999999999998</v>
      </c>
      <c r="M896" s="82">
        <v>15</v>
      </c>
      <c r="N896" s="82">
        <v>6.8</v>
      </c>
      <c r="O896" s="44">
        <f t="shared" si="43"/>
        <v>4.8226190476190478</v>
      </c>
      <c r="P896">
        <f t="shared" si="42"/>
        <v>8</v>
      </c>
      <c r="Q896" s="111">
        <v>3.9E-2</v>
      </c>
      <c r="R896">
        <v>0.10299999999999999</v>
      </c>
      <c r="S896" s="65">
        <v>4</v>
      </c>
      <c r="T896">
        <v>48</v>
      </c>
      <c r="U896" t="s">
        <v>51</v>
      </c>
      <c r="V896" t="s">
        <v>32</v>
      </c>
    </row>
    <row r="897" spans="1:23" x14ac:dyDescent="0.2">
      <c r="A897" s="5" t="s">
        <v>1042</v>
      </c>
      <c r="B897" s="6" t="s">
        <v>36</v>
      </c>
      <c r="C897" s="6" t="s">
        <v>45</v>
      </c>
      <c r="D897" s="65" t="str">
        <f t="shared" si="41"/>
        <v>081_O_c</v>
      </c>
      <c r="E897">
        <v>85</v>
      </c>
      <c r="F897" t="s">
        <v>39</v>
      </c>
      <c r="G897" t="s">
        <v>1050</v>
      </c>
      <c r="I897">
        <v>1.3182963193733599</v>
      </c>
      <c r="J897" s="82">
        <v>6</v>
      </c>
      <c r="K897" s="82">
        <v>1.8</v>
      </c>
      <c r="L897" s="82">
        <v>3</v>
      </c>
      <c r="M897" s="82">
        <v>14.5</v>
      </c>
      <c r="N897" s="82">
        <v>14.1</v>
      </c>
      <c r="O897" s="44">
        <f t="shared" si="43"/>
        <v>5.1893280632411063</v>
      </c>
      <c r="P897">
        <f t="shared" si="42"/>
        <v>7.88</v>
      </c>
      <c r="Q897" s="111">
        <v>6.2E-2</v>
      </c>
      <c r="R897">
        <v>0.122</v>
      </c>
      <c r="S897" s="65">
        <v>17</v>
      </c>
      <c r="T897">
        <v>27</v>
      </c>
      <c r="U897" t="s">
        <v>72</v>
      </c>
      <c r="V897" t="s">
        <v>32</v>
      </c>
    </row>
    <row r="898" spans="1:23" x14ac:dyDescent="0.2">
      <c r="A898" s="5" t="s">
        <v>1042</v>
      </c>
      <c r="B898" s="6" t="s">
        <v>33</v>
      </c>
      <c r="C898" s="6" t="s">
        <v>45</v>
      </c>
      <c r="D898" s="65" t="str">
        <f t="shared" ref="D898:D961" si="44">A898&amp;"_"&amp;B898&amp;"_"&amp;C898</f>
        <v>081_V_c</v>
      </c>
      <c r="E898">
        <v>103</v>
      </c>
      <c r="F898" t="s">
        <v>39</v>
      </c>
      <c r="G898" t="s">
        <v>1051</v>
      </c>
      <c r="I898">
        <v>0.48348975341338601</v>
      </c>
      <c r="J898" s="82">
        <v>8</v>
      </c>
      <c r="K898" s="82">
        <v>7.4</v>
      </c>
      <c r="L898" s="82">
        <v>5.3</v>
      </c>
      <c r="M898">
        <v>2.7</v>
      </c>
      <c r="N898" s="82">
        <v>3.4</v>
      </c>
      <c r="O898" s="44">
        <f t="shared" si="43"/>
        <v>0.98290598290598297</v>
      </c>
      <c r="P898">
        <f t="shared" ref="P898:P961" si="45">AVERAGE(J898:N898)</f>
        <v>5.3599999999999994</v>
      </c>
      <c r="Q898" s="111">
        <v>5.0999999999999997E-2</v>
      </c>
      <c r="R898">
        <v>5.8999999999999997E-2</v>
      </c>
      <c r="S898" s="65">
        <v>1</v>
      </c>
      <c r="T898">
        <v>61</v>
      </c>
      <c r="U898" t="s">
        <v>72</v>
      </c>
      <c r="V898" t="s">
        <v>32</v>
      </c>
    </row>
    <row r="899" spans="1:23" x14ac:dyDescent="0.2">
      <c r="A899" s="5" t="s">
        <v>1042</v>
      </c>
      <c r="B899" s="6" t="s">
        <v>27</v>
      </c>
      <c r="C899" s="6" t="s">
        <v>52</v>
      </c>
      <c r="D899" s="65" t="str">
        <f t="shared" si="44"/>
        <v>081_S_d</v>
      </c>
      <c r="E899">
        <v>114</v>
      </c>
      <c r="F899" t="s">
        <v>43</v>
      </c>
      <c r="G899" t="s">
        <v>1052</v>
      </c>
      <c r="H899" t="s">
        <v>1038</v>
      </c>
      <c r="I899">
        <v>0</v>
      </c>
      <c r="J899" s="82">
        <v>1.1000000000000001</v>
      </c>
      <c r="K899" s="82">
        <v>1</v>
      </c>
      <c r="L899" s="82">
        <v>0.9</v>
      </c>
      <c r="M899">
        <v>1</v>
      </c>
      <c r="N899" s="82">
        <v>1</v>
      </c>
      <c r="O899" s="44">
        <f t="shared" si="43"/>
        <v>6.6666666666666706E-3</v>
      </c>
      <c r="P899">
        <f t="shared" si="45"/>
        <v>1</v>
      </c>
      <c r="Q899" s="111">
        <v>1.7999999999999999E-2</v>
      </c>
      <c r="R899" t="s">
        <v>57</v>
      </c>
      <c r="S899" s="65">
        <v>3</v>
      </c>
      <c r="T899">
        <v>30</v>
      </c>
      <c r="U899" t="s">
        <v>54</v>
      </c>
      <c r="V899" t="s">
        <v>32</v>
      </c>
      <c r="W899" t="s">
        <v>1053</v>
      </c>
    </row>
    <row r="900" spans="1:23" x14ac:dyDescent="0.2">
      <c r="A900" s="5" t="s">
        <v>1042</v>
      </c>
      <c r="B900" s="6" t="s">
        <v>33</v>
      </c>
      <c r="C900" s="6" t="s">
        <v>52</v>
      </c>
      <c r="D900" s="65" t="str">
        <f t="shared" si="44"/>
        <v>081_V_d</v>
      </c>
      <c r="E900">
        <v>114</v>
      </c>
      <c r="F900" t="s">
        <v>82</v>
      </c>
      <c r="G900" t="s">
        <v>1054</v>
      </c>
      <c r="I900">
        <v>0</v>
      </c>
      <c r="J900" s="82">
        <v>2</v>
      </c>
      <c r="K900" s="82">
        <v>1.5</v>
      </c>
      <c r="L900" s="82">
        <v>10.4</v>
      </c>
      <c r="M900">
        <v>5.9</v>
      </c>
      <c r="N900" s="82">
        <v>2</v>
      </c>
      <c r="O900" s="44">
        <f t="shared" si="43"/>
        <v>3.44848484848485</v>
      </c>
      <c r="P900">
        <f t="shared" si="45"/>
        <v>4.3600000000000003</v>
      </c>
      <c r="Q900" s="111" t="s">
        <v>57</v>
      </c>
      <c r="R900">
        <v>7.3999999999999996E-2</v>
      </c>
      <c r="S900" s="65" t="s">
        <v>57</v>
      </c>
      <c r="T900" t="s">
        <v>57</v>
      </c>
      <c r="V900" t="s">
        <v>32</v>
      </c>
      <c r="W900" t="s">
        <v>67</v>
      </c>
    </row>
    <row r="901" spans="1:23" ht="16" x14ac:dyDescent="0.2">
      <c r="A901" s="5" t="s">
        <v>1042</v>
      </c>
      <c r="B901" s="6" t="s">
        <v>36</v>
      </c>
      <c r="C901" s="6" t="s">
        <v>52</v>
      </c>
      <c r="D901" s="65" t="str">
        <f t="shared" si="44"/>
        <v>081_O_d</v>
      </c>
      <c r="E901">
        <v>139</v>
      </c>
      <c r="F901" t="s">
        <v>29</v>
      </c>
      <c r="G901" t="s">
        <v>1055</v>
      </c>
      <c r="I901">
        <v>1.4217893368010399</v>
      </c>
      <c r="J901" s="82">
        <v>6</v>
      </c>
      <c r="K901" s="82">
        <v>2.2000000000000002</v>
      </c>
      <c r="L901" s="84">
        <v>13.7</v>
      </c>
      <c r="M901" s="82">
        <v>1.3</v>
      </c>
      <c r="N901" s="82">
        <v>31.2</v>
      </c>
      <c r="O901" s="44">
        <f t="shared" si="43"/>
        <v>5.4977011494252856</v>
      </c>
      <c r="P901">
        <f t="shared" si="45"/>
        <v>10.879999999999999</v>
      </c>
      <c r="Q901" s="111">
        <v>5.3999999999999999E-2</v>
      </c>
      <c r="R901">
        <v>8.5999999999999993E-2</v>
      </c>
      <c r="S901" s="65">
        <v>5</v>
      </c>
      <c r="T901">
        <v>44</v>
      </c>
      <c r="U901" t="s">
        <v>72</v>
      </c>
      <c r="V901" t="s">
        <v>32</v>
      </c>
    </row>
    <row r="902" spans="1:23" ht="16" x14ac:dyDescent="0.2">
      <c r="A902" s="4" t="s">
        <v>1056</v>
      </c>
      <c r="B902" t="s">
        <v>33</v>
      </c>
      <c r="C902" t="s">
        <v>28</v>
      </c>
      <c r="D902" s="65" t="str">
        <f t="shared" si="44"/>
        <v>082_V_a</v>
      </c>
      <c r="E902">
        <v>12</v>
      </c>
      <c r="F902" t="s">
        <v>63</v>
      </c>
      <c r="G902" t="s">
        <v>1057</v>
      </c>
      <c r="I902">
        <v>1.0959706042955999</v>
      </c>
      <c r="J902" s="84">
        <v>20.7</v>
      </c>
      <c r="K902" s="82">
        <v>9.1999999999999993</v>
      </c>
      <c r="L902" s="82">
        <v>23.8</v>
      </c>
      <c r="M902" s="82">
        <v>10.5</v>
      </c>
      <c r="N902" s="82">
        <v>29.4</v>
      </c>
      <c r="O902" s="44">
        <f t="shared" si="43"/>
        <v>3.3106957424714403</v>
      </c>
      <c r="P902">
        <f t="shared" si="45"/>
        <v>18.72</v>
      </c>
      <c r="Q902" s="111">
        <v>0.16700000000000001</v>
      </c>
      <c r="R902">
        <v>0.23799999999999999</v>
      </c>
      <c r="S902" s="65">
        <v>6</v>
      </c>
      <c r="T902" s="47">
        <v>45</v>
      </c>
      <c r="U902" s="47" t="s">
        <v>54</v>
      </c>
      <c r="V902" t="s">
        <v>32</v>
      </c>
    </row>
    <row r="903" spans="1:23" x14ac:dyDescent="0.2">
      <c r="A903" s="5" t="s">
        <v>1056</v>
      </c>
      <c r="B903" s="6" t="s">
        <v>27</v>
      </c>
      <c r="C903" s="6" t="s">
        <v>28</v>
      </c>
      <c r="D903" s="65" t="str">
        <f t="shared" si="44"/>
        <v>082_S_a</v>
      </c>
      <c r="E903">
        <v>23</v>
      </c>
      <c r="F903" t="s">
        <v>68</v>
      </c>
      <c r="G903" t="s">
        <v>1058</v>
      </c>
      <c r="I903">
        <v>5.3858772724849402</v>
      </c>
      <c r="J903" s="82">
        <v>17.3</v>
      </c>
      <c r="K903" s="82">
        <v>11.2</v>
      </c>
      <c r="L903" s="82">
        <v>42.8</v>
      </c>
      <c r="M903" s="82">
        <v>36.299999999999997</v>
      </c>
      <c r="N903" s="82">
        <v>46.7</v>
      </c>
      <c r="O903" s="44">
        <f t="shared" si="43"/>
        <v>8.4240396530359316</v>
      </c>
      <c r="P903">
        <f t="shared" si="45"/>
        <v>30.860000000000003</v>
      </c>
      <c r="Q903" s="111">
        <v>0.22900000000000001</v>
      </c>
      <c r="R903">
        <v>0.33200000000000002</v>
      </c>
      <c r="S903" s="65">
        <v>33</v>
      </c>
      <c r="T903" s="43">
        <v>44</v>
      </c>
      <c r="U903" t="s">
        <v>31</v>
      </c>
      <c r="V903" t="s">
        <v>32</v>
      </c>
    </row>
    <row r="904" spans="1:23" x14ac:dyDescent="0.2">
      <c r="A904" s="5" t="s">
        <v>1056</v>
      </c>
      <c r="B904" s="6" t="s">
        <v>36</v>
      </c>
      <c r="C904" s="6" t="s">
        <v>28</v>
      </c>
      <c r="D904" s="65" t="str">
        <f t="shared" si="44"/>
        <v>082_O_a</v>
      </c>
      <c r="E904">
        <v>34</v>
      </c>
      <c r="F904" t="s">
        <v>34</v>
      </c>
      <c r="G904" t="s">
        <v>1059</v>
      </c>
      <c r="I904">
        <v>1.34809527504073</v>
      </c>
      <c r="J904" s="82">
        <v>2.2000000000000002</v>
      </c>
      <c r="K904" s="82">
        <v>9.9</v>
      </c>
      <c r="L904" s="82">
        <v>19.600000000000001</v>
      </c>
      <c r="M904" s="82">
        <v>22.4</v>
      </c>
      <c r="N904" s="82">
        <v>21.8</v>
      </c>
      <c r="O904" s="44">
        <f t="shared" si="43"/>
        <v>6.3356130622304372</v>
      </c>
      <c r="P904">
        <f t="shared" si="45"/>
        <v>15.180000000000001</v>
      </c>
      <c r="Q904" s="111">
        <v>0.12</v>
      </c>
      <c r="R904">
        <v>0.16200000000000001</v>
      </c>
      <c r="S904" s="65">
        <v>8</v>
      </c>
      <c r="T904">
        <v>54</v>
      </c>
      <c r="U904" t="s">
        <v>31</v>
      </c>
      <c r="V904" t="s">
        <v>32</v>
      </c>
    </row>
    <row r="905" spans="1:23" x14ac:dyDescent="0.2">
      <c r="A905" s="5" t="s">
        <v>1056</v>
      </c>
      <c r="B905" s="6" t="s">
        <v>36</v>
      </c>
      <c r="C905" s="6" t="s">
        <v>38</v>
      </c>
      <c r="D905" s="65" t="str">
        <f t="shared" si="44"/>
        <v>082_O_b</v>
      </c>
      <c r="E905">
        <v>43</v>
      </c>
      <c r="F905" t="s">
        <v>43</v>
      </c>
      <c r="G905" t="s">
        <v>1060</v>
      </c>
      <c r="I905">
        <v>3.00343612334802</v>
      </c>
      <c r="J905" s="82">
        <v>27.9</v>
      </c>
      <c r="K905" s="82">
        <v>29.5</v>
      </c>
      <c r="L905" s="82">
        <v>31.1</v>
      </c>
      <c r="M905" s="82">
        <v>10.7</v>
      </c>
      <c r="N905" s="82">
        <v>16.7</v>
      </c>
      <c r="O905" s="44">
        <f t="shared" si="43"/>
        <v>3.6317204301075181</v>
      </c>
      <c r="P905">
        <f t="shared" si="45"/>
        <v>23.18</v>
      </c>
      <c r="Q905" s="111">
        <v>0.28199999999999997</v>
      </c>
      <c r="R905">
        <v>0.36199999999999999</v>
      </c>
      <c r="S905" s="65">
        <v>11</v>
      </c>
      <c r="T905">
        <v>32</v>
      </c>
      <c r="U905" t="s">
        <v>54</v>
      </c>
      <c r="V905" t="s">
        <v>32</v>
      </c>
    </row>
    <row r="906" spans="1:23" x14ac:dyDescent="0.2">
      <c r="A906" s="1" t="s">
        <v>1056</v>
      </c>
      <c r="B906" t="s">
        <v>33</v>
      </c>
      <c r="C906" t="s">
        <v>38</v>
      </c>
      <c r="D906" s="65" t="str">
        <f t="shared" si="44"/>
        <v>082_V_b</v>
      </c>
      <c r="E906">
        <v>60</v>
      </c>
      <c r="F906" t="s">
        <v>34</v>
      </c>
      <c r="G906" t="s">
        <v>1061</v>
      </c>
      <c r="I906">
        <v>1.7728436911487799</v>
      </c>
      <c r="J906" s="82">
        <v>2.7</v>
      </c>
      <c r="K906" s="82">
        <v>10.3</v>
      </c>
      <c r="L906" s="82">
        <v>24.9</v>
      </c>
      <c r="M906" s="82">
        <v>31.2</v>
      </c>
      <c r="N906" s="82">
        <v>19.899999999999999</v>
      </c>
      <c r="O906" s="44">
        <f t="shared" si="43"/>
        <v>9.9011577424023169</v>
      </c>
      <c r="P906">
        <f t="shared" si="45"/>
        <v>17.8</v>
      </c>
      <c r="Q906" s="111">
        <v>0.10199999999999999</v>
      </c>
      <c r="R906">
        <v>0.16400000000000001</v>
      </c>
      <c r="S906" s="65">
        <v>5</v>
      </c>
      <c r="T906">
        <v>83</v>
      </c>
      <c r="U906" t="s">
        <v>31</v>
      </c>
      <c r="V906" t="s">
        <v>32</v>
      </c>
    </row>
    <row r="907" spans="1:23" x14ac:dyDescent="0.2">
      <c r="A907" s="5" t="s">
        <v>1056</v>
      </c>
      <c r="B907" s="6" t="s">
        <v>27</v>
      </c>
      <c r="C907" s="6" t="s">
        <v>38</v>
      </c>
      <c r="D907" s="65" t="str">
        <f t="shared" si="44"/>
        <v>082_S_b</v>
      </c>
      <c r="E907">
        <v>72</v>
      </c>
      <c r="F907" t="s">
        <v>68</v>
      </c>
      <c r="G907" t="s">
        <v>1062</v>
      </c>
      <c r="H907" t="s">
        <v>56</v>
      </c>
      <c r="I907">
        <v>0</v>
      </c>
      <c r="J907" s="82">
        <v>1</v>
      </c>
      <c r="K907" s="43">
        <v>9.3000000000000007</v>
      </c>
      <c r="L907" s="82"/>
      <c r="M907" s="82">
        <v>1</v>
      </c>
      <c r="N907" s="82">
        <v>0.9</v>
      </c>
      <c r="O907" s="44">
        <f t="shared" si="43"/>
        <v>6.0964601769911502</v>
      </c>
      <c r="P907">
        <f t="shared" si="45"/>
        <v>3.0500000000000003</v>
      </c>
      <c r="R907" t="s">
        <v>57</v>
      </c>
      <c r="S907" s="65" t="s">
        <v>57</v>
      </c>
      <c r="T907" t="s">
        <v>57</v>
      </c>
      <c r="U907" t="s">
        <v>57</v>
      </c>
      <c r="V907" t="s">
        <v>32</v>
      </c>
      <c r="W907" t="s">
        <v>67</v>
      </c>
    </row>
    <row r="908" spans="1:23" x14ac:dyDescent="0.2">
      <c r="A908" s="5" t="s">
        <v>1056</v>
      </c>
      <c r="B908" s="6" t="s">
        <v>33</v>
      </c>
      <c r="C908" s="6" t="s">
        <v>45</v>
      </c>
      <c r="D908" s="65" t="str">
        <f t="shared" si="44"/>
        <v>082_V_c</v>
      </c>
      <c r="E908">
        <v>84</v>
      </c>
      <c r="F908" t="s">
        <v>34</v>
      </c>
      <c r="G908" t="s">
        <v>1063</v>
      </c>
      <c r="I908">
        <v>3.0114702063194301</v>
      </c>
      <c r="J908" s="82">
        <v>47.1</v>
      </c>
      <c r="K908" t="s">
        <v>57</v>
      </c>
      <c r="L908" s="82">
        <v>47.6</v>
      </c>
      <c r="M908" s="82">
        <v>42.1</v>
      </c>
      <c r="N908" s="82">
        <v>36.6</v>
      </c>
      <c r="O908" s="44">
        <f t="shared" si="43"/>
        <v>0.20285087719298245</v>
      </c>
      <c r="P908">
        <f t="shared" si="45"/>
        <v>43.35</v>
      </c>
      <c r="Q908" s="111">
        <v>0.29499999999999998</v>
      </c>
      <c r="R908">
        <v>0.41399999999999998</v>
      </c>
      <c r="S908" s="65">
        <v>11</v>
      </c>
      <c r="T908">
        <v>80</v>
      </c>
      <c r="U908" t="s">
        <v>72</v>
      </c>
      <c r="V908" t="s">
        <v>32</v>
      </c>
    </row>
    <row r="909" spans="1:23" x14ac:dyDescent="0.2">
      <c r="A909" s="5" t="s">
        <v>1056</v>
      </c>
      <c r="B909" s="6" t="s">
        <v>36</v>
      </c>
      <c r="C909" s="6" t="s">
        <v>45</v>
      </c>
      <c r="D909" s="65" t="str">
        <f t="shared" si="44"/>
        <v>082_O_c</v>
      </c>
      <c r="E909">
        <v>99</v>
      </c>
      <c r="F909" t="s">
        <v>43</v>
      </c>
      <c r="G909" t="s">
        <v>1064</v>
      </c>
      <c r="I909">
        <v>2.7812417437252299</v>
      </c>
      <c r="J909" s="82">
        <v>20</v>
      </c>
      <c r="K909" s="82">
        <v>19.8</v>
      </c>
      <c r="L909" s="82">
        <v>24.7</v>
      </c>
      <c r="M909">
        <v>20.100000000000001</v>
      </c>
      <c r="N909" s="82">
        <v>28.4</v>
      </c>
      <c r="O909" s="44">
        <f t="shared" si="43"/>
        <v>0.26556343577620162</v>
      </c>
      <c r="P909">
        <f t="shared" si="45"/>
        <v>22.6</v>
      </c>
      <c r="Q909" s="111">
        <v>0.19500000000000001</v>
      </c>
      <c r="R909">
        <v>0.373</v>
      </c>
      <c r="S909" s="65">
        <v>10</v>
      </c>
      <c r="T909">
        <v>32</v>
      </c>
      <c r="U909" t="s">
        <v>54</v>
      </c>
      <c r="V909" t="s">
        <v>32</v>
      </c>
    </row>
    <row r="910" spans="1:23" x14ac:dyDescent="0.2">
      <c r="A910" s="5" t="s">
        <v>1056</v>
      </c>
      <c r="B910" s="6" t="s">
        <v>27</v>
      </c>
      <c r="C910" s="6" t="s">
        <v>45</v>
      </c>
      <c r="D910" s="65" t="str">
        <f t="shared" si="44"/>
        <v>082_S_c</v>
      </c>
      <c r="E910">
        <v>107</v>
      </c>
      <c r="F910" t="s">
        <v>29</v>
      </c>
      <c r="G910" t="s">
        <v>1065</v>
      </c>
      <c r="I910">
        <v>2.16265557110244</v>
      </c>
      <c r="J910" s="82">
        <v>6.9</v>
      </c>
      <c r="K910" s="82">
        <v>31.3</v>
      </c>
      <c r="L910" s="82">
        <v>14.4</v>
      </c>
      <c r="M910">
        <v>6.2</v>
      </c>
      <c r="N910" s="82">
        <v>38.799999999999997</v>
      </c>
      <c r="O910" s="44">
        <f t="shared" si="43"/>
        <v>9.2684807256235757</v>
      </c>
      <c r="P910">
        <f t="shared" si="45"/>
        <v>19.52</v>
      </c>
      <c r="Q910" s="111">
        <v>0.19600000000000001</v>
      </c>
      <c r="R910">
        <v>0.25600000000000001</v>
      </c>
      <c r="S910" s="65">
        <v>11</v>
      </c>
      <c r="T910">
        <v>11</v>
      </c>
      <c r="U910" t="s">
        <v>72</v>
      </c>
      <c r="V910" t="s">
        <v>32</v>
      </c>
    </row>
    <row r="911" spans="1:23" ht="16" x14ac:dyDescent="0.2">
      <c r="A911" s="5" t="s">
        <v>1056</v>
      </c>
      <c r="B911" s="6" t="s">
        <v>33</v>
      </c>
      <c r="C911" s="6" t="s">
        <v>52</v>
      </c>
      <c r="D911" s="65" t="str">
        <f t="shared" si="44"/>
        <v>082_V_d</v>
      </c>
      <c r="E911">
        <v>124</v>
      </c>
      <c r="F911" t="s">
        <v>49</v>
      </c>
      <c r="G911" t="s">
        <v>1066</v>
      </c>
      <c r="I911">
        <v>2.74433630363884</v>
      </c>
      <c r="J911" s="82">
        <v>21.9</v>
      </c>
      <c r="K911" s="82">
        <v>28.9</v>
      </c>
      <c r="L911" s="84">
        <v>32.5</v>
      </c>
      <c r="M911">
        <v>23.1</v>
      </c>
      <c r="N911" s="82">
        <v>16.899999999999999</v>
      </c>
      <c r="O911" s="44">
        <f t="shared" si="43"/>
        <v>0.93283208020049624</v>
      </c>
      <c r="P911">
        <f t="shared" si="45"/>
        <v>24.660000000000004</v>
      </c>
      <c r="Q911" s="111">
        <v>0.20599999999999999</v>
      </c>
      <c r="R911">
        <v>0.42899999999999999</v>
      </c>
      <c r="S911" s="65">
        <v>27</v>
      </c>
      <c r="T911">
        <v>43</v>
      </c>
      <c r="U911" t="s">
        <v>51</v>
      </c>
      <c r="V911" t="s">
        <v>32</v>
      </c>
    </row>
    <row r="912" spans="1:23" ht="16" x14ac:dyDescent="0.2">
      <c r="A912" s="5" t="s">
        <v>1056</v>
      </c>
      <c r="B912" s="6" t="s">
        <v>36</v>
      </c>
      <c r="C912" s="6" t="s">
        <v>52</v>
      </c>
      <c r="D912" s="65" t="str">
        <f t="shared" si="44"/>
        <v>082_O_d</v>
      </c>
      <c r="E912">
        <v>135</v>
      </c>
      <c r="F912" t="s">
        <v>70</v>
      </c>
      <c r="G912" t="s">
        <v>1067</v>
      </c>
      <c r="I912">
        <v>3.69698668535389</v>
      </c>
      <c r="J912" s="82">
        <v>42.5</v>
      </c>
      <c r="K912" s="82">
        <v>6.8</v>
      </c>
      <c r="L912" s="84">
        <v>40</v>
      </c>
      <c r="M912" s="82">
        <v>14.3</v>
      </c>
      <c r="N912" s="82">
        <v>52</v>
      </c>
      <c r="O912" s="44">
        <f t="shared" si="43"/>
        <v>12.532046332046329</v>
      </c>
      <c r="P912">
        <f t="shared" si="45"/>
        <v>31.119999999999997</v>
      </c>
      <c r="Q912" s="111">
        <v>0.317</v>
      </c>
      <c r="R912">
        <v>0.40300000000000002</v>
      </c>
      <c r="S912" s="65">
        <v>0</v>
      </c>
      <c r="T912">
        <v>72</v>
      </c>
      <c r="U912" t="s">
        <v>47</v>
      </c>
      <c r="V912" t="s">
        <v>32</v>
      </c>
    </row>
    <row r="913" spans="1:23" ht="16" x14ac:dyDescent="0.2">
      <c r="A913" s="5" t="s">
        <v>1056</v>
      </c>
      <c r="B913" s="6" t="s">
        <v>27</v>
      </c>
      <c r="C913" s="6" t="s">
        <v>52</v>
      </c>
      <c r="D913" s="65" t="str">
        <f t="shared" si="44"/>
        <v>082_S_d</v>
      </c>
      <c r="E913">
        <v>140</v>
      </c>
      <c r="F913" t="s">
        <v>34</v>
      </c>
      <c r="G913" t="s">
        <v>1068</v>
      </c>
      <c r="H913" t="s">
        <v>56</v>
      </c>
      <c r="I913">
        <v>0</v>
      </c>
      <c r="J913" s="82">
        <v>1</v>
      </c>
      <c r="K913" s="82">
        <v>1.1000000000000001</v>
      </c>
      <c r="L913" s="84">
        <v>1</v>
      </c>
      <c r="M913" s="82">
        <v>1</v>
      </c>
      <c r="N913" s="82">
        <v>1</v>
      </c>
      <c r="O913" s="44">
        <f t="shared" si="43"/>
        <v>2.4390243902439068E-3</v>
      </c>
      <c r="P913">
        <f t="shared" si="45"/>
        <v>1.02</v>
      </c>
      <c r="Q913" s="111" t="s">
        <v>57</v>
      </c>
      <c r="R913" t="s">
        <v>57</v>
      </c>
      <c r="S913" s="65" t="s">
        <v>57</v>
      </c>
      <c r="T913" t="s">
        <v>57</v>
      </c>
      <c r="V913" t="s">
        <v>32</v>
      </c>
      <c r="W913" t="s">
        <v>67</v>
      </c>
    </row>
    <row r="914" spans="1:23" x14ac:dyDescent="0.2">
      <c r="A914" s="5" t="s">
        <v>1069</v>
      </c>
      <c r="B914" s="6" t="s">
        <v>27</v>
      </c>
      <c r="C914" s="6" t="s">
        <v>28</v>
      </c>
      <c r="D914" s="65" t="str">
        <f t="shared" si="44"/>
        <v>083_S_a</v>
      </c>
      <c r="E914">
        <v>31</v>
      </c>
      <c r="F914" t="s">
        <v>34</v>
      </c>
      <c r="G914" t="s">
        <v>1070</v>
      </c>
      <c r="I914">
        <v>2.0529408519090699</v>
      </c>
      <c r="J914" s="82">
        <v>3.9</v>
      </c>
      <c r="K914" s="82">
        <v>35.4</v>
      </c>
      <c r="L914" s="82">
        <v>3.9</v>
      </c>
      <c r="M914" s="82">
        <v>12.9</v>
      </c>
      <c r="N914" s="82">
        <v>7.6</v>
      </c>
      <c r="O914" s="44">
        <f t="shared" si="43"/>
        <v>15.762032085561501</v>
      </c>
      <c r="P914">
        <f t="shared" si="45"/>
        <v>12.739999999999998</v>
      </c>
      <c r="Q914" s="111">
        <v>0.182</v>
      </c>
      <c r="R914">
        <v>0.36299999999999999</v>
      </c>
      <c r="S914" s="65">
        <v>11</v>
      </c>
      <c r="T914">
        <v>17</v>
      </c>
      <c r="U914" t="s">
        <v>31</v>
      </c>
      <c r="V914" t="s">
        <v>32</v>
      </c>
    </row>
    <row r="915" spans="1:23" x14ac:dyDescent="0.2">
      <c r="A915" s="1" t="s">
        <v>1069</v>
      </c>
      <c r="B915" t="s">
        <v>33</v>
      </c>
      <c r="C915" t="s">
        <v>28</v>
      </c>
      <c r="D915" s="65" t="str">
        <f t="shared" si="44"/>
        <v>083_V_a</v>
      </c>
      <c r="E915">
        <v>34</v>
      </c>
      <c r="F915" t="s">
        <v>41</v>
      </c>
      <c r="G915" t="s">
        <v>1071</v>
      </c>
      <c r="I915">
        <v>1.4438513461090901</v>
      </c>
      <c r="J915" s="82">
        <v>25.3</v>
      </c>
      <c r="K915" t="s">
        <v>57</v>
      </c>
      <c r="L915" s="82">
        <v>2.9</v>
      </c>
      <c r="M915" s="82">
        <v>2.1</v>
      </c>
      <c r="N915" s="82">
        <v>30.2</v>
      </c>
      <c r="O915" s="44">
        <f t="shared" si="43"/>
        <v>17.17227722772277</v>
      </c>
      <c r="P915">
        <f t="shared" si="45"/>
        <v>15.125</v>
      </c>
      <c r="Q915" s="111">
        <v>0.193</v>
      </c>
      <c r="R915">
        <v>0.38800000000000001</v>
      </c>
      <c r="S915" s="65">
        <v>14</v>
      </c>
      <c r="T915">
        <v>25</v>
      </c>
      <c r="U915" t="s">
        <v>31</v>
      </c>
      <c r="V915" t="s">
        <v>32</v>
      </c>
    </row>
    <row r="916" spans="1:23" x14ac:dyDescent="0.2">
      <c r="A916" s="5" t="s">
        <v>1069</v>
      </c>
      <c r="B916" s="6" t="s">
        <v>36</v>
      </c>
      <c r="C916" s="6" t="s">
        <v>28</v>
      </c>
      <c r="D916" s="65" t="str">
        <f t="shared" si="44"/>
        <v>083_O_a</v>
      </c>
      <c r="E916">
        <v>36</v>
      </c>
      <c r="F916" t="s">
        <v>70</v>
      </c>
      <c r="G916" t="s">
        <v>1072</v>
      </c>
      <c r="I916">
        <v>3.0892826053561402</v>
      </c>
      <c r="J916" s="82">
        <v>9.8000000000000007</v>
      </c>
      <c r="K916" s="82">
        <v>12.8</v>
      </c>
      <c r="L916" s="82">
        <v>25.7</v>
      </c>
      <c r="M916" s="82">
        <v>27.8</v>
      </c>
      <c r="N916" s="82">
        <v>32.6</v>
      </c>
      <c r="O916" s="44">
        <f t="shared" si="43"/>
        <v>4.2997371879106483</v>
      </c>
      <c r="P916">
        <f t="shared" si="45"/>
        <v>21.74</v>
      </c>
      <c r="Q916" s="111">
        <v>0.14199999999999999</v>
      </c>
      <c r="R916">
        <v>0.29899999999999999</v>
      </c>
      <c r="S916" s="65">
        <v>13</v>
      </c>
      <c r="T916">
        <v>25</v>
      </c>
      <c r="U916" t="s">
        <v>31</v>
      </c>
      <c r="V916" t="s">
        <v>32</v>
      </c>
    </row>
    <row r="917" spans="1:23" x14ac:dyDescent="0.2">
      <c r="A917" s="5" t="s">
        <v>1069</v>
      </c>
      <c r="B917" s="6" t="s">
        <v>27</v>
      </c>
      <c r="C917" s="6" t="s">
        <v>38</v>
      </c>
      <c r="D917" s="65" t="str">
        <f t="shared" si="44"/>
        <v>083_S_b</v>
      </c>
      <c r="E917">
        <v>49</v>
      </c>
      <c r="F917" t="s">
        <v>68</v>
      </c>
      <c r="G917" t="s">
        <v>1073</v>
      </c>
      <c r="I917">
        <v>2.7311988049296598</v>
      </c>
      <c r="J917" s="82">
        <v>44.8</v>
      </c>
      <c r="K917" s="82">
        <v>34.9</v>
      </c>
      <c r="L917" s="82">
        <v>41.1</v>
      </c>
      <c r="M917" s="82">
        <v>43.7</v>
      </c>
      <c r="N917" s="82">
        <v>38.6</v>
      </c>
      <c r="O917" s="44">
        <f t="shared" si="43"/>
        <v>0.47730496453900728</v>
      </c>
      <c r="P917">
        <f t="shared" si="45"/>
        <v>40.619999999999997</v>
      </c>
      <c r="Q917" s="111">
        <v>0.255</v>
      </c>
      <c r="R917">
        <v>0.443</v>
      </c>
      <c r="S917" s="65">
        <v>17</v>
      </c>
      <c r="T917" s="43">
        <v>28</v>
      </c>
      <c r="U917" t="s">
        <v>54</v>
      </c>
      <c r="V917" t="s">
        <v>32</v>
      </c>
    </row>
    <row r="918" spans="1:23" x14ac:dyDescent="0.2">
      <c r="A918" s="1" t="s">
        <v>1069</v>
      </c>
      <c r="B918" t="s">
        <v>33</v>
      </c>
      <c r="C918" t="s">
        <v>38</v>
      </c>
      <c r="D918" s="65" t="str">
        <f t="shared" si="44"/>
        <v>083_V_b</v>
      </c>
      <c r="E918">
        <v>52</v>
      </c>
      <c r="F918" t="s">
        <v>39</v>
      </c>
      <c r="G918" t="s">
        <v>1074</v>
      </c>
      <c r="I918">
        <v>3.23731632729171</v>
      </c>
      <c r="J918" s="82">
        <v>23.6</v>
      </c>
      <c r="K918" s="82">
        <v>8</v>
      </c>
      <c r="L918" s="82">
        <v>33.700000000000003</v>
      </c>
      <c r="M918" s="82">
        <v>13.8</v>
      </c>
      <c r="N918" s="82">
        <v>44.8</v>
      </c>
      <c r="O918" s="44">
        <f t="shared" si="43"/>
        <v>6.454066582385166</v>
      </c>
      <c r="P918">
        <f t="shared" si="45"/>
        <v>24.78</v>
      </c>
      <c r="Q918" s="111">
        <v>0.26</v>
      </c>
      <c r="R918">
        <v>0.54600000000000004</v>
      </c>
      <c r="S918" s="65">
        <v>23</v>
      </c>
      <c r="T918" s="43">
        <v>44</v>
      </c>
      <c r="U918" t="s">
        <v>31</v>
      </c>
      <c r="V918" t="s">
        <v>32</v>
      </c>
    </row>
    <row r="919" spans="1:23" x14ac:dyDescent="0.2">
      <c r="A919" s="5" t="s">
        <v>1069</v>
      </c>
      <c r="B919" s="6" t="s">
        <v>36</v>
      </c>
      <c r="C919" s="6" t="s">
        <v>38</v>
      </c>
      <c r="D919" s="65" t="str">
        <f t="shared" si="44"/>
        <v>083_O_b</v>
      </c>
      <c r="E919">
        <v>63</v>
      </c>
      <c r="F919" t="s">
        <v>70</v>
      </c>
      <c r="G919" t="s">
        <v>1075</v>
      </c>
      <c r="I919">
        <v>1.6881646139982001</v>
      </c>
      <c r="J919" s="82">
        <v>15</v>
      </c>
      <c r="K919" s="82">
        <v>18.7</v>
      </c>
      <c r="L919" s="82">
        <v>49.4</v>
      </c>
      <c r="M919" s="82">
        <v>33.200000000000003</v>
      </c>
      <c r="N919" s="82">
        <v>37.1</v>
      </c>
      <c r="O919" s="44">
        <f t="shared" si="43"/>
        <v>8.4364287761536296</v>
      </c>
      <c r="P919">
        <f t="shared" si="45"/>
        <v>30.68</v>
      </c>
      <c r="Q919" s="111">
        <v>0.11899999999999999</v>
      </c>
      <c r="R919">
        <v>0.26800000000000002</v>
      </c>
      <c r="S919" s="65">
        <v>19</v>
      </c>
      <c r="T919">
        <v>7</v>
      </c>
      <c r="U919" t="s">
        <v>31</v>
      </c>
      <c r="V919" t="s">
        <v>32</v>
      </c>
    </row>
    <row r="920" spans="1:23" x14ac:dyDescent="0.2">
      <c r="A920" s="5" t="s">
        <v>1069</v>
      </c>
      <c r="B920" s="6" t="s">
        <v>33</v>
      </c>
      <c r="C920" s="6" t="s">
        <v>45</v>
      </c>
      <c r="D920" s="65" t="str">
        <f t="shared" si="44"/>
        <v>083_V_c</v>
      </c>
      <c r="E920">
        <v>75</v>
      </c>
      <c r="F920" t="s">
        <v>41</v>
      </c>
      <c r="G920" t="s">
        <v>1076</v>
      </c>
      <c r="I920">
        <v>1.1167682926829301</v>
      </c>
      <c r="J920" s="82">
        <v>2.2999999999999998</v>
      </c>
      <c r="K920" s="82">
        <v>7.6</v>
      </c>
      <c r="L920" s="82">
        <v>15.3</v>
      </c>
      <c r="M920" s="82">
        <v>15.4</v>
      </c>
      <c r="N920" s="82">
        <v>19.899999999999999</v>
      </c>
      <c r="O920" s="44">
        <f t="shared" si="43"/>
        <v>4.013464696223318</v>
      </c>
      <c r="P920">
        <f t="shared" si="45"/>
        <v>12.1</v>
      </c>
      <c r="Q920" s="111">
        <v>5.2999999999999999E-2</v>
      </c>
      <c r="R920">
        <v>0.17899999999999999</v>
      </c>
      <c r="S920" s="65">
        <v>12</v>
      </c>
      <c r="T920">
        <v>52</v>
      </c>
      <c r="U920" t="s">
        <v>128</v>
      </c>
      <c r="V920" t="s">
        <v>32</v>
      </c>
    </row>
    <row r="921" spans="1:23" x14ac:dyDescent="0.2">
      <c r="A921" s="5" t="s">
        <v>1069</v>
      </c>
      <c r="B921" s="6" t="s">
        <v>27</v>
      </c>
      <c r="C921" s="6" t="s">
        <v>45</v>
      </c>
      <c r="D921" s="65" t="str">
        <f t="shared" si="44"/>
        <v>083_S_c</v>
      </c>
      <c r="E921">
        <v>85</v>
      </c>
      <c r="F921" t="s">
        <v>63</v>
      </c>
      <c r="G921" t="s">
        <v>1077</v>
      </c>
      <c r="I921">
        <v>0</v>
      </c>
      <c r="J921" s="82">
        <v>1.1000000000000001</v>
      </c>
      <c r="K921" s="82">
        <v>1</v>
      </c>
      <c r="L921" s="82">
        <v>1</v>
      </c>
      <c r="M921" s="82">
        <v>1</v>
      </c>
      <c r="N921" s="82">
        <v>1</v>
      </c>
      <c r="O921" s="44">
        <f t="shared" si="43"/>
        <v>2.4390243902439068E-3</v>
      </c>
      <c r="P921">
        <f t="shared" si="45"/>
        <v>1.02</v>
      </c>
      <c r="Q921" s="111" t="s">
        <v>57</v>
      </c>
      <c r="R921" s="6" t="s">
        <v>57</v>
      </c>
      <c r="S921" s="65" t="s">
        <v>57</v>
      </c>
      <c r="T921" s="6" t="s">
        <v>57</v>
      </c>
      <c r="U921" s="6" t="s">
        <v>57</v>
      </c>
      <c r="V921" t="s">
        <v>32</v>
      </c>
      <c r="W921" t="s">
        <v>517</v>
      </c>
    </row>
    <row r="922" spans="1:23" x14ac:dyDescent="0.2">
      <c r="A922" s="5" t="s">
        <v>1069</v>
      </c>
      <c r="B922" s="6" t="s">
        <v>36</v>
      </c>
      <c r="C922" s="6" t="s">
        <v>45</v>
      </c>
      <c r="D922" s="65" t="str">
        <f t="shared" si="44"/>
        <v>083_O_c</v>
      </c>
      <c r="E922">
        <v>93</v>
      </c>
      <c r="F922" t="s">
        <v>68</v>
      </c>
      <c r="G922" t="s">
        <v>1078</v>
      </c>
      <c r="I922">
        <v>2.83080106414425</v>
      </c>
      <c r="J922" s="82">
        <v>8.8000000000000007</v>
      </c>
      <c r="K922" s="82">
        <v>4.2</v>
      </c>
      <c r="L922" s="82">
        <v>18</v>
      </c>
      <c r="M922">
        <v>33.799999999999997</v>
      </c>
      <c r="N922" s="82">
        <v>33.1</v>
      </c>
      <c r="O922" s="44">
        <f t="shared" si="43"/>
        <v>10.530041152263376</v>
      </c>
      <c r="P922">
        <f t="shared" si="45"/>
        <v>19.580000000000002</v>
      </c>
      <c r="Q922" s="111">
        <v>0.11899999999999999</v>
      </c>
      <c r="R922">
        <v>0.29299999999999998</v>
      </c>
      <c r="S922" s="65">
        <v>13</v>
      </c>
      <c r="T922">
        <v>15</v>
      </c>
      <c r="U922" t="s">
        <v>31</v>
      </c>
      <c r="V922" t="s">
        <v>32</v>
      </c>
    </row>
    <row r="923" spans="1:23" x14ac:dyDescent="0.2">
      <c r="A923" s="5" t="s">
        <v>1069</v>
      </c>
      <c r="B923" s="6" t="s">
        <v>27</v>
      </c>
      <c r="C923" s="6" t="s">
        <v>52</v>
      </c>
      <c r="D923" s="65" t="str">
        <f t="shared" si="44"/>
        <v>083_S_d</v>
      </c>
      <c r="E923">
        <v>112</v>
      </c>
      <c r="F923" t="s">
        <v>39</v>
      </c>
      <c r="G923" t="s">
        <v>1079</v>
      </c>
      <c r="I923">
        <v>3.37320723644378</v>
      </c>
      <c r="J923" s="82">
        <v>36.5</v>
      </c>
      <c r="K923" s="82">
        <v>3.3</v>
      </c>
      <c r="L923" s="82">
        <v>24.5</v>
      </c>
      <c r="M923">
        <v>35.6</v>
      </c>
      <c r="N923" s="82">
        <v>29.6</v>
      </c>
      <c r="O923" s="44">
        <f t="shared" si="43"/>
        <v>9.5528528528528458</v>
      </c>
      <c r="P923">
        <f t="shared" si="45"/>
        <v>25.9</v>
      </c>
      <c r="Q923" s="111">
        <v>0.50700000000000001</v>
      </c>
      <c r="R923">
        <v>0.55300000000000005</v>
      </c>
      <c r="S923" s="65">
        <v>15</v>
      </c>
      <c r="T923">
        <v>22</v>
      </c>
      <c r="U923" t="s">
        <v>54</v>
      </c>
      <c r="V923" t="s">
        <v>32</v>
      </c>
    </row>
    <row r="924" spans="1:23" ht="16" x14ac:dyDescent="0.2">
      <c r="A924" s="5" t="s">
        <v>1069</v>
      </c>
      <c r="B924" s="6" t="s">
        <v>36</v>
      </c>
      <c r="C924" s="6" t="s">
        <v>52</v>
      </c>
      <c r="D924" s="65" t="str">
        <f t="shared" si="44"/>
        <v>083_O_d</v>
      </c>
      <c r="E924">
        <v>129</v>
      </c>
      <c r="F924" t="s">
        <v>49</v>
      </c>
      <c r="G924" t="s">
        <v>1080</v>
      </c>
      <c r="I924">
        <v>4.5345138567285002</v>
      </c>
      <c r="J924" s="82">
        <v>38</v>
      </c>
      <c r="K924" s="82">
        <v>37.1</v>
      </c>
      <c r="L924" s="84">
        <v>35.9</v>
      </c>
      <c r="M924">
        <v>33.299999999999997</v>
      </c>
      <c r="N924" s="82">
        <v>42.5</v>
      </c>
      <c r="O924" s="44">
        <f t="shared" si="43"/>
        <v>0.11538461538461554</v>
      </c>
      <c r="P924">
        <f t="shared" si="45"/>
        <v>37.36</v>
      </c>
      <c r="Q924" s="111">
        <v>0.64600000000000002</v>
      </c>
      <c r="R924">
        <v>0.61199999999999999</v>
      </c>
      <c r="S924" s="65">
        <v>18</v>
      </c>
      <c r="T924">
        <v>30</v>
      </c>
      <c r="U924" t="s">
        <v>47</v>
      </c>
      <c r="V924" t="s">
        <v>32</v>
      </c>
    </row>
    <row r="925" spans="1:23" ht="16" x14ac:dyDescent="0.2">
      <c r="A925" s="5" t="s">
        <v>1069</v>
      </c>
      <c r="B925" s="6" t="s">
        <v>33</v>
      </c>
      <c r="C925" s="6" t="s">
        <v>52</v>
      </c>
      <c r="D925" s="65" t="str">
        <f t="shared" si="44"/>
        <v>083_V_d</v>
      </c>
      <c r="E925">
        <v>130</v>
      </c>
      <c r="F925" t="s">
        <v>63</v>
      </c>
      <c r="G925" t="s">
        <v>1081</v>
      </c>
      <c r="I925">
        <v>2.9991150442477901</v>
      </c>
      <c r="J925" s="82">
        <v>27.6</v>
      </c>
      <c r="K925" s="82">
        <v>25.1</v>
      </c>
      <c r="L925" s="84">
        <v>36.799999999999997</v>
      </c>
      <c r="M925" s="43">
        <v>30.3</v>
      </c>
      <c r="N925" s="82">
        <v>39</v>
      </c>
      <c r="O925" s="44">
        <f t="shared" si="43"/>
        <v>0.84685587089594438</v>
      </c>
      <c r="P925">
        <f t="shared" si="45"/>
        <v>31.76</v>
      </c>
      <c r="Q925" s="111">
        <v>0.27800000000000002</v>
      </c>
      <c r="R925">
        <v>0.437</v>
      </c>
      <c r="S925" s="65">
        <v>11</v>
      </c>
      <c r="T925">
        <v>28</v>
      </c>
      <c r="U925" t="s">
        <v>47</v>
      </c>
      <c r="V925" t="s">
        <v>32</v>
      </c>
    </row>
    <row r="926" spans="1:23" ht="16" x14ac:dyDescent="0.2">
      <c r="A926" s="1" t="s">
        <v>1082</v>
      </c>
      <c r="B926" t="s">
        <v>27</v>
      </c>
      <c r="C926" t="s">
        <v>28</v>
      </c>
      <c r="D926" s="65" t="str">
        <f t="shared" si="44"/>
        <v>084_S_a</v>
      </c>
      <c r="E926">
        <v>9</v>
      </c>
      <c r="F926" t="s">
        <v>70</v>
      </c>
      <c r="G926" t="s">
        <v>1083</v>
      </c>
      <c r="I926">
        <v>5.4393264091963296</v>
      </c>
      <c r="J926" s="84">
        <v>7.4</v>
      </c>
      <c r="K926" s="82">
        <v>31.9</v>
      </c>
      <c r="L926" s="82">
        <v>10.3</v>
      </c>
      <c r="M926" s="82">
        <v>32.200000000000003</v>
      </c>
      <c r="N926" s="82">
        <v>14.6</v>
      </c>
      <c r="O926" s="44">
        <f t="shared" si="43"/>
        <v>8.8425427872860674</v>
      </c>
      <c r="P926">
        <f t="shared" si="45"/>
        <v>19.279999999999998</v>
      </c>
      <c r="Q926" s="111">
        <v>0.35099999999999998</v>
      </c>
      <c r="R926">
        <v>0.45900000000000002</v>
      </c>
      <c r="S926" s="65">
        <v>16</v>
      </c>
      <c r="T926" s="47">
        <v>27</v>
      </c>
      <c r="U926" t="s">
        <v>61</v>
      </c>
      <c r="V926" t="s">
        <v>32</v>
      </c>
    </row>
    <row r="927" spans="1:23" x14ac:dyDescent="0.2">
      <c r="A927" s="1" t="s">
        <v>1082</v>
      </c>
      <c r="B927" t="s">
        <v>33</v>
      </c>
      <c r="C927" t="s">
        <v>28</v>
      </c>
      <c r="D927" s="65" t="str">
        <f t="shared" si="44"/>
        <v>084_V_a</v>
      </c>
      <c r="E927">
        <v>31</v>
      </c>
      <c r="F927" t="s">
        <v>41</v>
      </c>
      <c r="G927" t="s">
        <v>1084</v>
      </c>
      <c r="I927">
        <v>1.39599977929817</v>
      </c>
      <c r="J927" s="82">
        <v>36.299999999999997</v>
      </c>
      <c r="K927" s="82">
        <v>7.4</v>
      </c>
      <c r="L927" s="82">
        <v>39.299999999999997</v>
      </c>
      <c r="M927" s="82">
        <v>40.5</v>
      </c>
      <c r="N927" s="82">
        <v>39</v>
      </c>
      <c r="O927" s="44">
        <f t="shared" si="43"/>
        <v>8.0337651821862313</v>
      </c>
      <c r="P927">
        <f t="shared" si="45"/>
        <v>32.5</v>
      </c>
      <c r="Q927" s="111">
        <v>0.112</v>
      </c>
      <c r="R927">
        <v>0.28799999999999998</v>
      </c>
      <c r="S927" s="65">
        <v>12</v>
      </c>
      <c r="T927">
        <v>25</v>
      </c>
      <c r="U927" t="s">
        <v>31</v>
      </c>
      <c r="V927" t="s">
        <v>32</v>
      </c>
    </row>
    <row r="928" spans="1:23" x14ac:dyDescent="0.2">
      <c r="A928" s="5" t="s">
        <v>1082</v>
      </c>
      <c r="B928" s="6" t="s">
        <v>36</v>
      </c>
      <c r="C928" s="6" t="s">
        <v>28</v>
      </c>
      <c r="D928" s="65" t="str">
        <f t="shared" si="44"/>
        <v>084_O_a</v>
      </c>
      <c r="E928">
        <v>32</v>
      </c>
      <c r="F928" t="s">
        <v>41</v>
      </c>
      <c r="G928" t="s">
        <v>1085</v>
      </c>
      <c r="I928">
        <v>1.4875831372147801</v>
      </c>
      <c r="J928" s="82">
        <v>31</v>
      </c>
      <c r="K928" s="82">
        <v>31.1</v>
      </c>
      <c r="L928" s="82">
        <v>36.200000000000003</v>
      </c>
      <c r="M928" s="82">
        <v>41</v>
      </c>
      <c r="N928" s="82">
        <v>34.4</v>
      </c>
      <c r="O928" s="44">
        <f t="shared" ref="O928:O991" si="46">VAR(J928:M928)/AVERAGE(J928:M928)</f>
        <v>0.65592246949030997</v>
      </c>
      <c r="P928">
        <f t="shared" si="45"/>
        <v>34.74</v>
      </c>
      <c r="Q928" s="111">
        <v>0.33200000000000002</v>
      </c>
      <c r="R928">
        <v>0.56599999999999995</v>
      </c>
      <c r="S928" s="65">
        <v>21</v>
      </c>
      <c r="T928">
        <v>12</v>
      </c>
      <c r="U928" t="s">
        <v>31</v>
      </c>
      <c r="V928" t="s">
        <v>32</v>
      </c>
    </row>
    <row r="929" spans="1:23" x14ac:dyDescent="0.2">
      <c r="A929" s="5" t="s">
        <v>1082</v>
      </c>
      <c r="B929" s="6" t="s">
        <v>27</v>
      </c>
      <c r="C929" s="6" t="s">
        <v>38</v>
      </c>
      <c r="D929" s="65" t="str">
        <f t="shared" si="44"/>
        <v>084_S_b</v>
      </c>
      <c r="E929">
        <v>45</v>
      </c>
      <c r="F929" t="s">
        <v>68</v>
      </c>
      <c r="G929" t="s">
        <v>1086</v>
      </c>
      <c r="I929">
        <v>2.3953435500168401</v>
      </c>
      <c r="J929" s="82">
        <v>35</v>
      </c>
      <c r="K929" s="82">
        <v>37.6</v>
      </c>
      <c r="L929" s="82">
        <v>35.799999999999997</v>
      </c>
      <c r="M929" s="82">
        <v>37.4</v>
      </c>
      <c r="N929" s="82">
        <v>45.5</v>
      </c>
      <c r="O929" s="44">
        <f t="shared" si="46"/>
        <v>4.3438500228623729E-2</v>
      </c>
      <c r="P929">
        <f t="shared" si="45"/>
        <v>38.26</v>
      </c>
      <c r="Q929" s="111">
        <v>0.253</v>
      </c>
      <c r="R929">
        <v>0.33200000000000002</v>
      </c>
      <c r="S929" s="65">
        <v>7</v>
      </c>
      <c r="T929" s="43">
        <v>43</v>
      </c>
      <c r="U929" t="s">
        <v>85</v>
      </c>
      <c r="V929" t="s">
        <v>32</v>
      </c>
    </row>
    <row r="930" spans="1:23" x14ac:dyDescent="0.2">
      <c r="A930" s="5" t="s">
        <v>1082</v>
      </c>
      <c r="B930" s="6" t="s">
        <v>36</v>
      </c>
      <c r="C930" s="6" t="s">
        <v>38</v>
      </c>
      <c r="D930" s="65" t="str">
        <f t="shared" si="44"/>
        <v>084_O_b</v>
      </c>
      <c r="E930">
        <v>47</v>
      </c>
      <c r="F930" t="s">
        <v>70</v>
      </c>
      <c r="G930" t="s">
        <v>1087</v>
      </c>
      <c r="I930">
        <v>1.81051149580079</v>
      </c>
      <c r="J930" s="82">
        <v>5.5</v>
      </c>
      <c r="K930" s="82">
        <v>14.6</v>
      </c>
      <c r="L930" s="82">
        <v>27.6</v>
      </c>
      <c r="M930" s="82">
        <v>18.7</v>
      </c>
      <c r="N930" s="82">
        <v>45.1</v>
      </c>
      <c r="O930" s="44">
        <f t="shared" si="46"/>
        <v>5.0726907630522069</v>
      </c>
      <c r="P930">
        <f t="shared" si="45"/>
        <v>22.3</v>
      </c>
      <c r="Q930" s="111">
        <v>0.26</v>
      </c>
      <c r="R930">
        <v>0.255</v>
      </c>
      <c r="S930" s="65">
        <v>11</v>
      </c>
      <c r="T930" s="43">
        <v>9</v>
      </c>
      <c r="U930" t="s">
        <v>54</v>
      </c>
      <c r="V930" t="s">
        <v>32</v>
      </c>
    </row>
    <row r="931" spans="1:23" x14ac:dyDescent="0.2">
      <c r="A931" s="1" t="s">
        <v>1082</v>
      </c>
      <c r="B931" t="s">
        <v>33</v>
      </c>
      <c r="C931" t="s">
        <v>38</v>
      </c>
      <c r="D931" s="65" t="str">
        <f t="shared" si="44"/>
        <v>084_V_b</v>
      </c>
      <c r="E931">
        <v>53</v>
      </c>
      <c r="F931" t="s">
        <v>41</v>
      </c>
      <c r="G931" t="s">
        <v>1088</v>
      </c>
      <c r="I931">
        <v>1.0209230769230799</v>
      </c>
      <c r="J931" s="82">
        <v>1.3</v>
      </c>
      <c r="K931" s="82">
        <v>1</v>
      </c>
      <c r="L931" s="82">
        <v>3.3</v>
      </c>
      <c r="M931" s="82">
        <v>10.7</v>
      </c>
      <c r="N931" s="82">
        <v>26.4</v>
      </c>
      <c r="O931" s="44">
        <f t="shared" si="46"/>
        <v>5.0427402862985717</v>
      </c>
      <c r="P931">
        <f t="shared" si="45"/>
        <v>8.5399999999999991</v>
      </c>
      <c r="Q931" s="111">
        <v>2.8000000000000001E-2</v>
      </c>
      <c r="R931">
        <v>0.104</v>
      </c>
      <c r="S931" s="65">
        <v>7</v>
      </c>
      <c r="T931">
        <v>10</v>
      </c>
      <c r="U931" t="s">
        <v>31</v>
      </c>
      <c r="V931" t="s">
        <v>32</v>
      </c>
    </row>
    <row r="932" spans="1:23" x14ac:dyDescent="0.2">
      <c r="A932" s="5" t="s">
        <v>1082</v>
      </c>
      <c r="B932" s="6" t="s">
        <v>33</v>
      </c>
      <c r="C932" s="6" t="s">
        <v>45</v>
      </c>
      <c r="D932" s="65" t="str">
        <f t="shared" si="44"/>
        <v>084_V_c</v>
      </c>
      <c r="E932">
        <v>86</v>
      </c>
      <c r="F932" t="s">
        <v>63</v>
      </c>
      <c r="G932" t="s">
        <v>1089</v>
      </c>
      <c r="I932">
        <v>1.3882460732984301</v>
      </c>
      <c r="J932" s="82">
        <v>1.2</v>
      </c>
      <c r="K932" s="82">
        <v>1</v>
      </c>
      <c r="L932" s="82">
        <v>24.6</v>
      </c>
      <c r="M932" s="82">
        <v>14.3</v>
      </c>
      <c r="N932" s="82">
        <v>29.2</v>
      </c>
      <c r="O932" s="44">
        <f t="shared" si="46"/>
        <v>12.645174371451747</v>
      </c>
      <c r="P932">
        <f t="shared" si="45"/>
        <v>14.059999999999999</v>
      </c>
      <c r="Q932" s="111">
        <v>0.156</v>
      </c>
      <c r="R932">
        <v>0.28499999999999998</v>
      </c>
      <c r="S932" s="65">
        <v>12</v>
      </c>
      <c r="T932">
        <v>51</v>
      </c>
      <c r="U932" t="s">
        <v>72</v>
      </c>
      <c r="V932" t="s">
        <v>32</v>
      </c>
    </row>
    <row r="933" spans="1:23" x14ac:dyDescent="0.2">
      <c r="A933" s="5" t="s">
        <v>1082</v>
      </c>
      <c r="B933" s="6" t="s">
        <v>27</v>
      </c>
      <c r="C933" s="6" t="s">
        <v>45</v>
      </c>
      <c r="D933" s="65" t="str">
        <f t="shared" si="44"/>
        <v>084_S_c</v>
      </c>
      <c r="E933">
        <v>95</v>
      </c>
      <c r="F933" t="s">
        <v>41</v>
      </c>
      <c r="G933" t="s">
        <v>1090</v>
      </c>
      <c r="I933">
        <v>0.43754899328859098</v>
      </c>
      <c r="J933" s="82">
        <v>15.9</v>
      </c>
      <c r="K933" s="82">
        <v>3.2</v>
      </c>
      <c r="L933" s="82">
        <v>28.7</v>
      </c>
      <c r="M933">
        <v>26.1</v>
      </c>
      <c r="N933" s="82">
        <v>16</v>
      </c>
      <c r="O933" s="44">
        <f t="shared" si="46"/>
        <v>7.2647271087054541</v>
      </c>
      <c r="P933">
        <f t="shared" si="45"/>
        <v>17.98</v>
      </c>
      <c r="Q933" s="111">
        <v>7.1999999999999995E-2</v>
      </c>
      <c r="R933">
        <v>0.222</v>
      </c>
      <c r="S933" s="65">
        <v>12</v>
      </c>
      <c r="T933">
        <v>16</v>
      </c>
      <c r="U933" t="s">
        <v>54</v>
      </c>
      <c r="V933" t="s">
        <v>32</v>
      </c>
    </row>
    <row r="934" spans="1:23" x14ac:dyDescent="0.2">
      <c r="A934" s="5" t="s">
        <v>1082</v>
      </c>
      <c r="B934" s="6" t="s">
        <v>36</v>
      </c>
      <c r="C934" s="6" t="s">
        <v>45</v>
      </c>
      <c r="D934" s="65" t="str">
        <f t="shared" si="44"/>
        <v>084_O_c</v>
      </c>
      <c r="E934">
        <v>105</v>
      </c>
      <c r="F934" t="s">
        <v>29</v>
      </c>
      <c r="G934" t="s">
        <v>1091</v>
      </c>
      <c r="I934">
        <v>3.60543762366563</v>
      </c>
      <c r="J934" s="82">
        <v>20.8</v>
      </c>
      <c r="K934" s="82">
        <v>12.2</v>
      </c>
      <c r="L934" s="82">
        <v>21.1</v>
      </c>
      <c r="M934">
        <v>23.9</v>
      </c>
      <c r="N934" s="82">
        <v>24.3</v>
      </c>
      <c r="O934" s="44">
        <f t="shared" si="46"/>
        <v>1.3145299145299161</v>
      </c>
      <c r="P934">
        <f t="shared" si="45"/>
        <v>20.46</v>
      </c>
      <c r="Q934" s="111">
        <v>0.19600000000000001</v>
      </c>
      <c r="R934">
        <v>0.32700000000000001</v>
      </c>
      <c r="S934" s="65">
        <v>12</v>
      </c>
      <c r="T934">
        <v>76</v>
      </c>
      <c r="U934" t="s">
        <v>72</v>
      </c>
      <c r="V934" t="s">
        <v>32</v>
      </c>
    </row>
    <row r="935" spans="1:23" x14ac:dyDescent="0.2">
      <c r="A935" s="5" t="s">
        <v>1082</v>
      </c>
      <c r="B935" s="6" t="s">
        <v>36</v>
      </c>
      <c r="C935" s="6" t="s">
        <v>52</v>
      </c>
      <c r="D935" s="65" t="str">
        <f t="shared" si="44"/>
        <v>084_O_d</v>
      </c>
      <c r="E935">
        <v>111</v>
      </c>
      <c r="F935" t="s">
        <v>43</v>
      </c>
      <c r="G935" t="s">
        <v>1092</v>
      </c>
      <c r="I935">
        <v>2.8583186855177698</v>
      </c>
      <c r="J935" s="82">
        <v>24.2</v>
      </c>
      <c r="K935" s="82">
        <v>25.1</v>
      </c>
      <c r="L935" s="82">
        <v>21.6</v>
      </c>
      <c r="M935">
        <v>24</v>
      </c>
      <c r="N935" s="82">
        <v>27</v>
      </c>
      <c r="O935" s="44">
        <f t="shared" si="46"/>
        <v>9.4239550403933919E-2</v>
      </c>
      <c r="P935">
        <f t="shared" si="45"/>
        <v>24.380000000000003</v>
      </c>
      <c r="Q935" s="111">
        <v>0.441</v>
      </c>
      <c r="R935">
        <v>0.57199999999999995</v>
      </c>
      <c r="S935" s="65">
        <v>22</v>
      </c>
      <c r="T935">
        <v>25</v>
      </c>
      <c r="U935" t="s">
        <v>54</v>
      </c>
      <c r="V935" t="s">
        <v>32</v>
      </c>
    </row>
    <row r="936" spans="1:23" x14ac:dyDescent="0.2">
      <c r="A936" s="5" t="s">
        <v>1082</v>
      </c>
      <c r="B936" s="6" t="s">
        <v>33</v>
      </c>
      <c r="C936" s="6" t="s">
        <v>52</v>
      </c>
      <c r="D936" s="65" t="str">
        <f t="shared" si="44"/>
        <v>084_V_d</v>
      </c>
      <c r="E936">
        <v>112</v>
      </c>
      <c r="F936" t="s">
        <v>43</v>
      </c>
      <c r="G936" t="s">
        <v>1093</v>
      </c>
      <c r="I936">
        <v>2.3745198711583599</v>
      </c>
      <c r="J936" s="82">
        <v>32.799999999999997</v>
      </c>
      <c r="K936" s="82">
        <v>30.1</v>
      </c>
      <c r="L936" s="82">
        <v>21.3</v>
      </c>
      <c r="M936">
        <v>18.7</v>
      </c>
      <c r="N936" s="82">
        <v>33.700000000000003</v>
      </c>
      <c r="O936" s="44">
        <f t="shared" si="46"/>
        <v>1.7897959183673418</v>
      </c>
      <c r="P936">
        <f t="shared" si="45"/>
        <v>27.320000000000004</v>
      </c>
      <c r="Q936" s="111">
        <v>0.42899999999999999</v>
      </c>
      <c r="R936">
        <v>0.5</v>
      </c>
      <c r="S936" s="65">
        <v>12</v>
      </c>
      <c r="T936">
        <v>21</v>
      </c>
      <c r="U936" t="s">
        <v>54</v>
      </c>
      <c r="V936" t="s">
        <v>32</v>
      </c>
    </row>
    <row r="937" spans="1:23" ht="16" x14ac:dyDescent="0.2">
      <c r="A937" s="5" t="s">
        <v>1082</v>
      </c>
      <c r="B937" s="6" t="s">
        <v>27</v>
      </c>
      <c r="C937" s="6" t="s">
        <v>52</v>
      </c>
      <c r="D937" s="65" t="str">
        <f t="shared" si="44"/>
        <v>084_S_d</v>
      </c>
      <c r="E937">
        <v>136</v>
      </c>
      <c r="F937" t="s">
        <v>34</v>
      </c>
      <c r="G937" t="s">
        <v>1094</v>
      </c>
      <c r="H937" t="s">
        <v>56</v>
      </c>
      <c r="I937">
        <v>0</v>
      </c>
      <c r="J937" s="82">
        <v>1.1000000000000001</v>
      </c>
      <c r="K937" s="82">
        <v>1</v>
      </c>
      <c r="L937" s="84">
        <v>1</v>
      </c>
      <c r="M937" s="82">
        <v>1</v>
      </c>
      <c r="N937" s="82">
        <v>0.9</v>
      </c>
      <c r="O937" s="44">
        <f t="shared" si="46"/>
        <v>2.4390243902439068E-3</v>
      </c>
      <c r="P937">
        <f t="shared" si="45"/>
        <v>1</v>
      </c>
      <c r="Q937" s="111" t="s">
        <v>57</v>
      </c>
      <c r="R937" t="s">
        <v>57</v>
      </c>
      <c r="S937" s="65" t="s">
        <v>57</v>
      </c>
      <c r="T937" t="s">
        <v>57</v>
      </c>
      <c r="V937" t="s">
        <v>32</v>
      </c>
      <c r="W937" t="s">
        <v>67</v>
      </c>
    </row>
    <row r="938" spans="1:23" ht="16" x14ac:dyDescent="0.2">
      <c r="A938" s="5" t="s">
        <v>1095</v>
      </c>
      <c r="B938" s="6" t="s">
        <v>36</v>
      </c>
      <c r="C938" s="6" t="s">
        <v>28</v>
      </c>
      <c r="D938" s="65" t="str">
        <f t="shared" si="44"/>
        <v>085_O_a</v>
      </c>
      <c r="E938">
        <v>10</v>
      </c>
      <c r="F938" t="s">
        <v>34</v>
      </c>
      <c r="G938" t="s">
        <v>1096</v>
      </c>
      <c r="I938">
        <v>2.7271101992965998</v>
      </c>
      <c r="J938" s="84">
        <v>4.2</v>
      </c>
      <c r="K938" s="82">
        <v>24</v>
      </c>
      <c r="L938" s="82">
        <v>28.5</v>
      </c>
      <c r="M938" s="82">
        <v>31.5</v>
      </c>
      <c r="N938" s="82">
        <v>36.6</v>
      </c>
      <c r="O938" s="44">
        <f t="shared" si="46"/>
        <v>6.8530612244897915</v>
      </c>
      <c r="P938">
        <f t="shared" si="45"/>
        <v>24.96</v>
      </c>
      <c r="Q938" s="111">
        <v>0.24</v>
      </c>
      <c r="R938">
        <v>0.41499999999999998</v>
      </c>
      <c r="S938" s="65">
        <v>8</v>
      </c>
      <c r="T938">
        <v>4</v>
      </c>
      <c r="U938" t="s">
        <v>31</v>
      </c>
      <c r="V938" t="s">
        <v>32</v>
      </c>
    </row>
    <row r="939" spans="1:23" ht="16" x14ac:dyDescent="0.2">
      <c r="A939" s="5" t="s">
        <v>1095</v>
      </c>
      <c r="B939" s="6" t="s">
        <v>33</v>
      </c>
      <c r="C939" s="6" t="s">
        <v>28</v>
      </c>
      <c r="D939" s="65" t="str">
        <f t="shared" si="44"/>
        <v>085_V_a</v>
      </c>
      <c r="E939">
        <v>10</v>
      </c>
      <c r="F939" t="s">
        <v>43</v>
      </c>
      <c r="G939" t="s">
        <v>1097</v>
      </c>
      <c r="I939">
        <v>2.4939405041031701</v>
      </c>
      <c r="J939" s="84">
        <v>13.1</v>
      </c>
      <c r="K939" s="82">
        <v>29.5</v>
      </c>
      <c r="L939" s="82">
        <v>26</v>
      </c>
      <c r="M939" s="82">
        <v>9</v>
      </c>
      <c r="N939" s="82">
        <v>30</v>
      </c>
      <c r="O939" s="44">
        <f t="shared" si="46"/>
        <v>5.0415807560137473</v>
      </c>
      <c r="P939">
        <f t="shared" si="45"/>
        <v>21.52</v>
      </c>
      <c r="Q939" s="111">
        <v>0.185</v>
      </c>
      <c r="R939">
        <v>0.28999999999999998</v>
      </c>
      <c r="S939" s="65">
        <v>10</v>
      </c>
      <c r="T939" s="47">
        <v>41</v>
      </c>
      <c r="U939" t="s">
        <v>31</v>
      </c>
      <c r="V939" t="s">
        <v>32</v>
      </c>
    </row>
    <row r="940" spans="1:23" x14ac:dyDescent="0.2">
      <c r="A940" s="5" t="s">
        <v>1095</v>
      </c>
      <c r="B940" s="6" t="s">
        <v>27</v>
      </c>
      <c r="C940" s="6" t="s">
        <v>28</v>
      </c>
      <c r="D940" s="65" t="str">
        <f t="shared" si="44"/>
        <v>085_S_a</v>
      </c>
      <c r="E940">
        <v>24</v>
      </c>
      <c r="F940" t="s">
        <v>68</v>
      </c>
      <c r="G940" t="s">
        <v>1098</v>
      </c>
      <c r="I940">
        <v>7.3744616628486703</v>
      </c>
      <c r="J940" s="43">
        <v>4.7</v>
      </c>
      <c r="K940" s="82">
        <v>11.2</v>
      </c>
      <c r="L940" s="82">
        <v>28.6</v>
      </c>
      <c r="M940" s="82">
        <v>12.4</v>
      </c>
      <c r="N940" s="82">
        <v>31.1</v>
      </c>
      <c r="O940" s="44">
        <f t="shared" si="46"/>
        <v>7.260632688927946</v>
      </c>
      <c r="P940">
        <f t="shared" si="45"/>
        <v>17.600000000000001</v>
      </c>
      <c r="Q940" s="111">
        <v>0.443</v>
      </c>
      <c r="R940">
        <v>0.56699999999999995</v>
      </c>
      <c r="S940" s="65">
        <v>17</v>
      </c>
      <c r="T940" s="43">
        <v>80</v>
      </c>
      <c r="U940" t="s">
        <v>51</v>
      </c>
      <c r="V940" t="s">
        <v>32</v>
      </c>
    </row>
    <row r="941" spans="1:23" x14ac:dyDescent="0.2">
      <c r="A941" s="1" t="s">
        <v>1095</v>
      </c>
      <c r="B941" t="s">
        <v>33</v>
      </c>
      <c r="C941" t="s">
        <v>38</v>
      </c>
      <c r="D941" s="65" t="str">
        <f t="shared" si="44"/>
        <v>085_V_b</v>
      </c>
      <c r="E941">
        <v>40</v>
      </c>
      <c r="F941" t="s">
        <v>39</v>
      </c>
      <c r="G941" t="s">
        <v>1099</v>
      </c>
      <c r="I941">
        <v>2.4938071853191999</v>
      </c>
      <c r="J941" s="82">
        <v>14.8</v>
      </c>
      <c r="K941" s="82">
        <v>25.4</v>
      </c>
      <c r="L941" s="82">
        <v>24.6</v>
      </c>
      <c r="M941" s="82">
        <v>6.4</v>
      </c>
      <c r="N941" s="82">
        <v>6.5</v>
      </c>
      <c r="O941" s="44">
        <f t="shared" si="46"/>
        <v>4.549812734082388</v>
      </c>
      <c r="P941">
        <f t="shared" si="45"/>
        <v>15.540000000000003</v>
      </c>
      <c r="Q941" s="111">
        <v>0.185</v>
      </c>
      <c r="R941">
        <v>0.34300000000000003</v>
      </c>
      <c r="S941" s="65">
        <v>23</v>
      </c>
      <c r="T941">
        <v>17</v>
      </c>
      <c r="U941" t="s">
        <v>31</v>
      </c>
      <c r="V941" t="s">
        <v>32</v>
      </c>
    </row>
    <row r="942" spans="1:23" x14ac:dyDescent="0.2">
      <c r="A942" s="5" t="s">
        <v>1095</v>
      </c>
      <c r="B942" s="6" t="s">
        <v>27</v>
      </c>
      <c r="C942" s="6" t="s">
        <v>38</v>
      </c>
      <c r="D942" s="65" t="str">
        <f t="shared" si="44"/>
        <v>085_S_b</v>
      </c>
      <c r="E942">
        <v>48</v>
      </c>
      <c r="F942" t="s">
        <v>70</v>
      </c>
      <c r="G942" t="s">
        <v>1100</v>
      </c>
      <c r="I942">
        <v>3.8981608255849598</v>
      </c>
      <c r="J942" s="82">
        <v>7.6</v>
      </c>
      <c r="K942" s="82">
        <v>22.2</v>
      </c>
      <c r="L942" s="82">
        <v>10.1</v>
      </c>
      <c r="M942" s="82">
        <v>11.8</v>
      </c>
      <c r="N942" s="82">
        <v>43.1</v>
      </c>
      <c r="O942" s="44">
        <f t="shared" si="46"/>
        <v>3.1883301096067038</v>
      </c>
      <c r="P942">
        <f t="shared" si="45"/>
        <v>18.96</v>
      </c>
      <c r="Q942" s="111">
        <v>0.307</v>
      </c>
      <c r="R942">
        <v>0.43099999999999999</v>
      </c>
      <c r="S942" s="65">
        <v>19</v>
      </c>
      <c r="T942" s="43">
        <v>25</v>
      </c>
      <c r="U942" t="s">
        <v>31</v>
      </c>
      <c r="V942" t="s">
        <v>32</v>
      </c>
    </row>
    <row r="943" spans="1:23" x14ac:dyDescent="0.2">
      <c r="A943" s="5" t="s">
        <v>1095</v>
      </c>
      <c r="B943" s="6" t="s">
        <v>36</v>
      </c>
      <c r="C943" s="6" t="s">
        <v>38</v>
      </c>
      <c r="D943" s="65" t="str">
        <f t="shared" si="44"/>
        <v>085_O_b</v>
      </c>
      <c r="E943">
        <v>51</v>
      </c>
      <c r="F943" t="s">
        <v>49</v>
      </c>
      <c r="G943" t="s">
        <v>1101</v>
      </c>
      <c r="I943">
        <v>3.2586212191002599</v>
      </c>
      <c r="J943" s="82">
        <v>41.1</v>
      </c>
      <c r="K943" s="82">
        <v>34.9</v>
      </c>
      <c r="L943" s="82">
        <v>36.799999999999997</v>
      </c>
      <c r="M943" s="82">
        <v>36.1</v>
      </c>
      <c r="N943" s="82">
        <v>41.2</v>
      </c>
      <c r="O943" s="44">
        <f t="shared" si="46"/>
        <v>0.19581374524289247</v>
      </c>
      <c r="P943">
        <f t="shared" si="45"/>
        <v>38.020000000000003</v>
      </c>
      <c r="Q943" s="111">
        <v>0.314</v>
      </c>
      <c r="R943">
        <v>0.495</v>
      </c>
      <c r="S943" s="65">
        <v>14</v>
      </c>
      <c r="T943" s="43">
        <v>48</v>
      </c>
      <c r="U943" t="s">
        <v>54</v>
      </c>
      <c r="V943" t="s">
        <v>32</v>
      </c>
    </row>
    <row r="944" spans="1:23" x14ac:dyDescent="0.2">
      <c r="A944" s="5" t="s">
        <v>1095</v>
      </c>
      <c r="B944" s="6" t="s">
        <v>33</v>
      </c>
      <c r="C944" s="6" t="s">
        <v>45</v>
      </c>
      <c r="D944" s="65" t="str">
        <f t="shared" si="44"/>
        <v>085_V_c</v>
      </c>
      <c r="E944">
        <v>85</v>
      </c>
      <c r="F944" t="s">
        <v>43</v>
      </c>
      <c r="G944" t="s">
        <v>1102</v>
      </c>
      <c r="I944">
        <v>1.6906827184120301</v>
      </c>
      <c r="J944" s="82">
        <v>16.100000000000001</v>
      </c>
      <c r="K944" s="82">
        <v>27.6</v>
      </c>
      <c r="L944" s="82">
        <v>40.5</v>
      </c>
      <c r="M944" s="82">
        <v>4.0999999999999996</v>
      </c>
      <c r="N944" s="82">
        <v>37.6</v>
      </c>
      <c r="O944" s="44">
        <f t="shared" si="46"/>
        <v>11.005020762551911</v>
      </c>
      <c r="P944">
        <f t="shared" si="45"/>
        <v>25.18</v>
      </c>
      <c r="Q944" s="111">
        <v>0.105</v>
      </c>
      <c r="R944">
        <v>0.14799999999999999</v>
      </c>
      <c r="S944" s="65">
        <v>14</v>
      </c>
      <c r="T944">
        <v>37</v>
      </c>
      <c r="U944" t="s">
        <v>72</v>
      </c>
      <c r="V944" t="s">
        <v>32</v>
      </c>
    </row>
    <row r="945" spans="1:23" x14ac:dyDescent="0.2">
      <c r="A945" s="5" t="s">
        <v>1095</v>
      </c>
      <c r="B945" s="6" t="s">
        <v>27</v>
      </c>
      <c r="C945" s="6" t="s">
        <v>45</v>
      </c>
      <c r="D945" s="65" t="str">
        <f t="shared" si="44"/>
        <v>085_S_c</v>
      </c>
      <c r="E945">
        <v>92</v>
      </c>
      <c r="F945" t="s">
        <v>70</v>
      </c>
      <c r="G945" t="s">
        <v>1103</v>
      </c>
      <c r="I945">
        <v>3.7057879485845899</v>
      </c>
      <c r="J945" s="82">
        <v>25.1</v>
      </c>
      <c r="K945" s="82">
        <v>27.9</v>
      </c>
      <c r="L945" s="82">
        <v>33.5</v>
      </c>
      <c r="M945">
        <v>29.5</v>
      </c>
      <c r="N945" s="82">
        <v>34.299999999999997</v>
      </c>
      <c r="O945" s="44">
        <f t="shared" si="46"/>
        <v>0.4243678160919549</v>
      </c>
      <c r="P945">
        <f t="shared" si="45"/>
        <v>30.060000000000002</v>
      </c>
      <c r="Q945" s="111">
        <v>0.376</v>
      </c>
      <c r="R945">
        <v>0.41399999999999998</v>
      </c>
      <c r="S945" s="65">
        <v>9</v>
      </c>
      <c r="T945">
        <v>21</v>
      </c>
      <c r="U945" t="s">
        <v>54</v>
      </c>
      <c r="V945" t="s">
        <v>32</v>
      </c>
    </row>
    <row r="946" spans="1:23" x14ac:dyDescent="0.2">
      <c r="A946" s="5" t="s">
        <v>1095</v>
      </c>
      <c r="B946" s="6" t="s">
        <v>36</v>
      </c>
      <c r="C946" s="6" t="s">
        <v>45</v>
      </c>
      <c r="D946" s="65" t="str">
        <f t="shared" si="44"/>
        <v>085_O_c</v>
      </c>
      <c r="E946">
        <v>106</v>
      </c>
      <c r="F946" t="s">
        <v>43</v>
      </c>
      <c r="G946" t="s">
        <v>1104</v>
      </c>
      <c r="I946">
        <v>4.76200380991608</v>
      </c>
      <c r="J946" s="82">
        <v>23.5</v>
      </c>
      <c r="K946" s="82">
        <v>25.1</v>
      </c>
      <c r="L946" s="82">
        <v>35.5</v>
      </c>
      <c r="M946">
        <v>33.200000000000003</v>
      </c>
      <c r="N946" s="82">
        <v>38.299999999999997</v>
      </c>
      <c r="O946" s="44">
        <f t="shared" si="46"/>
        <v>1.1926967888604796</v>
      </c>
      <c r="P946">
        <f t="shared" si="45"/>
        <v>31.119999999999997</v>
      </c>
      <c r="Q946" s="111">
        <v>0.35</v>
      </c>
      <c r="R946">
        <v>0.53200000000000003</v>
      </c>
      <c r="S946" s="65">
        <v>17</v>
      </c>
      <c r="T946">
        <v>72</v>
      </c>
      <c r="U946" t="s">
        <v>72</v>
      </c>
      <c r="V946" t="s">
        <v>32</v>
      </c>
    </row>
    <row r="947" spans="1:23" x14ac:dyDescent="0.2">
      <c r="A947" s="5" t="s">
        <v>1095</v>
      </c>
      <c r="B947" s="6" t="s">
        <v>33</v>
      </c>
      <c r="C947" s="6" t="s">
        <v>52</v>
      </c>
      <c r="D947" s="65" t="str">
        <f t="shared" si="44"/>
        <v>085_V_d</v>
      </c>
      <c r="E947">
        <v>117</v>
      </c>
      <c r="F947" t="s">
        <v>68</v>
      </c>
      <c r="G947" t="s">
        <v>1105</v>
      </c>
      <c r="I947">
        <v>0.64548074219848195</v>
      </c>
      <c r="J947" s="82">
        <v>1.9</v>
      </c>
      <c r="K947" s="82">
        <v>1.3</v>
      </c>
      <c r="L947" s="82">
        <v>1.2</v>
      </c>
      <c r="M947">
        <v>4.0999999999999996</v>
      </c>
      <c r="N947" s="82">
        <v>3.3</v>
      </c>
      <c r="O947" s="44">
        <f t="shared" si="46"/>
        <v>0.8607843137254898</v>
      </c>
      <c r="P947">
        <f t="shared" si="45"/>
        <v>2.3600000000000003</v>
      </c>
      <c r="Q947" s="111">
        <v>2.8000000000000001E-2</v>
      </c>
      <c r="R947">
        <v>0.06</v>
      </c>
      <c r="S947" s="65">
        <v>3</v>
      </c>
      <c r="T947">
        <v>53</v>
      </c>
      <c r="U947" t="s">
        <v>72</v>
      </c>
      <c r="V947" t="s">
        <v>32</v>
      </c>
    </row>
    <row r="948" spans="1:23" ht="16" x14ac:dyDescent="0.2">
      <c r="A948" s="5" t="s">
        <v>1095</v>
      </c>
      <c r="B948" s="6" t="s">
        <v>36</v>
      </c>
      <c r="C948" s="6" t="s">
        <v>52</v>
      </c>
      <c r="D948" s="65" t="str">
        <f t="shared" si="44"/>
        <v>085_O_d</v>
      </c>
      <c r="E948">
        <v>126</v>
      </c>
      <c r="F948" t="s">
        <v>68</v>
      </c>
      <c r="G948" t="s">
        <v>1106</v>
      </c>
      <c r="I948">
        <v>2.61149752318049</v>
      </c>
      <c r="J948" s="82">
        <v>30.4</v>
      </c>
      <c r="K948" s="82">
        <v>31.3</v>
      </c>
      <c r="L948" s="84">
        <v>41.1</v>
      </c>
      <c r="M948">
        <v>43</v>
      </c>
      <c r="N948" s="82">
        <v>57</v>
      </c>
      <c r="O948" s="44">
        <f t="shared" si="46"/>
        <v>1.1673525377228964</v>
      </c>
      <c r="P948">
        <f t="shared" si="45"/>
        <v>40.56</v>
      </c>
      <c r="Q948" s="111">
        <v>0.13500000000000001</v>
      </c>
      <c r="R948">
        <v>0.43099999999999999</v>
      </c>
      <c r="S948" s="65">
        <v>35</v>
      </c>
      <c r="T948">
        <v>42</v>
      </c>
      <c r="U948" t="s">
        <v>51</v>
      </c>
      <c r="V948" t="s">
        <v>32</v>
      </c>
    </row>
    <row r="949" spans="1:23" ht="16" x14ac:dyDescent="0.2">
      <c r="A949" s="5" t="s">
        <v>1095</v>
      </c>
      <c r="B949" s="6" t="s">
        <v>27</v>
      </c>
      <c r="C949" s="6" t="s">
        <v>52</v>
      </c>
      <c r="D949" s="65" t="str">
        <f t="shared" si="44"/>
        <v>085_S_d</v>
      </c>
      <c r="E949">
        <v>142</v>
      </c>
      <c r="F949" t="s">
        <v>63</v>
      </c>
      <c r="G949" t="s">
        <v>1107</v>
      </c>
      <c r="H949" t="s">
        <v>56</v>
      </c>
      <c r="I949">
        <v>1.3358590575229099</v>
      </c>
      <c r="J949" s="82">
        <v>1.1000000000000001</v>
      </c>
      <c r="K949" s="82">
        <v>1</v>
      </c>
      <c r="L949" s="84">
        <v>1</v>
      </c>
      <c r="M949" s="82">
        <v>1</v>
      </c>
      <c r="N949" s="82">
        <v>1</v>
      </c>
      <c r="O949" s="44">
        <f t="shared" si="46"/>
        <v>2.4390243902439068E-3</v>
      </c>
      <c r="P949">
        <f t="shared" si="45"/>
        <v>1.02</v>
      </c>
      <c r="Q949" s="111" t="s">
        <v>57</v>
      </c>
      <c r="R949" t="s">
        <v>57</v>
      </c>
      <c r="S949" s="65" t="s">
        <v>57</v>
      </c>
      <c r="T949" t="s">
        <v>57</v>
      </c>
      <c r="V949" t="s">
        <v>32</v>
      </c>
      <c r="W949" t="s">
        <v>67</v>
      </c>
    </row>
    <row r="950" spans="1:23" ht="16" x14ac:dyDescent="0.2">
      <c r="A950" s="1" t="s">
        <v>1108</v>
      </c>
      <c r="B950" t="s">
        <v>33</v>
      </c>
      <c r="C950" t="s">
        <v>28</v>
      </c>
      <c r="D950" s="65" t="str">
        <f t="shared" si="44"/>
        <v>086_V_a</v>
      </c>
      <c r="E950">
        <v>7</v>
      </c>
      <c r="F950" t="s">
        <v>49</v>
      </c>
      <c r="G950" t="s">
        <v>1109</v>
      </c>
      <c r="I950">
        <v>3.6840566176832001</v>
      </c>
      <c r="J950" s="84">
        <v>29.8</v>
      </c>
      <c r="K950" s="82">
        <v>31.1</v>
      </c>
      <c r="L950" s="82">
        <v>33.1</v>
      </c>
      <c r="M950" s="82">
        <v>8.9</v>
      </c>
      <c r="N950" s="82">
        <v>32.4</v>
      </c>
      <c r="O950" s="44">
        <f t="shared" si="46"/>
        <v>4.9623258827340422</v>
      </c>
      <c r="P950">
        <f t="shared" si="45"/>
        <v>27.060000000000002</v>
      </c>
      <c r="Q950" s="111">
        <v>0.13500000000000001</v>
      </c>
      <c r="R950">
        <v>0.254</v>
      </c>
      <c r="S950" s="65">
        <v>5</v>
      </c>
      <c r="T950">
        <v>35</v>
      </c>
      <c r="U950" t="s">
        <v>31</v>
      </c>
      <c r="V950" t="s">
        <v>32</v>
      </c>
    </row>
    <row r="951" spans="1:23" ht="16" x14ac:dyDescent="0.2">
      <c r="A951" s="45" t="s">
        <v>1108</v>
      </c>
      <c r="B951" s="46" t="s">
        <v>27</v>
      </c>
      <c r="C951" s="46" t="s">
        <v>28</v>
      </c>
      <c r="D951" s="67" t="str">
        <f t="shared" si="44"/>
        <v>086_S_a</v>
      </c>
      <c r="E951" s="47">
        <v>17</v>
      </c>
      <c r="F951" s="47" t="s">
        <v>43</v>
      </c>
      <c r="G951" s="47" t="s">
        <v>1110</v>
      </c>
      <c r="H951" s="47"/>
      <c r="I951">
        <v>4.3279641729682101</v>
      </c>
      <c r="J951" s="84">
        <v>3.5</v>
      </c>
      <c r="K951" s="97">
        <v>13.6</v>
      </c>
      <c r="L951" s="82">
        <v>55</v>
      </c>
      <c r="M951" s="82">
        <v>38.299999999999997</v>
      </c>
      <c r="N951" s="82">
        <v>46.7</v>
      </c>
      <c r="O951" s="48">
        <f t="shared" si="46"/>
        <v>19.831642512077305</v>
      </c>
      <c r="P951">
        <f t="shared" si="45"/>
        <v>31.419999999999998</v>
      </c>
      <c r="Q951" s="113">
        <v>0.502</v>
      </c>
      <c r="R951" s="47">
        <v>0.45200000000000001</v>
      </c>
      <c r="S951" s="67">
        <v>11</v>
      </c>
      <c r="T951" s="47">
        <v>11</v>
      </c>
      <c r="U951" s="47" t="s">
        <v>72</v>
      </c>
      <c r="V951" t="s">
        <v>32</v>
      </c>
      <c r="W951" s="47"/>
    </row>
    <row r="952" spans="1:23" x14ac:dyDescent="0.2">
      <c r="A952" s="5" t="s">
        <v>1108</v>
      </c>
      <c r="B952" s="6" t="s">
        <v>36</v>
      </c>
      <c r="C952" s="6" t="s">
        <v>28</v>
      </c>
      <c r="D952" s="65" t="str">
        <f t="shared" si="44"/>
        <v>086_O_a</v>
      </c>
      <c r="E952">
        <v>26</v>
      </c>
      <c r="F952" t="s">
        <v>43</v>
      </c>
      <c r="G952" t="s">
        <v>1111</v>
      </c>
      <c r="I952">
        <v>4.43498574248739</v>
      </c>
      <c r="J952" s="82">
        <v>18.2</v>
      </c>
      <c r="K952" t="s">
        <v>57</v>
      </c>
      <c r="L952" s="82">
        <v>47.5</v>
      </c>
      <c r="M952" s="82">
        <v>40.799999999999997</v>
      </c>
      <c r="N952" s="82">
        <v>36.200000000000003</v>
      </c>
      <c r="O952" s="44">
        <f t="shared" si="46"/>
        <v>6.6391549295774537</v>
      </c>
      <c r="P952">
        <f t="shared" si="45"/>
        <v>35.674999999999997</v>
      </c>
      <c r="Q952" s="111">
        <v>0.28899999999999998</v>
      </c>
      <c r="R952">
        <v>0.436</v>
      </c>
      <c r="S952" s="65">
        <v>13</v>
      </c>
      <c r="T952">
        <v>2</v>
      </c>
      <c r="U952" t="s">
        <v>31</v>
      </c>
      <c r="V952" t="s">
        <v>32</v>
      </c>
    </row>
    <row r="953" spans="1:23" x14ac:dyDescent="0.2">
      <c r="A953" s="5" t="s">
        <v>1108</v>
      </c>
      <c r="B953" s="6" t="s">
        <v>27</v>
      </c>
      <c r="C953" s="6" t="s">
        <v>38</v>
      </c>
      <c r="D953" s="65" t="str">
        <f t="shared" si="44"/>
        <v>086_S_b</v>
      </c>
      <c r="E953">
        <v>46</v>
      </c>
      <c r="F953" t="s">
        <v>82</v>
      </c>
      <c r="G953" t="s">
        <v>1112</v>
      </c>
      <c r="I953">
        <v>3.9353593494217698</v>
      </c>
      <c r="J953" s="82">
        <v>39.5</v>
      </c>
      <c r="K953" s="82">
        <v>2.7</v>
      </c>
      <c r="L953" s="82">
        <v>8.3000000000000007</v>
      </c>
      <c r="M953" s="82">
        <v>27.6</v>
      </c>
      <c r="N953" s="82">
        <v>39.6</v>
      </c>
      <c r="O953" s="44">
        <f t="shared" si="46"/>
        <v>14.908877507469064</v>
      </c>
      <c r="P953">
        <f t="shared" si="45"/>
        <v>23.54</v>
      </c>
      <c r="Q953" s="111">
        <v>0.41199999999999998</v>
      </c>
      <c r="R953">
        <v>0.45400000000000001</v>
      </c>
      <c r="S953" s="65">
        <v>14</v>
      </c>
      <c r="T953" s="43">
        <v>17</v>
      </c>
      <c r="U953" t="s">
        <v>31</v>
      </c>
      <c r="V953" t="s">
        <v>32</v>
      </c>
    </row>
    <row r="954" spans="1:23" x14ac:dyDescent="0.2">
      <c r="A954" s="1" t="s">
        <v>1108</v>
      </c>
      <c r="B954" t="s">
        <v>33</v>
      </c>
      <c r="C954" t="s">
        <v>38</v>
      </c>
      <c r="D954" s="65" t="str">
        <f t="shared" si="44"/>
        <v>086_V_b</v>
      </c>
      <c r="E954">
        <v>53</v>
      </c>
      <c r="F954" t="s">
        <v>70</v>
      </c>
      <c r="G954" t="s">
        <v>1113</v>
      </c>
      <c r="I954">
        <v>3.0036923076923099</v>
      </c>
      <c r="J954" s="82">
        <v>27.9</v>
      </c>
      <c r="K954" s="82">
        <v>7.5</v>
      </c>
      <c r="L954" s="82">
        <v>25</v>
      </c>
      <c r="M954" s="82">
        <v>23.9</v>
      </c>
      <c r="N954" s="82">
        <v>6.8</v>
      </c>
      <c r="O954" s="44">
        <f t="shared" si="46"/>
        <v>4.0213127718465795</v>
      </c>
      <c r="P954">
        <f t="shared" si="45"/>
        <v>18.22</v>
      </c>
      <c r="Q954" s="111">
        <v>0.24299999999999999</v>
      </c>
      <c r="R954">
        <v>0.39200000000000002</v>
      </c>
      <c r="S954" s="65">
        <v>10</v>
      </c>
      <c r="T954" s="43">
        <v>9</v>
      </c>
      <c r="U954" t="s">
        <v>31</v>
      </c>
      <c r="V954" t="s">
        <v>32</v>
      </c>
    </row>
    <row r="955" spans="1:23" x14ac:dyDescent="0.2">
      <c r="A955" s="5" t="s">
        <v>1108</v>
      </c>
      <c r="B955" s="6" t="s">
        <v>36</v>
      </c>
      <c r="C955" s="6" t="s">
        <v>38</v>
      </c>
      <c r="D955" s="65" t="str">
        <f t="shared" si="44"/>
        <v>086_O_b</v>
      </c>
      <c r="E955">
        <v>67</v>
      </c>
      <c r="F955" t="s">
        <v>70</v>
      </c>
      <c r="G955" t="s">
        <v>1114</v>
      </c>
      <c r="I955">
        <v>4.6246533087949402</v>
      </c>
      <c r="J955" s="82">
        <v>29.5</v>
      </c>
      <c r="K955" s="82">
        <v>24.8</v>
      </c>
      <c r="L955" t="s">
        <v>57</v>
      </c>
      <c r="M955" s="82">
        <v>37.6</v>
      </c>
      <c r="N955" s="82">
        <v>41.3</v>
      </c>
      <c r="O955" s="44">
        <f t="shared" si="46"/>
        <v>1.3685527747551709</v>
      </c>
      <c r="P955">
        <f t="shared" si="45"/>
        <v>33.299999999999997</v>
      </c>
      <c r="Q955" s="111">
        <v>0.253</v>
      </c>
      <c r="R955">
        <v>0.44400000000000001</v>
      </c>
      <c r="S955" s="65">
        <v>23</v>
      </c>
      <c r="T955">
        <v>17</v>
      </c>
      <c r="U955" t="s">
        <v>31</v>
      </c>
      <c r="V955" t="s">
        <v>32</v>
      </c>
    </row>
    <row r="956" spans="1:23" x14ac:dyDescent="0.2">
      <c r="A956" s="5" t="s">
        <v>1108</v>
      </c>
      <c r="B956" s="6" t="s">
        <v>36</v>
      </c>
      <c r="C956" s="6" t="s">
        <v>45</v>
      </c>
      <c r="D956" s="65" t="str">
        <f t="shared" si="44"/>
        <v>086_O_c</v>
      </c>
      <c r="E956">
        <v>88</v>
      </c>
      <c r="F956" t="s">
        <v>29</v>
      </c>
      <c r="G956" t="s">
        <v>1115</v>
      </c>
      <c r="I956">
        <v>3.95090009987576</v>
      </c>
      <c r="J956" s="82">
        <v>32.1</v>
      </c>
      <c r="L956" s="82">
        <v>38.4</v>
      </c>
      <c r="M956" s="82">
        <v>39.5</v>
      </c>
      <c r="N956" s="82">
        <v>40.9</v>
      </c>
      <c r="O956" s="44">
        <f t="shared" si="46"/>
        <v>0.4348181818181816</v>
      </c>
      <c r="P956">
        <f t="shared" si="45"/>
        <v>37.725000000000001</v>
      </c>
      <c r="Q956" s="111">
        <v>0.316</v>
      </c>
      <c r="R956">
        <v>0.436</v>
      </c>
      <c r="S956" s="65">
        <v>7</v>
      </c>
      <c r="T956">
        <v>41</v>
      </c>
      <c r="U956" t="s">
        <v>72</v>
      </c>
      <c r="V956" t="s">
        <v>32</v>
      </c>
    </row>
    <row r="957" spans="1:23" x14ac:dyDescent="0.2">
      <c r="A957" s="5" t="s">
        <v>1108</v>
      </c>
      <c r="B957" s="6" t="s">
        <v>27</v>
      </c>
      <c r="C957" s="6" t="s">
        <v>45</v>
      </c>
      <c r="D957" s="65" t="str">
        <f t="shared" si="44"/>
        <v>086_S_c</v>
      </c>
      <c r="E957">
        <v>97</v>
      </c>
      <c r="F957" t="s">
        <v>43</v>
      </c>
      <c r="G957" t="s">
        <v>1116</v>
      </c>
      <c r="I957">
        <v>3.93062314540059</v>
      </c>
      <c r="J957" s="82">
        <v>35.299999999999997</v>
      </c>
      <c r="K957" s="82">
        <v>44.1</v>
      </c>
      <c r="L957" s="82">
        <v>26.7</v>
      </c>
      <c r="M957">
        <v>26.3</v>
      </c>
      <c r="N957" s="82">
        <v>37.1</v>
      </c>
      <c r="O957" s="44">
        <f t="shared" si="46"/>
        <v>2.145417925478339</v>
      </c>
      <c r="P957">
        <f t="shared" si="45"/>
        <v>33.9</v>
      </c>
      <c r="Q957" s="111">
        <v>0.30499999999999999</v>
      </c>
      <c r="R957">
        <v>0.42699999999999999</v>
      </c>
      <c r="S957" s="65">
        <v>21</v>
      </c>
      <c r="T957">
        <v>50</v>
      </c>
      <c r="U957" t="s">
        <v>72</v>
      </c>
      <c r="V957" t="s">
        <v>32</v>
      </c>
    </row>
    <row r="958" spans="1:23" x14ac:dyDescent="0.2">
      <c r="A958" s="5" t="s">
        <v>1108</v>
      </c>
      <c r="B958" s="6" t="s">
        <v>33</v>
      </c>
      <c r="C958" s="6" t="s">
        <v>45</v>
      </c>
      <c r="D958" s="65" t="str">
        <f t="shared" si="44"/>
        <v>086_V_c</v>
      </c>
      <c r="E958">
        <v>99</v>
      </c>
      <c r="F958" t="s">
        <v>34</v>
      </c>
      <c r="G958" t="s">
        <v>1117</v>
      </c>
      <c r="I958">
        <v>1.6256818711632599</v>
      </c>
      <c r="J958" s="82">
        <v>18.3</v>
      </c>
      <c r="K958" s="82">
        <v>19.5</v>
      </c>
      <c r="L958" s="82">
        <v>15.2</v>
      </c>
      <c r="M958">
        <v>24.5</v>
      </c>
      <c r="N958" s="82">
        <v>37.6</v>
      </c>
      <c r="O958" s="44">
        <f t="shared" si="46"/>
        <v>0.77191397849462473</v>
      </c>
      <c r="P958">
        <f t="shared" si="45"/>
        <v>23.02</v>
      </c>
      <c r="Q958" s="111">
        <v>9.0999999999999998E-2</v>
      </c>
      <c r="R958">
        <v>0.20100000000000001</v>
      </c>
      <c r="S958" s="65">
        <v>13</v>
      </c>
      <c r="T958">
        <v>22</v>
      </c>
      <c r="U958" t="s">
        <v>54</v>
      </c>
      <c r="V958" t="s">
        <v>32</v>
      </c>
    </row>
    <row r="959" spans="1:23" x14ac:dyDescent="0.2">
      <c r="A959" s="5" t="s">
        <v>1108</v>
      </c>
      <c r="B959" s="6" t="s">
        <v>33</v>
      </c>
      <c r="C959" s="6" t="s">
        <v>52</v>
      </c>
      <c r="D959" s="65" t="str">
        <f t="shared" si="44"/>
        <v>086_V_d</v>
      </c>
      <c r="E959">
        <v>110</v>
      </c>
      <c r="F959" t="s">
        <v>41</v>
      </c>
      <c r="G959" t="s">
        <v>1118</v>
      </c>
      <c r="I959">
        <v>1.19202569736339</v>
      </c>
      <c r="J959" s="82">
        <v>7.3</v>
      </c>
      <c r="K959" s="82">
        <v>8.5</v>
      </c>
      <c r="L959" s="82">
        <v>13.3</v>
      </c>
      <c r="M959">
        <v>3.2</v>
      </c>
      <c r="N959" s="82">
        <v>24.8</v>
      </c>
      <c r="O959" s="44">
        <f t="shared" si="46"/>
        <v>2.1402476780185742</v>
      </c>
      <c r="P959">
        <f t="shared" si="45"/>
        <v>11.420000000000002</v>
      </c>
      <c r="Q959" s="111">
        <v>0.106</v>
      </c>
      <c r="R959">
        <v>0.23300000000000001</v>
      </c>
      <c r="S959" s="65">
        <v>11</v>
      </c>
      <c r="T959">
        <v>29</v>
      </c>
      <c r="U959" t="s">
        <v>31</v>
      </c>
      <c r="V959" t="s">
        <v>32</v>
      </c>
    </row>
    <row r="960" spans="1:23" x14ac:dyDescent="0.2">
      <c r="A960" s="5" t="s">
        <v>1108</v>
      </c>
      <c r="B960" s="6" t="s">
        <v>27</v>
      </c>
      <c r="C960" s="6" t="s">
        <v>52</v>
      </c>
      <c r="D960" s="65" t="str">
        <f t="shared" si="44"/>
        <v>086_S_d</v>
      </c>
      <c r="E960">
        <v>115</v>
      </c>
      <c r="F960" t="s">
        <v>29</v>
      </c>
      <c r="G960" t="s">
        <v>1119</v>
      </c>
      <c r="H960" t="s">
        <v>56</v>
      </c>
      <c r="I960">
        <v>0</v>
      </c>
      <c r="J960" s="82">
        <v>1</v>
      </c>
      <c r="K960" s="82">
        <v>1</v>
      </c>
      <c r="L960" s="82">
        <v>0.9</v>
      </c>
      <c r="M960">
        <v>1</v>
      </c>
      <c r="N960" s="82">
        <v>0.9</v>
      </c>
      <c r="O960" s="44">
        <f t="shared" si="46"/>
        <v>2.5641025641025632E-3</v>
      </c>
      <c r="P960">
        <f t="shared" si="45"/>
        <v>0.96</v>
      </c>
      <c r="Q960" s="111" t="s">
        <v>57</v>
      </c>
      <c r="R960" t="s">
        <v>57</v>
      </c>
      <c r="S960" s="65" t="s">
        <v>57</v>
      </c>
      <c r="T960" t="s">
        <v>57</v>
      </c>
      <c r="V960" t="s">
        <v>32</v>
      </c>
    </row>
    <row r="961" spans="1:23" ht="16" x14ac:dyDescent="0.2">
      <c r="A961" s="5" t="s">
        <v>1108</v>
      </c>
      <c r="B961" s="6" t="s">
        <v>36</v>
      </c>
      <c r="C961" s="6" t="s">
        <v>52</v>
      </c>
      <c r="D961" s="65" t="str">
        <f t="shared" si="44"/>
        <v>086_O_d</v>
      </c>
      <c r="E961">
        <v>135</v>
      </c>
      <c r="F961" t="s">
        <v>41</v>
      </c>
      <c r="G961" t="s">
        <v>1120</v>
      </c>
      <c r="I961">
        <v>3.4793506190142498</v>
      </c>
      <c r="J961" s="82">
        <v>17.8</v>
      </c>
      <c r="K961" s="82">
        <v>15.1</v>
      </c>
      <c r="L961" s="84">
        <v>49.2</v>
      </c>
      <c r="M961" s="82">
        <v>2</v>
      </c>
      <c r="N961" s="82">
        <v>56.9</v>
      </c>
      <c r="O961" s="44">
        <f t="shared" si="46"/>
        <v>19.045382481173213</v>
      </c>
      <c r="P961">
        <f t="shared" si="45"/>
        <v>28.2</v>
      </c>
      <c r="Q961" s="111">
        <v>0.26100000000000001</v>
      </c>
      <c r="R961">
        <v>0.27800000000000002</v>
      </c>
      <c r="S961" s="65">
        <v>17</v>
      </c>
      <c r="T961">
        <v>17</v>
      </c>
      <c r="U961" t="s">
        <v>47</v>
      </c>
      <c r="V961" t="s">
        <v>32</v>
      </c>
    </row>
    <row r="962" spans="1:23" x14ac:dyDescent="0.2">
      <c r="A962" s="5" t="s">
        <v>1121</v>
      </c>
      <c r="B962" s="6" t="s">
        <v>27</v>
      </c>
      <c r="C962" s="6" t="s">
        <v>28</v>
      </c>
      <c r="D962" s="65" t="str">
        <f t="shared" ref="D962:D1025" si="47">A962&amp;"_"&amp;B962&amp;"_"&amp;C962</f>
        <v>087_S_a</v>
      </c>
      <c r="E962">
        <v>22</v>
      </c>
      <c r="F962" t="s">
        <v>39</v>
      </c>
      <c r="G962" t="s">
        <v>1122</v>
      </c>
      <c r="I962">
        <v>4.3869668246445501</v>
      </c>
      <c r="J962" s="82">
        <v>12.7</v>
      </c>
      <c r="K962" s="82">
        <v>26.4</v>
      </c>
      <c r="L962" s="82">
        <v>10.6</v>
      </c>
      <c r="M962" s="82">
        <v>25.9</v>
      </c>
      <c r="N962" s="82">
        <v>26.2</v>
      </c>
      <c r="O962" s="44">
        <f t="shared" si="46"/>
        <v>3.7492063492063523</v>
      </c>
      <c r="P962">
        <f t="shared" ref="P962:P1025" si="48">AVERAGE(J962:N962)</f>
        <v>20.36</v>
      </c>
      <c r="Q962" s="111">
        <v>0.251</v>
      </c>
      <c r="R962">
        <v>0.38500000000000001</v>
      </c>
      <c r="S962" s="65">
        <v>15</v>
      </c>
      <c r="T962" s="43">
        <v>37</v>
      </c>
      <c r="U962" t="s">
        <v>72</v>
      </c>
      <c r="V962" t="s">
        <v>32</v>
      </c>
    </row>
    <row r="963" spans="1:23" x14ac:dyDescent="0.2">
      <c r="A963" s="5" t="s">
        <v>1121</v>
      </c>
      <c r="B963" s="6" t="s">
        <v>36</v>
      </c>
      <c r="C963" s="6" t="s">
        <v>28</v>
      </c>
      <c r="D963" s="65" t="str">
        <f t="shared" si="47"/>
        <v>087_O_a</v>
      </c>
      <c r="E963">
        <v>24</v>
      </c>
      <c r="F963" t="s">
        <v>41</v>
      </c>
      <c r="G963" t="s">
        <v>1123</v>
      </c>
      <c r="I963">
        <v>4.4043282576472196</v>
      </c>
      <c r="J963" s="82">
        <v>34.200000000000003</v>
      </c>
      <c r="K963" s="82">
        <v>33.299999999999997</v>
      </c>
      <c r="L963" s="82">
        <v>30.9</v>
      </c>
      <c r="M963" s="82">
        <v>38.5</v>
      </c>
      <c r="N963" s="82">
        <v>33.700000000000003</v>
      </c>
      <c r="O963" s="44">
        <f t="shared" si="46"/>
        <v>0.29401022644265901</v>
      </c>
      <c r="P963">
        <f t="shared" si="48"/>
        <v>34.120000000000005</v>
      </c>
      <c r="Q963" s="111">
        <v>0.28299999999999997</v>
      </c>
      <c r="R963">
        <v>0.47799999999999998</v>
      </c>
      <c r="S963" s="65">
        <v>25</v>
      </c>
      <c r="T963" s="43">
        <v>29</v>
      </c>
      <c r="U963" t="s">
        <v>51</v>
      </c>
      <c r="V963" t="s">
        <v>32</v>
      </c>
    </row>
    <row r="964" spans="1:23" x14ac:dyDescent="0.2">
      <c r="A964" s="1" t="s">
        <v>1121</v>
      </c>
      <c r="B964" t="s">
        <v>33</v>
      </c>
      <c r="C964" t="s">
        <v>28</v>
      </c>
      <c r="D964" s="65" t="str">
        <f t="shared" si="47"/>
        <v>087_V_a</v>
      </c>
      <c r="E964">
        <v>36</v>
      </c>
      <c r="F964" t="s">
        <v>39</v>
      </c>
      <c r="G964" t="s">
        <v>1124</v>
      </c>
      <c r="I964">
        <v>3.8801909980029698</v>
      </c>
      <c r="J964" s="82">
        <v>10.8</v>
      </c>
      <c r="K964" s="82">
        <v>22.4</v>
      </c>
      <c r="L964" s="82">
        <v>4.7</v>
      </c>
      <c r="M964" s="82">
        <v>34.5</v>
      </c>
      <c r="N964" s="82">
        <v>38.299999999999997</v>
      </c>
      <c r="O964" s="44">
        <f t="shared" si="46"/>
        <v>9.5819521178637146</v>
      </c>
      <c r="P964">
        <f t="shared" si="48"/>
        <v>22.14</v>
      </c>
      <c r="Q964" s="111">
        <v>0.19600000000000001</v>
      </c>
      <c r="R964">
        <v>0.38400000000000001</v>
      </c>
      <c r="S964" s="65">
        <v>15</v>
      </c>
      <c r="T964">
        <v>21</v>
      </c>
      <c r="U964" t="s">
        <v>31</v>
      </c>
      <c r="V964" t="s">
        <v>32</v>
      </c>
    </row>
    <row r="965" spans="1:23" x14ac:dyDescent="0.2">
      <c r="A965" s="5" t="s">
        <v>1121</v>
      </c>
      <c r="B965" s="6" t="s">
        <v>27</v>
      </c>
      <c r="C965" s="6" t="s">
        <v>38</v>
      </c>
      <c r="D965" s="65" t="str">
        <f t="shared" si="47"/>
        <v>087_S_b</v>
      </c>
      <c r="E965">
        <v>43</v>
      </c>
      <c r="F965" t="s">
        <v>63</v>
      </c>
      <c r="G965" t="s">
        <v>1125</v>
      </c>
      <c r="I965">
        <v>5.4457268722467003</v>
      </c>
      <c r="J965" s="82">
        <v>6.1</v>
      </c>
      <c r="K965" s="82">
        <v>40</v>
      </c>
      <c r="L965" s="82">
        <v>42</v>
      </c>
      <c r="M965" s="82">
        <v>36.1</v>
      </c>
      <c r="N965" s="82">
        <v>47.1</v>
      </c>
      <c r="O965" s="44">
        <f t="shared" si="46"/>
        <v>9.1037037037037116</v>
      </c>
      <c r="P965">
        <f t="shared" si="48"/>
        <v>34.26</v>
      </c>
      <c r="Q965" s="111">
        <v>0.41</v>
      </c>
      <c r="R965">
        <v>0.54600000000000004</v>
      </c>
      <c r="S965" s="65">
        <v>18</v>
      </c>
      <c r="T965">
        <v>45</v>
      </c>
      <c r="U965" t="s">
        <v>54</v>
      </c>
      <c r="V965" t="s">
        <v>32</v>
      </c>
    </row>
    <row r="966" spans="1:23" x14ac:dyDescent="0.2">
      <c r="A966" s="5" t="s">
        <v>1121</v>
      </c>
      <c r="B966" s="6" t="s">
        <v>36</v>
      </c>
      <c r="C966" s="6" t="s">
        <v>38</v>
      </c>
      <c r="D966" s="65" t="str">
        <f t="shared" si="47"/>
        <v>087_O_b</v>
      </c>
      <c r="E966">
        <v>51</v>
      </c>
      <c r="F966" t="s">
        <v>43</v>
      </c>
      <c r="G966" t="s">
        <v>1126</v>
      </c>
      <c r="I966">
        <v>3.9748119146322698</v>
      </c>
      <c r="J966" s="82">
        <v>4.5999999999999996</v>
      </c>
      <c r="K966" s="82">
        <v>23.9</v>
      </c>
      <c r="L966" s="82">
        <v>2.4</v>
      </c>
      <c r="M966" s="82">
        <v>3.9</v>
      </c>
      <c r="N966" s="82">
        <v>38.4</v>
      </c>
      <c r="O966" s="44">
        <f t="shared" si="46"/>
        <v>11.899616858237549</v>
      </c>
      <c r="P966">
        <f t="shared" si="48"/>
        <v>14.639999999999997</v>
      </c>
      <c r="Q966" s="111">
        <v>0.26500000000000001</v>
      </c>
      <c r="R966">
        <v>0.55600000000000005</v>
      </c>
      <c r="S966" s="65">
        <v>20</v>
      </c>
      <c r="T966">
        <v>11</v>
      </c>
      <c r="U966" t="s">
        <v>54</v>
      </c>
      <c r="V966" t="s">
        <v>32</v>
      </c>
    </row>
    <row r="967" spans="1:23" x14ac:dyDescent="0.2">
      <c r="A967" s="1" t="s">
        <v>1121</v>
      </c>
      <c r="B967" t="s">
        <v>33</v>
      </c>
      <c r="C967" t="s">
        <v>38</v>
      </c>
      <c r="D967" s="65" t="str">
        <f t="shared" si="47"/>
        <v>087_V_b</v>
      </c>
      <c r="E967">
        <v>65</v>
      </c>
      <c r="F967" t="s">
        <v>41</v>
      </c>
      <c r="G967" t="s">
        <v>1127</v>
      </c>
      <c r="I967">
        <v>1.61950462051204</v>
      </c>
      <c r="J967" s="82" t="s">
        <v>57</v>
      </c>
      <c r="K967" s="82">
        <v>36.700000000000003</v>
      </c>
      <c r="L967" t="s">
        <v>57</v>
      </c>
      <c r="M967" s="82">
        <v>36.1</v>
      </c>
      <c r="N967" s="82">
        <v>38.9</v>
      </c>
      <c r="O967" s="44">
        <f t="shared" si="46"/>
        <v>4.9450549450549674E-3</v>
      </c>
      <c r="P967">
        <f t="shared" si="48"/>
        <v>37.233333333333341</v>
      </c>
      <c r="Q967" s="111">
        <v>0.23599999999999999</v>
      </c>
      <c r="R967">
        <v>0.377</v>
      </c>
      <c r="S967" s="65">
        <v>12</v>
      </c>
      <c r="T967">
        <v>7</v>
      </c>
      <c r="U967" t="s">
        <v>31</v>
      </c>
      <c r="V967" t="s">
        <v>32</v>
      </c>
    </row>
    <row r="968" spans="1:23" x14ac:dyDescent="0.2">
      <c r="A968" s="5" t="s">
        <v>1121</v>
      </c>
      <c r="B968" s="6" t="s">
        <v>33</v>
      </c>
      <c r="C968" s="6" t="s">
        <v>45</v>
      </c>
      <c r="D968" s="65" t="str">
        <f t="shared" si="47"/>
        <v>087_V_c</v>
      </c>
      <c r="E968">
        <v>82</v>
      </c>
      <c r="F968" t="s">
        <v>39</v>
      </c>
      <c r="G968" t="s">
        <v>1128</v>
      </c>
      <c r="I968">
        <v>3.9125909968801098</v>
      </c>
      <c r="J968" s="82">
        <v>4.4000000000000004</v>
      </c>
      <c r="K968" s="82">
        <v>40.799999999999997</v>
      </c>
      <c r="L968" s="82">
        <v>42.5</v>
      </c>
      <c r="M968" s="82">
        <v>10.9</v>
      </c>
      <c r="N968" s="82">
        <v>38</v>
      </c>
      <c r="O968" s="44">
        <f t="shared" si="46"/>
        <v>15.937390128465182</v>
      </c>
      <c r="P968">
        <f t="shared" si="48"/>
        <v>27.32</v>
      </c>
      <c r="Q968" s="111">
        <v>0.435</v>
      </c>
      <c r="R968">
        <v>0.55800000000000005</v>
      </c>
      <c r="S968" s="65">
        <v>16</v>
      </c>
      <c r="T968">
        <v>95</v>
      </c>
      <c r="U968" t="s">
        <v>72</v>
      </c>
      <c r="V968" t="s">
        <v>32</v>
      </c>
    </row>
    <row r="969" spans="1:23" x14ac:dyDescent="0.2">
      <c r="A969" s="5" t="s">
        <v>1121</v>
      </c>
      <c r="B969" s="6" t="s">
        <v>36</v>
      </c>
      <c r="C969" s="6" t="s">
        <v>45</v>
      </c>
      <c r="D969" s="65" t="str">
        <f t="shared" si="47"/>
        <v>087_O_c</v>
      </c>
      <c r="E969">
        <v>86</v>
      </c>
      <c r="F969" t="s">
        <v>82</v>
      </c>
      <c r="G969" t="s">
        <v>1129</v>
      </c>
      <c r="I969">
        <v>0</v>
      </c>
      <c r="J969" s="82">
        <v>7.7</v>
      </c>
      <c r="K969" s="82">
        <v>1</v>
      </c>
      <c r="L969" s="82">
        <v>30.8</v>
      </c>
      <c r="M969" s="82">
        <v>31.7</v>
      </c>
      <c r="N969" s="82">
        <v>32.4</v>
      </c>
      <c r="O969" s="44">
        <f t="shared" si="46"/>
        <v>13.97865168539326</v>
      </c>
      <c r="P969">
        <f t="shared" si="48"/>
        <v>20.72</v>
      </c>
      <c r="Q969" s="111">
        <v>0.16900000000000001</v>
      </c>
      <c r="R969">
        <v>0.36899999999999999</v>
      </c>
      <c r="S969" s="65">
        <v>10</v>
      </c>
      <c r="T969">
        <v>5</v>
      </c>
      <c r="U969" t="s">
        <v>72</v>
      </c>
      <c r="V969" t="s">
        <v>32</v>
      </c>
    </row>
    <row r="970" spans="1:23" x14ac:dyDescent="0.2">
      <c r="A970" s="5" t="s">
        <v>1121</v>
      </c>
      <c r="B970" s="6" t="s">
        <v>27</v>
      </c>
      <c r="C970" s="6" t="s">
        <v>45</v>
      </c>
      <c r="D970" s="65" t="str">
        <f t="shared" si="47"/>
        <v>087_S_c</v>
      </c>
      <c r="E970">
        <v>106</v>
      </c>
      <c r="F970" t="s">
        <v>63</v>
      </c>
      <c r="G970" t="s">
        <v>1130</v>
      </c>
      <c r="I970">
        <v>2.3221309787365501</v>
      </c>
      <c r="J970" s="43">
        <v>1</v>
      </c>
      <c r="K970" s="43">
        <v>3.6</v>
      </c>
      <c r="L970" s="82">
        <v>53.9</v>
      </c>
      <c r="M970" s="43">
        <v>3.6</v>
      </c>
      <c r="N970" s="82">
        <v>20.8</v>
      </c>
      <c r="O970" s="44">
        <f t="shared" si="46"/>
        <v>42.255018786902845</v>
      </c>
      <c r="P970">
        <f t="shared" si="48"/>
        <v>16.580000000000002</v>
      </c>
      <c r="Q970" s="111">
        <v>0.25700000000000001</v>
      </c>
      <c r="R970">
        <v>0.246</v>
      </c>
      <c r="S970" s="65">
        <v>5</v>
      </c>
      <c r="T970">
        <v>86</v>
      </c>
      <c r="U970" t="s">
        <v>72</v>
      </c>
      <c r="V970" t="s">
        <v>32</v>
      </c>
    </row>
    <row r="971" spans="1:23" x14ac:dyDescent="0.2">
      <c r="A971" s="5" t="s">
        <v>1121</v>
      </c>
      <c r="B971" s="6" t="s">
        <v>36</v>
      </c>
      <c r="C971" s="6" t="s">
        <v>52</v>
      </c>
      <c r="D971" s="65" t="str">
        <f t="shared" si="47"/>
        <v>087_O_d</v>
      </c>
      <c r="E971">
        <v>114</v>
      </c>
      <c r="F971" t="s">
        <v>68</v>
      </c>
      <c r="G971" t="s">
        <v>1131</v>
      </c>
      <c r="I971">
        <v>1.4022818352825701</v>
      </c>
      <c r="J971" s="43">
        <v>5.2</v>
      </c>
      <c r="K971" s="43">
        <v>1.7</v>
      </c>
      <c r="L971" s="82">
        <v>32</v>
      </c>
      <c r="M971">
        <v>31.4</v>
      </c>
      <c r="N971" s="82">
        <v>30</v>
      </c>
      <c r="O971" s="44">
        <f t="shared" si="46"/>
        <v>15.255903271692747</v>
      </c>
      <c r="P971">
        <f t="shared" si="48"/>
        <v>20.059999999999999</v>
      </c>
      <c r="Q971" s="111">
        <v>6.9000000000000006E-2</v>
      </c>
      <c r="R971">
        <v>0.217</v>
      </c>
      <c r="S971" s="65" t="s">
        <v>57</v>
      </c>
      <c r="T971" t="s">
        <v>57</v>
      </c>
      <c r="U971" t="s">
        <v>57</v>
      </c>
      <c r="V971" t="s">
        <v>32</v>
      </c>
      <c r="W971" t="s">
        <v>1132</v>
      </c>
    </row>
    <row r="972" spans="1:23" ht="16" x14ac:dyDescent="0.2">
      <c r="A972" s="5" t="s">
        <v>1121</v>
      </c>
      <c r="B972" s="6" t="s">
        <v>27</v>
      </c>
      <c r="C972" s="6" t="s">
        <v>52</v>
      </c>
      <c r="D972" s="65" t="str">
        <f t="shared" si="47"/>
        <v>087_S_d</v>
      </c>
      <c r="E972">
        <v>124</v>
      </c>
      <c r="F972" t="s">
        <v>39</v>
      </c>
      <c r="G972" t="s">
        <v>1133</v>
      </c>
      <c r="H972" t="s">
        <v>56</v>
      </c>
      <c r="I972">
        <v>0</v>
      </c>
      <c r="J972" s="82">
        <v>1</v>
      </c>
      <c r="K972" s="82">
        <v>1</v>
      </c>
      <c r="L972" s="84">
        <v>1</v>
      </c>
      <c r="M972">
        <v>1</v>
      </c>
      <c r="N972" s="82">
        <v>0.9</v>
      </c>
      <c r="O972" s="44">
        <f t="shared" si="46"/>
        <v>0</v>
      </c>
      <c r="P972">
        <f t="shared" si="48"/>
        <v>0.98000000000000009</v>
      </c>
      <c r="Q972" s="111" t="s">
        <v>57</v>
      </c>
      <c r="R972" t="s">
        <v>57</v>
      </c>
      <c r="S972" s="65" t="s">
        <v>57</v>
      </c>
      <c r="T972" t="s">
        <v>57</v>
      </c>
      <c r="V972" t="s">
        <v>32</v>
      </c>
      <c r="W972" t="s">
        <v>67</v>
      </c>
    </row>
    <row r="973" spans="1:23" ht="16" x14ac:dyDescent="0.2">
      <c r="A973" s="5" t="s">
        <v>1121</v>
      </c>
      <c r="B973" s="6" t="s">
        <v>33</v>
      </c>
      <c r="C973" s="6" t="s">
        <v>52</v>
      </c>
      <c r="D973" s="65" t="str">
        <f t="shared" si="47"/>
        <v>087_V_d</v>
      </c>
      <c r="E973">
        <v>142</v>
      </c>
      <c r="F973" t="s">
        <v>68</v>
      </c>
      <c r="G973" t="s">
        <v>1134</v>
      </c>
      <c r="I973">
        <v>4.0872889270299604</v>
      </c>
      <c r="J973" s="82">
        <v>5.3</v>
      </c>
      <c r="K973" s="82">
        <v>9.6999999999999993</v>
      </c>
      <c r="L973" s="84">
        <v>47.5</v>
      </c>
      <c r="M973" s="82">
        <v>16.3</v>
      </c>
      <c r="N973" s="82">
        <v>45.2</v>
      </c>
      <c r="O973" s="44">
        <f t="shared" si="46"/>
        <v>18.473096446700509</v>
      </c>
      <c r="P973">
        <f t="shared" si="48"/>
        <v>24.8</v>
      </c>
      <c r="Q973" s="111">
        <v>0.38</v>
      </c>
      <c r="R973">
        <v>0.51</v>
      </c>
      <c r="S973" s="65">
        <v>14</v>
      </c>
      <c r="T973">
        <v>68</v>
      </c>
      <c r="U973" t="s">
        <v>51</v>
      </c>
      <c r="V973" t="s">
        <v>32</v>
      </c>
    </row>
    <row r="974" spans="1:23" x14ac:dyDescent="0.2">
      <c r="A974" s="1" t="s">
        <v>1135</v>
      </c>
      <c r="B974" t="s">
        <v>33</v>
      </c>
      <c r="C974" t="s">
        <v>28</v>
      </c>
      <c r="D974" s="65" t="str">
        <f t="shared" si="47"/>
        <v>088_V_a</v>
      </c>
      <c r="E974">
        <v>23</v>
      </c>
      <c r="F974" t="s">
        <v>70</v>
      </c>
      <c r="G974" t="s">
        <v>1136</v>
      </c>
      <c r="I974">
        <v>0.63380338007143999</v>
      </c>
      <c r="J974" s="82">
        <v>8.5</v>
      </c>
      <c r="K974" s="82">
        <v>7.2</v>
      </c>
      <c r="L974" s="82">
        <v>15.9</v>
      </c>
      <c r="M974" s="82">
        <v>2.8</v>
      </c>
      <c r="N974" s="82">
        <v>12.5</v>
      </c>
      <c r="O974" s="44">
        <f t="shared" si="46"/>
        <v>3.4457364341085266</v>
      </c>
      <c r="P974">
        <f t="shared" si="48"/>
        <v>9.379999999999999</v>
      </c>
      <c r="Q974" s="111">
        <v>7.8E-2</v>
      </c>
      <c r="R974">
        <v>0.19900000000000001</v>
      </c>
      <c r="S974" s="65">
        <v>6</v>
      </c>
      <c r="T974" s="43">
        <v>15</v>
      </c>
      <c r="U974" t="s">
        <v>31</v>
      </c>
      <c r="V974" t="s">
        <v>32</v>
      </c>
    </row>
    <row r="975" spans="1:23" x14ac:dyDescent="0.2">
      <c r="A975" s="5" t="s">
        <v>1135</v>
      </c>
      <c r="B975" s="6" t="s">
        <v>36</v>
      </c>
      <c r="C975" s="6" t="s">
        <v>28</v>
      </c>
      <c r="D975" s="65" t="str">
        <f t="shared" si="47"/>
        <v>088_O_a</v>
      </c>
      <c r="E975">
        <v>28</v>
      </c>
      <c r="F975" t="s">
        <v>68</v>
      </c>
      <c r="G975" t="s">
        <v>1137</v>
      </c>
      <c r="H975" t="s">
        <v>56</v>
      </c>
      <c r="I975">
        <v>0</v>
      </c>
      <c r="J975" s="82">
        <v>1</v>
      </c>
      <c r="K975" t="s">
        <v>57</v>
      </c>
      <c r="L975" s="82">
        <v>1</v>
      </c>
      <c r="M975" s="82">
        <v>1</v>
      </c>
      <c r="N975" s="82">
        <v>0.9</v>
      </c>
      <c r="O975" s="44">
        <f t="shared" si="46"/>
        <v>0</v>
      </c>
      <c r="P975">
        <f t="shared" si="48"/>
        <v>0.97499999999999998</v>
      </c>
      <c r="Q975" s="111" t="s">
        <v>57</v>
      </c>
      <c r="R975" t="s">
        <v>57</v>
      </c>
      <c r="S975" s="65" t="s">
        <v>57</v>
      </c>
      <c r="T975" t="s">
        <v>57</v>
      </c>
      <c r="U975" t="s">
        <v>57</v>
      </c>
      <c r="V975" t="s">
        <v>32</v>
      </c>
      <c r="W975" t="s">
        <v>67</v>
      </c>
    </row>
    <row r="976" spans="1:23" x14ac:dyDescent="0.2">
      <c r="A976" s="5" t="s">
        <v>1135</v>
      </c>
      <c r="B976" s="6" t="s">
        <v>27</v>
      </c>
      <c r="C976" s="6" t="s">
        <v>28</v>
      </c>
      <c r="D976" s="65" t="str">
        <f t="shared" si="47"/>
        <v>088_S_a</v>
      </c>
      <c r="E976">
        <v>29</v>
      </c>
      <c r="F976" t="s">
        <v>43</v>
      </c>
      <c r="G976" t="s">
        <v>1138</v>
      </c>
      <c r="I976">
        <v>4.2072197055492602</v>
      </c>
      <c r="J976" s="43">
        <v>1.6</v>
      </c>
      <c r="K976" s="82">
        <v>11.2</v>
      </c>
      <c r="L976" s="82">
        <v>48.2</v>
      </c>
      <c r="M976" s="82">
        <v>52.9</v>
      </c>
      <c r="N976" s="82">
        <v>51.5</v>
      </c>
      <c r="O976" s="44">
        <f t="shared" si="46"/>
        <v>23.486654960491652</v>
      </c>
      <c r="P976">
        <f t="shared" si="48"/>
        <v>33.08</v>
      </c>
      <c r="Q976" s="111">
        <v>0.27900000000000003</v>
      </c>
      <c r="R976">
        <v>0.45800000000000002</v>
      </c>
      <c r="S976" s="65">
        <v>15</v>
      </c>
      <c r="T976">
        <v>11</v>
      </c>
      <c r="U976" t="s">
        <v>57</v>
      </c>
      <c r="V976" t="s">
        <v>32</v>
      </c>
    </row>
    <row r="977" spans="1:23" x14ac:dyDescent="0.2">
      <c r="A977" s="5" t="s">
        <v>1135</v>
      </c>
      <c r="B977" s="6" t="s">
        <v>27</v>
      </c>
      <c r="C977" s="6" t="s">
        <v>38</v>
      </c>
      <c r="D977" s="65" t="str">
        <f t="shared" si="47"/>
        <v>088_S_b</v>
      </c>
      <c r="E977">
        <v>40</v>
      </c>
      <c r="F977" t="s">
        <v>63</v>
      </c>
      <c r="G977" t="s">
        <v>1139</v>
      </c>
      <c r="I977">
        <v>3.6712819850090499</v>
      </c>
      <c r="J977" s="82">
        <v>25.9</v>
      </c>
      <c r="K977" s="82">
        <v>43.7</v>
      </c>
      <c r="L977" s="82">
        <v>31.9</v>
      </c>
      <c r="M977" s="82">
        <v>37.6</v>
      </c>
      <c r="N977" s="82">
        <v>45.7</v>
      </c>
      <c r="O977" s="44">
        <f t="shared" si="46"/>
        <v>1.6742631200575173</v>
      </c>
      <c r="P977">
        <f t="shared" si="48"/>
        <v>36.96</v>
      </c>
      <c r="Q977" s="111">
        <v>0.378</v>
      </c>
      <c r="R977">
        <v>0.59599999999999997</v>
      </c>
      <c r="S977" s="65">
        <v>25</v>
      </c>
      <c r="T977">
        <v>21</v>
      </c>
      <c r="U977" t="s">
        <v>31</v>
      </c>
      <c r="V977" t="s">
        <v>32</v>
      </c>
    </row>
    <row r="978" spans="1:23" x14ac:dyDescent="0.2">
      <c r="A978" s="5" t="s">
        <v>1135</v>
      </c>
      <c r="B978" s="6" t="s">
        <v>36</v>
      </c>
      <c r="C978" s="6" t="s">
        <v>38</v>
      </c>
      <c r="D978" s="65" t="str">
        <f t="shared" si="47"/>
        <v>088_O_b</v>
      </c>
      <c r="E978">
        <v>43</v>
      </c>
      <c r="F978" t="s">
        <v>49</v>
      </c>
      <c r="G978" t="s">
        <v>1140</v>
      </c>
      <c r="I978">
        <v>0.78502202643171803</v>
      </c>
      <c r="J978" s="82">
        <v>19.7</v>
      </c>
      <c r="K978" s="82">
        <v>33.1</v>
      </c>
      <c r="L978" s="82">
        <v>34.9</v>
      </c>
      <c r="M978" s="82">
        <v>35.1</v>
      </c>
      <c r="N978" s="82">
        <v>30.9</v>
      </c>
      <c r="O978" s="44">
        <f t="shared" si="46"/>
        <v>1.7780673181324773</v>
      </c>
      <c r="P978">
        <f t="shared" si="48"/>
        <v>30.74</v>
      </c>
      <c r="Q978" s="111">
        <v>0.19800000000000001</v>
      </c>
      <c r="R978">
        <v>0.3</v>
      </c>
      <c r="S978" s="65">
        <v>12</v>
      </c>
      <c r="T978">
        <v>8</v>
      </c>
      <c r="U978" t="s">
        <v>54</v>
      </c>
      <c r="V978" t="s">
        <v>32</v>
      </c>
    </row>
    <row r="979" spans="1:23" x14ac:dyDescent="0.2">
      <c r="A979" s="1" t="s">
        <v>1135</v>
      </c>
      <c r="B979" t="s">
        <v>33</v>
      </c>
      <c r="C979" t="s">
        <v>38</v>
      </c>
      <c r="D979" s="65" t="str">
        <f t="shared" si="47"/>
        <v>088_V_b</v>
      </c>
      <c r="E979">
        <v>72</v>
      </c>
      <c r="F979" t="s">
        <v>49</v>
      </c>
      <c r="G979" t="s">
        <v>1141</v>
      </c>
      <c r="I979">
        <v>3.3344467640918598</v>
      </c>
      <c r="J979" s="82">
        <v>12.1</v>
      </c>
      <c r="K979" s="82">
        <v>9.3000000000000007</v>
      </c>
      <c r="L979" s="82">
        <v>4.7</v>
      </c>
      <c r="M979" s="82">
        <v>1.9</v>
      </c>
      <c r="N979" s="82">
        <v>32.6</v>
      </c>
      <c r="O979" s="44">
        <f t="shared" si="46"/>
        <v>2.980952380952385</v>
      </c>
      <c r="P979">
        <f t="shared" si="48"/>
        <v>12.12</v>
      </c>
      <c r="Q979" s="111">
        <v>0.27500000000000002</v>
      </c>
      <c r="R979">
        <v>0.36399999999999999</v>
      </c>
      <c r="S979" s="65">
        <v>11</v>
      </c>
      <c r="T979">
        <v>30</v>
      </c>
      <c r="U979" t="s">
        <v>31</v>
      </c>
      <c r="V979" t="s">
        <v>32</v>
      </c>
    </row>
    <row r="980" spans="1:23" x14ac:dyDescent="0.2">
      <c r="A980" s="5" t="s">
        <v>1135</v>
      </c>
      <c r="B980" s="6" t="s">
        <v>36</v>
      </c>
      <c r="C980" s="6" t="s">
        <v>45</v>
      </c>
      <c r="D980" s="65" t="str">
        <f t="shared" si="47"/>
        <v>088_O_c</v>
      </c>
      <c r="E980">
        <v>74</v>
      </c>
      <c r="F980" t="s">
        <v>68</v>
      </c>
      <c r="G980" t="s">
        <v>1142</v>
      </c>
      <c r="I980">
        <v>2.9179885819145701</v>
      </c>
      <c r="J980" s="82">
        <v>36.4</v>
      </c>
      <c r="K980" s="82">
        <v>25.3</v>
      </c>
      <c r="L980" s="82">
        <v>40.9</v>
      </c>
      <c r="M980" s="82">
        <v>37.5</v>
      </c>
      <c r="N980" s="82">
        <v>42.4</v>
      </c>
      <c r="O980" s="44">
        <f t="shared" si="46"/>
        <v>1.3048536759457536</v>
      </c>
      <c r="P980">
        <f t="shared" si="48"/>
        <v>36.5</v>
      </c>
      <c r="Q980" s="111">
        <v>0.11799999999999999</v>
      </c>
      <c r="R980">
        <v>0.317</v>
      </c>
      <c r="S980" s="65">
        <v>29</v>
      </c>
      <c r="T980">
        <v>28</v>
      </c>
      <c r="U980" t="s">
        <v>51</v>
      </c>
      <c r="V980" t="s">
        <v>32</v>
      </c>
    </row>
    <row r="981" spans="1:23" x14ac:dyDescent="0.2">
      <c r="A981" s="5" t="s">
        <v>1135</v>
      </c>
      <c r="B981" s="6" t="s">
        <v>33</v>
      </c>
      <c r="C981" s="6" t="s">
        <v>45</v>
      </c>
      <c r="D981" s="65" t="str">
        <f t="shared" si="47"/>
        <v>088_V_c</v>
      </c>
      <c r="E981">
        <v>84</v>
      </c>
      <c r="F981" t="s">
        <v>29</v>
      </c>
      <c r="G981" t="s">
        <v>1143</v>
      </c>
      <c r="I981">
        <v>3.8250036069831199</v>
      </c>
      <c r="J981" s="82">
        <v>38.9</v>
      </c>
      <c r="K981" t="s">
        <v>57</v>
      </c>
      <c r="L981" s="82">
        <v>5.3</v>
      </c>
      <c r="M981" s="82">
        <v>12</v>
      </c>
      <c r="N981" s="82">
        <v>18.399999999999999</v>
      </c>
      <c r="O981" s="44">
        <f t="shared" si="46"/>
        <v>16.881316725978643</v>
      </c>
      <c r="P981">
        <f t="shared" si="48"/>
        <v>18.649999999999999</v>
      </c>
      <c r="Q981" s="111">
        <v>0.45300000000000001</v>
      </c>
      <c r="R981">
        <v>0.47199999999999998</v>
      </c>
      <c r="S981" s="65">
        <v>21</v>
      </c>
      <c r="T981">
        <v>62</v>
      </c>
      <c r="U981" t="s">
        <v>72</v>
      </c>
      <c r="V981" t="s">
        <v>32</v>
      </c>
    </row>
    <row r="982" spans="1:23" x14ac:dyDescent="0.2">
      <c r="A982" s="5" t="s">
        <v>1135</v>
      </c>
      <c r="B982" s="6" t="s">
        <v>27</v>
      </c>
      <c r="C982" s="6" t="s">
        <v>45</v>
      </c>
      <c r="D982" s="65" t="str">
        <f t="shared" si="47"/>
        <v>088_S_c</v>
      </c>
      <c r="E982">
        <v>102</v>
      </c>
      <c r="F982" t="s">
        <v>70</v>
      </c>
      <c r="G982" t="s">
        <v>1144</v>
      </c>
      <c r="I982">
        <v>6.0316015435332604</v>
      </c>
      <c r="J982" s="82">
        <v>22.9</v>
      </c>
      <c r="K982" s="83">
        <v>8.8000000000000007</v>
      </c>
      <c r="L982" s="82">
        <v>3.6</v>
      </c>
      <c r="M982">
        <v>7.1</v>
      </c>
      <c r="N982" s="82">
        <v>25.9</v>
      </c>
      <c r="O982" s="44">
        <f t="shared" si="46"/>
        <v>6.7855345911949696</v>
      </c>
      <c r="P982">
        <f t="shared" si="48"/>
        <v>13.66</v>
      </c>
      <c r="Q982" s="111">
        <v>0.50700000000000001</v>
      </c>
      <c r="R982">
        <v>0.627</v>
      </c>
      <c r="S982" s="65">
        <v>35</v>
      </c>
      <c r="T982">
        <v>83</v>
      </c>
      <c r="U982" t="s">
        <v>72</v>
      </c>
      <c r="V982" t="s">
        <v>32</v>
      </c>
    </row>
    <row r="983" spans="1:23" x14ac:dyDescent="0.2">
      <c r="A983" s="5" t="s">
        <v>1135</v>
      </c>
      <c r="B983" s="6" t="s">
        <v>36</v>
      </c>
      <c r="C983" s="6" t="s">
        <v>52</v>
      </c>
      <c r="D983" s="65" t="str">
        <f t="shared" si="47"/>
        <v>088_O_d</v>
      </c>
      <c r="E983">
        <v>110</v>
      </c>
      <c r="F983" t="s">
        <v>68</v>
      </c>
      <c r="G983" t="s">
        <v>1145</v>
      </c>
      <c r="I983">
        <v>2.6475974398165798</v>
      </c>
      <c r="J983" s="82">
        <v>18.2</v>
      </c>
      <c r="K983" s="82">
        <v>17.600000000000001</v>
      </c>
      <c r="L983" s="82">
        <v>30.4</v>
      </c>
      <c r="M983">
        <v>35.6</v>
      </c>
      <c r="N983" s="82">
        <v>39.799999999999997</v>
      </c>
      <c r="O983" s="44">
        <f t="shared" si="46"/>
        <v>3.1658153241650426</v>
      </c>
      <c r="P983">
        <f t="shared" si="48"/>
        <v>28.319999999999993</v>
      </c>
      <c r="Q983" s="111">
        <v>0.13</v>
      </c>
      <c r="R983">
        <v>0.27900000000000003</v>
      </c>
      <c r="S983" s="65">
        <v>6</v>
      </c>
      <c r="T983">
        <v>12</v>
      </c>
      <c r="U983" t="s">
        <v>31</v>
      </c>
      <c r="V983" t="s">
        <v>32</v>
      </c>
    </row>
    <row r="984" spans="1:23" x14ac:dyDescent="0.2">
      <c r="A984" s="5" t="s">
        <v>1135</v>
      </c>
      <c r="B984" s="6" t="s">
        <v>27</v>
      </c>
      <c r="C984" s="6" t="s">
        <v>52</v>
      </c>
      <c r="D984" s="65" t="str">
        <f t="shared" si="47"/>
        <v>088_S_d</v>
      </c>
      <c r="E984">
        <v>114</v>
      </c>
      <c r="F984" t="s">
        <v>39</v>
      </c>
      <c r="G984" t="s">
        <v>1146</v>
      </c>
      <c r="H984" t="s">
        <v>56</v>
      </c>
      <c r="I984">
        <v>0</v>
      </c>
      <c r="J984" s="82">
        <v>1.1000000000000001</v>
      </c>
      <c r="K984" s="82">
        <v>1</v>
      </c>
      <c r="L984" s="82">
        <v>1</v>
      </c>
      <c r="M984">
        <v>1</v>
      </c>
      <c r="N984" s="82">
        <v>0.9</v>
      </c>
      <c r="O984" s="44">
        <f t="shared" si="46"/>
        <v>2.4390243902439068E-3</v>
      </c>
      <c r="P984">
        <f t="shared" si="48"/>
        <v>1</v>
      </c>
      <c r="Q984" s="111" t="s">
        <v>57</v>
      </c>
      <c r="R984" t="s">
        <v>57</v>
      </c>
      <c r="S984" s="65" t="s">
        <v>57</v>
      </c>
      <c r="T984" t="s">
        <v>57</v>
      </c>
      <c r="V984" t="s">
        <v>32</v>
      </c>
      <c r="W984" t="s">
        <v>67</v>
      </c>
    </row>
    <row r="985" spans="1:23" ht="16" x14ac:dyDescent="0.2">
      <c r="A985" s="5" t="s">
        <v>1135</v>
      </c>
      <c r="B985" s="6" t="s">
        <v>33</v>
      </c>
      <c r="C985" s="6" t="s">
        <v>52</v>
      </c>
      <c r="D985" s="65" t="str">
        <f t="shared" si="47"/>
        <v>088_V_d</v>
      </c>
      <c r="E985">
        <v>144</v>
      </c>
      <c r="F985" t="s">
        <v>34</v>
      </c>
      <c r="G985" t="s">
        <v>1147</v>
      </c>
      <c r="I985">
        <v>5.3356561822125803</v>
      </c>
      <c r="J985" s="82">
        <v>44</v>
      </c>
      <c r="K985" s="82">
        <v>22.7</v>
      </c>
      <c r="L985" s="84">
        <v>31.7</v>
      </c>
      <c r="M985" s="82">
        <v>39.5</v>
      </c>
      <c r="N985" s="82">
        <v>30.5</v>
      </c>
      <c r="O985" s="44">
        <f t="shared" si="46"/>
        <v>2.5364031907179148</v>
      </c>
      <c r="P985">
        <f t="shared" si="48"/>
        <v>33.68</v>
      </c>
      <c r="Q985" s="111">
        <v>0.26700000000000002</v>
      </c>
      <c r="R985">
        <v>0.502</v>
      </c>
      <c r="S985" s="65">
        <v>27</v>
      </c>
      <c r="T985">
        <v>36</v>
      </c>
      <c r="U985" t="s">
        <v>51</v>
      </c>
      <c r="V985" t="s">
        <v>32</v>
      </c>
    </row>
    <row r="986" spans="1:23" ht="16" x14ac:dyDescent="0.2">
      <c r="A986" s="1" t="s">
        <v>1148</v>
      </c>
      <c r="B986" t="s">
        <v>33</v>
      </c>
      <c r="C986" t="s">
        <v>28</v>
      </c>
      <c r="D986" s="65" t="str">
        <f t="shared" si="47"/>
        <v>089_V_a</v>
      </c>
      <c r="E986">
        <v>16</v>
      </c>
      <c r="F986" t="s">
        <v>41</v>
      </c>
      <c r="G986" t="s">
        <v>1149</v>
      </c>
      <c r="I986">
        <v>3.44812481543459</v>
      </c>
      <c r="J986" s="84">
        <v>15.3</v>
      </c>
      <c r="K986" s="82">
        <v>17.2</v>
      </c>
      <c r="L986" s="82">
        <v>29.1</v>
      </c>
      <c r="M986" s="82">
        <v>34.6</v>
      </c>
      <c r="N986" s="82">
        <v>41.3</v>
      </c>
      <c r="O986" s="44">
        <f t="shared" si="46"/>
        <v>3.6076230076230136</v>
      </c>
      <c r="P986">
        <f t="shared" si="48"/>
        <v>27.5</v>
      </c>
      <c r="Q986" s="111">
        <v>0.28499999999999998</v>
      </c>
      <c r="R986">
        <v>0.44400000000000001</v>
      </c>
      <c r="S986" s="65">
        <v>13</v>
      </c>
      <c r="T986">
        <v>11</v>
      </c>
      <c r="U986" s="47" t="s">
        <v>31</v>
      </c>
      <c r="V986" t="s">
        <v>32</v>
      </c>
    </row>
    <row r="987" spans="1:23" x14ac:dyDescent="0.2">
      <c r="A987" s="5" t="s">
        <v>1148</v>
      </c>
      <c r="B987" s="6" t="s">
        <v>36</v>
      </c>
      <c r="C987" s="6" t="s">
        <v>28</v>
      </c>
      <c r="D987" s="65" t="str">
        <f t="shared" si="47"/>
        <v>089_O_a</v>
      </c>
      <c r="E987">
        <v>35</v>
      </c>
      <c r="F987" t="s">
        <v>39</v>
      </c>
      <c r="G987" t="s">
        <v>1150</v>
      </c>
      <c r="I987">
        <v>2.35506532112962</v>
      </c>
      <c r="J987" s="82">
        <v>18</v>
      </c>
      <c r="K987" t="s">
        <v>57</v>
      </c>
      <c r="L987" s="82">
        <v>19.899999999999999</v>
      </c>
      <c r="M987" s="82">
        <v>22.6</v>
      </c>
      <c r="N987" s="82">
        <v>21.5</v>
      </c>
      <c r="O987" s="44">
        <f t="shared" si="46"/>
        <v>0.26495867768595061</v>
      </c>
      <c r="P987">
        <f t="shared" si="48"/>
        <v>20.5</v>
      </c>
      <c r="Q987" s="111">
        <v>0.13</v>
      </c>
      <c r="R987">
        <v>0.23699999999999999</v>
      </c>
      <c r="S987" s="65">
        <v>9</v>
      </c>
      <c r="T987">
        <v>10</v>
      </c>
      <c r="U987" t="s">
        <v>31</v>
      </c>
      <c r="V987" t="s">
        <v>32</v>
      </c>
    </row>
    <row r="988" spans="1:23" x14ac:dyDescent="0.2">
      <c r="A988" s="5" t="s">
        <v>1148</v>
      </c>
      <c r="B988" s="6" t="s">
        <v>27</v>
      </c>
      <c r="C988" s="6" t="s">
        <v>28</v>
      </c>
      <c r="D988" s="65" t="str">
        <f t="shared" si="47"/>
        <v>089_S_a</v>
      </c>
      <c r="E988">
        <v>36</v>
      </c>
      <c r="F988" t="s">
        <v>68</v>
      </c>
      <c r="G988" t="s">
        <v>1151</v>
      </c>
      <c r="I988">
        <v>2.28350401966307</v>
      </c>
      <c r="K988" s="82">
        <v>19.600000000000001</v>
      </c>
      <c r="L988" s="82">
        <v>33.299999999999997</v>
      </c>
      <c r="M988" s="82">
        <v>1.9</v>
      </c>
      <c r="N988" s="82">
        <v>39.700000000000003</v>
      </c>
      <c r="O988" s="44">
        <f t="shared" si="46"/>
        <v>13.566970802919709</v>
      </c>
      <c r="P988">
        <f t="shared" si="48"/>
        <v>23.625</v>
      </c>
      <c r="Q988" s="111">
        <v>0.13700000000000001</v>
      </c>
      <c r="R988">
        <v>0.308</v>
      </c>
      <c r="S988" s="65">
        <v>18</v>
      </c>
      <c r="T988">
        <v>65</v>
      </c>
      <c r="U988" t="s">
        <v>31</v>
      </c>
      <c r="V988" t="s">
        <v>32</v>
      </c>
    </row>
    <row r="989" spans="1:23" x14ac:dyDescent="0.2">
      <c r="A989" s="5" t="s">
        <v>1148</v>
      </c>
      <c r="B989" s="6" t="s">
        <v>27</v>
      </c>
      <c r="C989" s="6" t="s">
        <v>38</v>
      </c>
      <c r="D989" s="65" t="str">
        <f t="shared" si="47"/>
        <v>089_S_b</v>
      </c>
      <c r="E989">
        <v>37</v>
      </c>
      <c r="F989" t="s">
        <v>82</v>
      </c>
      <c r="G989" t="s">
        <v>1152</v>
      </c>
      <c r="I989">
        <v>3.8319624895222102</v>
      </c>
      <c r="J989" s="82">
        <v>17.899999999999999</v>
      </c>
      <c r="K989" s="82">
        <v>36.299999999999997</v>
      </c>
      <c r="L989" s="82">
        <v>49.7</v>
      </c>
      <c r="M989" s="82">
        <v>40.700000000000003</v>
      </c>
      <c r="N989" s="82">
        <v>41.3</v>
      </c>
      <c r="O989" s="44">
        <f t="shared" si="46"/>
        <v>4.9551867219916872</v>
      </c>
      <c r="P989">
        <f t="shared" si="48"/>
        <v>37.180000000000007</v>
      </c>
      <c r="Q989" s="111">
        <v>0.32700000000000001</v>
      </c>
      <c r="R989">
        <v>0.47</v>
      </c>
      <c r="S989" s="65">
        <v>17</v>
      </c>
      <c r="T989">
        <v>26</v>
      </c>
      <c r="U989" t="s">
        <v>31</v>
      </c>
      <c r="V989" t="s">
        <v>32</v>
      </c>
    </row>
    <row r="990" spans="1:23" x14ac:dyDescent="0.2">
      <c r="A990" s="5" t="s">
        <v>1148</v>
      </c>
      <c r="B990" s="6" t="s">
        <v>36</v>
      </c>
      <c r="C990" s="6" t="s">
        <v>38</v>
      </c>
      <c r="D990" s="65" t="str">
        <f t="shared" si="47"/>
        <v>089_O_b</v>
      </c>
      <c r="E990">
        <v>63</v>
      </c>
      <c r="F990" t="s">
        <v>34</v>
      </c>
      <c r="G990" t="s">
        <v>1153</v>
      </c>
      <c r="I990">
        <v>2.52481225593271</v>
      </c>
      <c r="J990" s="82">
        <v>28.3</v>
      </c>
      <c r="K990" s="82">
        <v>26</v>
      </c>
      <c r="L990" s="82">
        <v>29.1</v>
      </c>
      <c r="M990" s="82">
        <v>24.7</v>
      </c>
      <c r="N990" s="82">
        <v>34.299999999999997</v>
      </c>
      <c r="O990" s="44">
        <f t="shared" si="46"/>
        <v>0.15279062596361404</v>
      </c>
      <c r="P990">
        <f t="shared" si="48"/>
        <v>28.48</v>
      </c>
      <c r="Q990" s="111">
        <v>0.16200000000000001</v>
      </c>
      <c r="R990">
        <v>0.312</v>
      </c>
      <c r="S990" s="65">
        <v>11</v>
      </c>
      <c r="T990">
        <v>27</v>
      </c>
      <c r="U990" t="s">
        <v>31</v>
      </c>
      <c r="V990" t="s">
        <v>32</v>
      </c>
    </row>
    <row r="991" spans="1:23" x14ac:dyDescent="0.2">
      <c r="A991" s="1" t="s">
        <v>1148</v>
      </c>
      <c r="B991" t="s">
        <v>33</v>
      </c>
      <c r="C991" t="s">
        <v>38</v>
      </c>
      <c r="D991" s="65" t="str">
        <f t="shared" si="47"/>
        <v>089_V_b</v>
      </c>
      <c r="E991">
        <v>64</v>
      </c>
      <c r="F991" t="s">
        <v>41</v>
      </c>
      <c r="G991" t="s">
        <v>1154</v>
      </c>
      <c r="I991">
        <v>3.2497311108407301</v>
      </c>
      <c r="J991" s="82">
        <v>10.6</v>
      </c>
      <c r="K991" s="82">
        <v>3.8</v>
      </c>
      <c r="L991" s="82">
        <v>9.8000000000000007</v>
      </c>
      <c r="M991" s="82">
        <v>3.4</v>
      </c>
      <c r="N991" s="82">
        <v>4.0999999999999996</v>
      </c>
      <c r="O991" s="44">
        <f t="shared" si="46"/>
        <v>2.1236714975845445</v>
      </c>
      <c r="P991">
        <f t="shared" si="48"/>
        <v>6.339999999999999</v>
      </c>
      <c r="Q991" s="111">
        <v>0.17899999999999999</v>
      </c>
      <c r="R991">
        <v>0.41199999999999998</v>
      </c>
      <c r="S991" s="65">
        <v>17</v>
      </c>
      <c r="T991">
        <v>23</v>
      </c>
      <c r="U991" t="s">
        <v>31</v>
      </c>
      <c r="V991" t="s">
        <v>32</v>
      </c>
    </row>
    <row r="992" spans="1:23" s="19" customFormat="1" x14ac:dyDescent="0.2">
      <c r="A992" s="17" t="s">
        <v>1148</v>
      </c>
      <c r="B992" s="18" t="s">
        <v>27</v>
      </c>
      <c r="C992" s="18" t="s">
        <v>45</v>
      </c>
      <c r="D992" s="66" t="str">
        <f t="shared" si="47"/>
        <v>089_S_c</v>
      </c>
      <c r="E992" s="19">
        <v>89</v>
      </c>
      <c r="F992" s="19" t="s">
        <v>41</v>
      </c>
      <c r="G992" s="19" t="s">
        <v>1155</v>
      </c>
      <c r="I992">
        <v>0.36856610029009501</v>
      </c>
      <c r="J992" s="83">
        <v>3.8</v>
      </c>
      <c r="K992" s="83">
        <v>8.6999999999999993</v>
      </c>
      <c r="L992" s="83">
        <v>21.7</v>
      </c>
      <c r="M992" s="83">
        <v>4.3</v>
      </c>
      <c r="N992" s="83">
        <v>6.8</v>
      </c>
      <c r="O992" s="54">
        <f t="shared" ref="O992:O1055" si="49">VAR(J992:M992)/AVERAGE(J992:M992)</f>
        <v>7.2362770562770553</v>
      </c>
      <c r="P992">
        <f t="shared" si="48"/>
        <v>9.0599999999999987</v>
      </c>
      <c r="Q992" s="112">
        <v>2.4E-2</v>
      </c>
      <c r="R992" s="19">
        <v>6.9000000000000006E-2</v>
      </c>
      <c r="S992" s="66">
        <v>4</v>
      </c>
      <c r="T992" s="19">
        <v>28</v>
      </c>
      <c r="U992" s="19" t="s">
        <v>54</v>
      </c>
      <c r="V992" t="s">
        <v>32</v>
      </c>
    </row>
    <row r="993" spans="1:23" x14ac:dyDescent="0.2">
      <c r="A993" s="5" t="s">
        <v>1148</v>
      </c>
      <c r="B993" s="6" t="s">
        <v>36</v>
      </c>
      <c r="C993" s="6" t="s">
        <v>45</v>
      </c>
      <c r="D993" s="65" t="str">
        <f t="shared" si="47"/>
        <v>089_O_c</v>
      </c>
      <c r="E993">
        <v>93</v>
      </c>
      <c r="F993" t="s">
        <v>43</v>
      </c>
      <c r="G993" t="s">
        <v>1156</v>
      </c>
      <c r="I993">
        <v>2.9000591191250402</v>
      </c>
      <c r="J993" s="82">
        <v>27.7</v>
      </c>
      <c r="K993" s="82">
        <v>19.2</v>
      </c>
      <c r="L993" s="82">
        <v>35.6</v>
      </c>
      <c r="M993">
        <v>29.3</v>
      </c>
      <c r="N993" s="82">
        <v>25.2</v>
      </c>
      <c r="O993" s="44">
        <f t="shared" si="49"/>
        <v>1.6335122242098963</v>
      </c>
      <c r="P993">
        <f t="shared" si="48"/>
        <v>27.4</v>
      </c>
      <c r="Q993" s="111">
        <v>0.20399999999999999</v>
      </c>
      <c r="R993">
        <v>0.35699999999999998</v>
      </c>
      <c r="S993" s="65">
        <v>18</v>
      </c>
      <c r="T993">
        <v>26</v>
      </c>
      <c r="U993" t="s">
        <v>31</v>
      </c>
      <c r="V993" t="s">
        <v>32</v>
      </c>
    </row>
    <row r="994" spans="1:23" x14ac:dyDescent="0.2">
      <c r="A994" s="5" t="s">
        <v>1148</v>
      </c>
      <c r="B994" s="6" t="s">
        <v>33</v>
      </c>
      <c r="C994" s="6" t="s">
        <v>45</v>
      </c>
      <c r="D994" s="65" t="str">
        <f t="shared" si="47"/>
        <v>089_V_c</v>
      </c>
      <c r="E994">
        <v>98</v>
      </c>
      <c r="F994" t="s">
        <v>68</v>
      </c>
      <c r="G994" t="s">
        <v>1157</v>
      </c>
      <c r="I994">
        <v>2.2238403558630901</v>
      </c>
      <c r="J994" s="82">
        <v>25.5</v>
      </c>
      <c r="K994" s="82">
        <v>12.9</v>
      </c>
      <c r="L994" s="82">
        <v>36.9</v>
      </c>
      <c r="M994">
        <v>37.799999999999997</v>
      </c>
      <c r="N994" s="82">
        <v>20.9</v>
      </c>
      <c r="O994" s="44">
        <f t="shared" si="49"/>
        <v>4.8241379310344827</v>
      </c>
      <c r="P994">
        <f t="shared" si="48"/>
        <v>26.8</v>
      </c>
      <c r="Q994" s="111">
        <v>0.183</v>
      </c>
      <c r="R994">
        <v>0.40600000000000003</v>
      </c>
      <c r="S994" s="65">
        <v>14</v>
      </c>
      <c r="T994">
        <v>22</v>
      </c>
      <c r="U994" t="s">
        <v>31</v>
      </c>
      <c r="V994" t="s">
        <v>32</v>
      </c>
    </row>
    <row r="995" spans="1:23" x14ac:dyDescent="0.2">
      <c r="A995" s="5" t="s">
        <v>1148</v>
      </c>
      <c r="B995" s="6" t="s">
        <v>33</v>
      </c>
      <c r="C995" s="6" t="s">
        <v>52</v>
      </c>
      <c r="D995" s="65" t="str">
        <f t="shared" si="47"/>
        <v>089_V_d</v>
      </c>
      <c r="E995">
        <v>112</v>
      </c>
      <c r="F995" t="s">
        <v>68</v>
      </c>
      <c r="G995" t="s">
        <v>1158</v>
      </c>
      <c r="I995">
        <v>0</v>
      </c>
      <c r="J995" s="82">
        <v>9.4</v>
      </c>
      <c r="K995" s="82">
        <v>6.2</v>
      </c>
      <c r="L995" s="82">
        <v>2.4</v>
      </c>
      <c r="M995">
        <v>10.199999999999999</v>
      </c>
      <c r="N995" s="82">
        <v>27.9</v>
      </c>
      <c r="O995" s="44">
        <f t="shared" si="49"/>
        <v>1.7867612293144204</v>
      </c>
      <c r="P995">
        <f t="shared" si="48"/>
        <v>11.219999999999999</v>
      </c>
      <c r="Q995" s="111">
        <v>0.109</v>
      </c>
      <c r="R995">
        <v>0.14199999999999999</v>
      </c>
      <c r="S995" s="65">
        <v>12</v>
      </c>
      <c r="T995">
        <v>13</v>
      </c>
      <c r="U995" t="s">
        <v>54</v>
      </c>
      <c r="V995" t="s">
        <v>32</v>
      </c>
    </row>
    <row r="996" spans="1:23" ht="16" x14ac:dyDescent="0.2">
      <c r="A996" s="5" t="s">
        <v>1148</v>
      </c>
      <c r="B996" s="6" t="s">
        <v>36</v>
      </c>
      <c r="C996" s="6" t="s">
        <v>52</v>
      </c>
      <c r="D996" s="65" t="str">
        <f t="shared" si="47"/>
        <v>089_O_d</v>
      </c>
      <c r="E996">
        <v>127</v>
      </c>
      <c r="F996" t="s">
        <v>63</v>
      </c>
      <c r="G996" t="s">
        <v>1159</v>
      </c>
      <c r="I996">
        <v>4.1445134418780798</v>
      </c>
      <c r="J996" s="82">
        <v>31.4</v>
      </c>
      <c r="K996" s="82">
        <v>29.7</v>
      </c>
      <c r="L996" s="84">
        <v>40.4</v>
      </c>
      <c r="M996">
        <v>39</v>
      </c>
      <c r="N996" s="82">
        <v>34.9</v>
      </c>
      <c r="O996" s="44">
        <f t="shared" si="49"/>
        <v>0.81753262158955275</v>
      </c>
      <c r="P996">
        <f t="shared" si="48"/>
        <v>35.08</v>
      </c>
      <c r="Q996" s="111">
        <v>0.27600000000000002</v>
      </c>
      <c r="R996">
        <v>0.375</v>
      </c>
      <c r="S996" s="65">
        <v>20</v>
      </c>
      <c r="T996">
        <v>42</v>
      </c>
      <c r="U996" t="s">
        <v>54</v>
      </c>
      <c r="V996" t="s">
        <v>32</v>
      </c>
    </row>
    <row r="997" spans="1:23" ht="16" x14ac:dyDescent="0.2">
      <c r="A997" s="5" t="s">
        <v>1148</v>
      </c>
      <c r="B997" s="6" t="s">
        <v>27</v>
      </c>
      <c r="C997" s="6" t="s">
        <v>52</v>
      </c>
      <c r="D997" s="65" t="str">
        <f t="shared" si="47"/>
        <v>089_S_d</v>
      </c>
      <c r="E997">
        <v>139</v>
      </c>
      <c r="F997" t="s">
        <v>43</v>
      </c>
      <c r="G997" t="s">
        <v>1160</v>
      </c>
      <c r="H997" t="s">
        <v>56</v>
      </c>
      <c r="I997">
        <v>0</v>
      </c>
      <c r="J997" s="82">
        <v>1.1000000000000001</v>
      </c>
      <c r="K997" s="82">
        <v>1</v>
      </c>
      <c r="L997" s="84">
        <v>1</v>
      </c>
      <c r="M997" s="82">
        <v>1</v>
      </c>
      <c r="N997" s="82">
        <v>0.9</v>
      </c>
      <c r="O997" s="44">
        <f t="shared" si="49"/>
        <v>2.4390243902439068E-3</v>
      </c>
      <c r="P997">
        <f t="shared" si="48"/>
        <v>1</v>
      </c>
      <c r="Q997" s="111" t="s">
        <v>57</v>
      </c>
      <c r="R997" t="s">
        <v>57</v>
      </c>
      <c r="S997" s="65" t="s">
        <v>57</v>
      </c>
      <c r="T997" t="s">
        <v>57</v>
      </c>
      <c r="V997" t="s">
        <v>32</v>
      </c>
      <c r="W997" t="s">
        <v>67</v>
      </c>
    </row>
    <row r="998" spans="1:23" ht="16" x14ac:dyDescent="0.2">
      <c r="A998" s="1" t="s">
        <v>1161</v>
      </c>
      <c r="B998" t="s">
        <v>33</v>
      </c>
      <c r="C998" t="s">
        <v>28</v>
      </c>
      <c r="D998" s="65" t="str">
        <f t="shared" si="47"/>
        <v>090_V_a</v>
      </c>
      <c r="E998">
        <v>2</v>
      </c>
      <c r="F998" t="s">
        <v>82</v>
      </c>
      <c r="G998" t="s">
        <v>1162</v>
      </c>
      <c r="I998">
        <v>1.48527933324652</v>
      </c>
      <c r="J998" s="84">
        <v>18.399999999999999</v>
      </c>
      <c r="K998" s="82">
        <v>22.3</v>
      </c>
      <c r="L998" s="82">
        <v>18.8</v>
      </c>
      <c r="M998" s="82">
        <v>22</v>
      </c>
      <c r="N998" s="82">
        <v>29</v>
      </c>
      <c r="O998" s="44">
        <f t="shared" si="49"/>
        <v>0.20822085889570563</v>
      </c>
      <c r="P998">
        <f t="shared" si="48"/>
        <v>22.1</v>
      </c>
      <c r="Q998" s="111">
        <v>0.10199999999999999</v>
      </c>
      <c r="R998">
        <v>0.29299999999999998</v>
      </c>
      <c r="S998" s="65">
        <v>7</v>
      </c>
      <c r="T998">
        <v>40</v>
      </c>
      <c r="U998" t="s">
        <v>54</v>
      </c>
      <c r="V998" t="s">
        <v>32</v>
      </c>
    </row>
    <row r="999" spans="1:23" ht="16" x14ac:dyDescent="0.2">
      <c r="A999" s="5" t="s">
        <v>1161</v>
      </c>
      <c r="B999" s="6" t="s">
        <v>27</v>
      </c>
      <c r="C999" s="6" t="s">
        <v>28</v>
      </c>
      <c r="D999" s="65" t="str">
        <f t="shared" si="47"/>
        <v>090_S_a</v>
      </c>
      <c r="E999">
        <v>6</v>
      </c>
      <c r="F999" t="s">
        <v>82</v>
      </c>
      <c r="G999" t="s">
        <v>1163</v>
      </c>
      <c r="H999" t="s">
        <v>56</v>
      </c>
      <c r="I999">
        <v>0</v>
      </c>
      <c r="J999" s="84">
        <v>1</v>
      </c>
      <c r="K999" s="82">
        <v>1</v>
      </c>
      <c r="L999" s="82">
        <v>1</v>
      </c>
      <c r="M999" s="82">
        <v>1</v>
      </c>
      <c r="N999" s="82">
        <v>0.9</v>
      </c>
      <c r="O999" s="44">
        <f t="shared" si="49"/>
        <v>0</v>
      </c>
      <c r="P999">
        <f t="shared" si="48"/>
        <v>0.98000000000000009</v>
      </c>
      <c r="Q999" s="111" t="s">
        <v>57</v>
      </c>
      <c r="R999" t="s">
        <v>57</v>
      </c>
      <c r="S999" s="65" t="s">
        <v>57</v>
      </c>
      <c r="T999" t="s">
        <v>57</v>
      </c>
      <c r="U999" t="s">
        <v>57</v>
      </c>
      <c r="V999" t="s">
        <v>32</v>
      </c>
      <c r="W999" t="s">
        <v>67</v>
      </c>
    </row>
    <row r="1000" spans="1:23" x14ac:dyDescent="0.2">
      <c r="A1000" s="5" t="s">
        <v>1161</v>
      </c>
      <c r="B1000" s="6" t="s">
        <v>36</v>
      </c>
      <c r="C1000" s="6" t="s">
        <v>28</v>
      </c>
      <c r="D1000" s="65" t="str">
        <f t="shared" si="47"/>
        <v>090_O_a</v>
      </c>
      <c r="E1000">
        <v>32</v>
      </c>
      <c r="F1000" t="s">
        <v>39</v>
      </c>
      <c r="G1000" t="s">
        <v>1164</v>
      </c>
      <c r="I1000">
        <v>0.43086053412462899</v>
      </c>
      <c r="J1000" s="82">
        <v>1.1000000000000001</v>
      </c>
      <c r="K1000" s="82">
        <v>2.2999999999999998</v>
      </c>
      <c r="L1000" s="82">
        <v>11.1</v>
      </c>
      <c r="M1000" s="82">
        <v>2.2000000000000002</v>
      </c>
      <c r="N1000" s="82">
        <v>12.4</v>
      </c>
      <c r="O1000" s="44">
        <f t="shared" si="49"/>
        <v>5.175848303393213</v>
      </c>
      <c r="P1000">
        <f t="shared" si="48"/>
        <v>5.82</v>
      </c>
      <c r="Q1000" s="111">
        <v>4.2999999999999997E-2</v>
      </c>
      <c r="R1000">
        <v>9.5000000000000001E-2</v>
      </c>
      <c r="S1000" s="65">
        <v>9</v>
      </c>
      <c r="T1000">
        <v>10</v>
      </c>
      <c r="U1000" t="s">
        <v>31</v>
      </c>
      <c r="V1000" t="s">
        <v>32</v>
      </c>
    </row>
    <row r="1001" spans="1:23" x14ac:dyDescent="0.2">
      <c r="A1001" s="5" t="s">
        <v>1161</v>
      </c>
      <c r="B1001" s="6" t="s">
        <v>36</v>
      </c>
      <c r="C1001" s="6" t="s">
        <v>38</v>
      </c>
      <c r="D1001" s="65" t="str">
        <f t="shared" si="47"/>
        <v>090_O_b</v>
      </c>
      <c r="E1001">
        <v>40</v>
      </c>
      <c r="F1001" t="s">
        <v>82</v>
      </c>
      <c r="G1001" t="s">
        <v>1165</v>
      </c>
      <c r="I1001">
        <v>1.77231067459292</v>
      </c>
      <c r="J1001" s="82">
        <v>35.9</v>
      </c>
      <c r="K1001" s="82">
        <v>37.299999999999997</v>
      </c>
      <c r="L1001" s="82">
        <v>34.6</v>
      </c>
      <c r="M1001" s="82">
        <v>25.8</v>
      </c>
      <c r="N1001" s="82">
        <v>27.5</v>
      </c>
      <c r="O1001" s="44">
        <f t="shared" si="49"/>
        <v>0.80499001996007835</v>
      </c>
      <c r="P1001">
        <f t="shared" si="48"/>
        <v>32.22</v>
      </c>
      <c r="Q1001" s="111">
        <v>0.222</v>
      </c>
      <c r="R1001">
        <v>0.34599999999999997</v>
      </c>
      <c r="S1001" s="65">
        <v>11</v>
      </c>
      <c r="T1001">
        <v>9</v>
      </c>
      <c r="U1001" t="s">
        <v>51</v>
      </c>
      <c r="V1001" t="s">
        <v>32</v>
      </c>
    </row>
    <row r="1002" spans="1:23" s="19" customFormat="1" x14ac:dyDescent="0.2">
      <c r="A1002" s="27" t="s">
        <v>1161</v>
      </c>
      <c r="B1002" s="19" t="s">
        <v>33</v>
      </c>
      <c r="C1002" s="19" t="s">
        <v>38</v>
      </c>
      <c r="D1002" s="66" t="str">
        <f t="shared" si="47"/>
        <v>090_V_b</v>
      </c>
      <c r="E1002" s="19">
        <v>56</v>
      </c>
      <c r="F1002" s="19" t="s">
        <v>49</v>
      </c>
      <c r="G1002" s="19" t="s">
        <v>1166</v>
      </c>
      <c r="I1002">
        <v>2.05279652605459</v>
      </c>
      <c r="J1002" s="83">
        <v>31.5</v>
      </c>
      <c r="K1002" s="83">
        <v>3.6</v>
      </c>
      <c r="L1002" s="83">
        <v>24.9</v>
      </c>
      <c r="M1002" s="83">
        <v>26.4</v>
      </c>
      <c r="N1002" s="83">
        <v>34.200000000000003</v>
      </c>
      <c r="O1002" s="54">
        <f t="shared" si="49"/>
        <v>7.0361111111111052</v>
      </c>
      <c r="P1002">
        <f t="shared" si="48"/>
        <v>24.12</v>
      </c>
      <c r="Q1002" s="112">
        <v>0.13400000000000001</v>
      </c>
      <c r="R1002" s="19">
        <v>0.34499999999999997</v>
      </c>
      <c r="S1002" s="66">
        <v>10</v>
      </c>
      <c r="T1002" s="19">
        <v>7</v>
      </c>
      <c r="U1002" s="19" t="s">
        <v>31</v>
      </c>
      <c r="V1002" t="s">
        <v>32</v>
      </c>
    </row>
    <row r="1003" spans="1:23" x14ac:dyDescent="0.2">
      <c r="A1003" s="5" t="s">
        <v>1161</v>
      </c>
      <c r="B1003" s="6" t="s">
        <v>27</v>
      </c>
      <c r="C1003" s="6" t="s">
        <v>38</v>
      </c>
      <c r="D1003" s="65" t="str">
        <f t="shared" si="47"/>
        <v>090_S_b</v>
      </c>
      <c r="E1003">
        <v>60</v>
      </c>
      <c r="F1003" t="s">
        <v>49</v>
      </c>
      <c r="G1003" t="s">
        <v>1167</v>
      </c>
      <c r="I1003">
        <v>2.7608964218455698</v>
      </c>
      <c r="J1003" s="82">
        <v>37.200000000000003</v>
      </c>
      <c r="K1003" s="82">
        <v>27.6</v>
      </c>
      <c r="L1003" s="82">
        <v>33.1</v>
      </c>
      <c r="M1003" s="82">
        <v>7.5</v>
      </c>
      <c r="N1003" s="82">
        <v>25.6</v>
      </c>
      <c r="O1003" s="44">
        <f t="shared" si="49"/>
        <v>6.5802656546489562</v>
      </c>
      <c r="P1003">
        <f t="shared" si="48"/>
        <v>26.2</v>
      </c>
      <c r="Q1003" s="111">
        <v>0.17</v>
      </c>
      <c r="R1003">
        <v>0.35899999999999999</v>
      </c>
      <c r="S1003" s="65">
        <v>9</v>
      </c>
      <c r="T1003">
        <v>24</v>
      </c>
      <c r="U1003" t="s">
        <v>31</v>
      </c>
      <c r="V1003" t="s">
        <v>32</v>
      </c>
    </row>
    <row r="1004" spans="1:23" x14ac:dyDescent="0.2">
      <c r="A1004" s="5" t="s">
        <v>1161</v>
      </c>
      <c r="B1004" s="6" t="s">
        <v>27</v>
      </c>
      <c r="C1004" s="6" t="s">
        <v>45</v>
      </c>
      <c r="D1004" s="65" t="str">
        <f t="shared" si="47"/>
        <v>090_S_c</v>
      </c>
      <c r="E1004">
        <v>73</v>
      </c>
      <c r="F1004" t="s">
        <v>49</v>
      </c>
      <c r="G1004" t="s">
        <v>1168</v>
      </c>
      <c r="I1004">
        <v>1.6030569265355701</v>
      </c>
      <c r="J1004" s="82">
        <v>25</v>
      </c>
      <c r="K1004" s="82" t="s">
        <v>57</v>
      </c>
      <c r="L1004" s="82">
        <v>33.799999999999997</v>
      </c>
      <c r="M1004" s="82">
        <v>9.4</v>
      </c>
      <c r="N1004" s="82">
        <v>43.6</v>
      </c>
      <c r="O1004" s="44">
        <f t="shared" si="49"/>
        <v>6.7167155425219809</v>
      </c>
      <c r="P1004">
        <f t="shared" si="48"/>
        <v>27.950000000000003</v>
      </c>
      <c r="Q1004" s="111">
        <v>0.13300000000000001</v>
      </c>
      <c r="R1004">
        <v>0.30299999999999999</v>
      </c>
      <c r="S1004" s="65">
        <v>14</v>
      </c>
      <c r="T1004">
        <v>23</v>
      </c>
      <c r="U1004" t="s">
        <v>51</v>
      </c>
      <c r="V1004" t="s">
        <v>32</v>
      </c>
    </row>
    <row r="1005" spans="1:23" x14ac:dyDescent="0.2">
      <c r="A1005" s="5" t="s">
        <v>1161</v>
      </c>
      <c r="B1005" s="6" t="s">
        <v>33</v>
      </c>
      <c r="C1005" s="6" t="s">
        <v>45</v>
      </c>
      <c r="D1005" s="65" t="str">
        <f t="shared" si="47"/>
        <v>090_V_c</v>
      </c>
      <c r="E1005">
        <v>89</v>
      </c>
      <c r="F1005" t="s">
        <v>68</v>
      </c>
      <c r="G1005" t="s">
        <v>1169</v>
      </c>
      <c r="I1005">
        <v>1.21685315651333</v>
      </c>
      <c r="J1005" s="82">
        <v>7</v>
      </c>
      <c r="K1005" s="82">
        <v>9.4</v>
      </c>
      <c r="L1005" s="82">
        <v>26.6</v>
      </c>
      <c r="M1005" s="82">
        <v>19.100000000000001</v>
      </c>
      <c r="N1005" s="82">
        <v>32.799999999999997</v>
      </c>
      <c r="O1005" s="44">
        <f t="shared" si="49"/>
        <v>5.2738056897477179</v>
      </c>
      <c r="P1005">
        <f t="shared" si="48"/>
        <v>18.98</v>
      </c>
      <c r="Q1005" s="111">
        <v>0.123</v>
      </c>
      <c r="R1005">
        <v>0.21199999999999999</v>
      </c>
      <c r="S1005" s="65">
        <v>13</v>
      </c>
      <c r="T1005">
        <v>9</v>
      </c>
      <c r="U1005" t="s">
        <v>54</v>
      </c>
      <c r="V1005" t="s">
        <v>32</v>
      </c>
    </row>
    <row r="1006" spans="1:23" x14ac:dyDescent="0.2">
      <c r="A1006" s="5" t="s">
        <v>1161</v>
      </c>
      <c r="B1006" s="6" t="s">
        <v>36</v>
      </c>
      <c r="C1006" s="6" t="s">
        <v>45</v>
      </c>
      <c r="D1006" s="65" t="str">
        <f t="shared" si="47"/>
        <v>090_O_c</v>
      </c>
      <c r="E1006">
        <v>105</v>
      </c>
      <c r="F1006" t="s">
        <v>63</v>
      </c>
      <c r="G1006" t="s">
        <v>1170</v>
      </c>
      <c r="I1006">
        <v>2.5653052251019899</v>
      </c>
      <c r="J1006" s="43">
        <v>1.9</v>
      </c>
      <c r="K1006" s="82">
        <v>16.3</v>
      </c>
      <c r="L1006" s="82">
        <v>20.3</v>
      </c>
      <c r="M1006" s="43">
        <v>1.7</v>
      </c>
      <c r="N1006" s="82">
        <v>20.3</v>
      </c>
      <c r="O1006" s="44">
        <f t="shared" si="49"/>
        <v>9.2958540630182434</v>
      </c>
      <c r="P1006">
        <f t="shared" si="48"/>
        <v>12.1</v>
      </c>
      <c r="Q1006" s="111">
        <v>0.128</v>
      </c>
      <c r="R1006">
        <v>0.28799999999999998</v>
      </c>
      <c r="S1006" s="65">
        <v>7</v>
      </c>
      <c r="T1006">
        <v>24</v>
      </c>
      <c r="U1006" t="s">
        <v>72</v>
      </c>
      <c r="V1006" t="s">
        <v>32</v>
      </c>
    </row>
    <row r="1007" spans="1:23" ht="16" x14ac:dyDescent="0.2">
      <c r="A1007" s="5" t="s">
        <v>1161</v>
      </c>
      <c r="B1007" s="6" t="s">
        <v>36</v>
      </c>
      <c r="C1007" s="6" t="s">
        <v>52</v>
      </c>
      <c r="D1007" s="65" t="str">
        <f t="shared" si="47"/>
        <v>090_O_d</v>
      </c>
      <c r="E1007">
        <v>125</v>
      </c>
      <c r="F1007" t="s">
        <v>63</v>
      </c>
      <c r="G1007" t="s">
        <v>1171</v>
      </c>
      <c r="I1007">
        <v>1.51601566447701</v>
      </c>
      <c r="J1007" s="82">
        <v>18.100000000000001</v>
      </c>
      <c r="K1007" s="82">
        <v>25.2</v>
      </c>
      <c r="L1007" s="84">
        <v>29.3</v>
      </c>
      <c r="M1007">
        <v>25.5</v>
      </c>
      <c r="N1007" s="82">
        <v>27.6</v>
      </c>
      <c r="O1007" s="44">
        <f t="shared" si="49"/>
        <v>0.89007815154605019</v>
      </c>
      <c r="P1007">
        <f t="shared" si="48"/>
        <v>25.139999999999997</v>
      </c>
      <c r="Q1007" s="111">
        <v>0.14199999999999999</v>
      </c>
      <c r="R1007">
        <v>0.255</v>
      </c>
      <c r="S1007" s="65">
        <v>6</v>
      </c>
      <c r="T1007">
        <v>1</v>
      </c>
      <c r="U1007" t="s">
        <v>31</v>
      </c>
      <c r="V1007" t="s">
        <v>32</v>
      </c>
    </row>
    <row r="1008" spans="1:23" ht="16" x14ac:dyDescent="0.2">
      <c r="A1008" s="5" t="s">
        <v>1161</v>
      </c>
      <c r="B1008" s="6" t="s">
        <v>33</v>
      </c>
      <c r="C1008" s="6" t="s">
        <v>52</v>
      </c>
      <c r="D1008" s="65" t="str">
        <f t="shared" si="47"/>
        <v>090_V_d</v>
      </c>
      <c r="E1008">
        <v>132</v>
      </c>
      <c r="F1008" t="s">
        <v>49</v>
      </c>
      <c r="G1008" t="s">
        <v>1172</v>
      </c>
      <c r="I1008">
        <v>1.76272991523975</v>
      </c>
      <c r="J1008" s="82">
        <v>32.4</v>
      </c>
      <c r="K1008" s="82">
        <v>15.5</v>
      </c>
      <c r="L1008" s="84">
        <v>3.7</v>
      </c>
      <c r="M1008">
        <v>33.200000000000003</v>
      </c>
      <c r="N1008" s="82">
        <v>5.2</v>
      </c>
      <c r="O1008" s="44">
        <f t="shared" si="49"/>
        <v>9.5625786163522015</v>
      </c>
      <c r="P1008">
        <f t="shared" si="48"/>
        <v>18.000000000000004</v>
      </c>
      <c r="Q1008" s="111">
        <v>0.25700000000000001</v>
      </c>
      <c r="R1008">
        <v>0.3</v>
      </c>
      <c r="S1008" s="65">
        <v>18</v>
      </c>
      <c r="T1008">
        <v>4</v>
      </c>
      <c r="U1008" t="s">
        <v>47</v>
      </c>
      <c r="V1008" t="s">
        <v>32</v>
      </c>
    </row>
    <row r="1009" spans="1:23" ht="16" x14ac:dyDescent="0.2">
      <c r="A1009" s="5" t="s">
        <v>1161</v>
      </c>
      <c r="B1009" s="6" t="s">
        <v>27</v>
      </c>
      <c r="C1009" s="6" t="s">
        <v>52</v>
      </c>
      <c r="D1009" s="65" t="str">
        <f t="shared" si="47"/>
        <v>090_S_d</v>
      </c>
      <c r="E1009">
        <v>143</v>
      </c>
      <c r="F1009" t="s">
        <v>43</v>
      </c>
      <c r="G1009" t="s">
        <v>1173</v>
      </c>
      <c r="H1009" t="s">
        <v>56</v>
      </c>
      <c r="I1009">
        <v>0</v>
      </c>
      <c r="J1009" s="82">
        <v>1.1000000000000001</v>
      </c>
      <c r="K1009" s="82">
        <v>1</v>
      </c>
      <c r="L1009" s="84">
        <v>1</v>
      </c>
      <c r="M1009" s="82">
        <v>1</v>
      </c>
      <c r="N1009" s="82">
        <v>0.9</v>
      </c>
      <c r="O1009" s="44">
        <f t="shared" si="49"/>
        <v>2.4390243902439068E-3</v>
      </c>
      <c r="P1009">
        <f t="shared" si="48"/>
        <v>1</v>
      </c>
      <c r="Q1009" s="111" t="s">
        <v>57</v>
      </c>
      <c r="R1009" t="s">
        <v>57</v>
      </c>
      <c r="S1009" s="65" t="s">
        <v>57</v>
      </c>
      <c r="T1009" t="s">
        <v>57</v>
      </c>
      <c r="V1009" t="s">
        <v>32</v>
      </c>
      <c r="W1009" t="s">
        <v>67</v>
      </c>
    </row>
    <row r="1010" spans="1:23" ht="16" x14ac:dyDescent="0.2">
      <c r="A1010" s="2" t="s">
        <v>1174</v>
      </c>
      <c r="B1010" t="s">
        <v>27</v>
      </c>
      <c r="C1010" t="s">
        <v>28</v>
      </c>
      <c r="D1010" s="65" t="str">
        <f t="shared" si="47"/>
        <v>091_S_a</v>
      </c>
      <c r="E1010">
        <v>9</v>
      </c>
      <c r="F1010" t="s">
        <v>41</v>
      </c>
      <c r="G1010" t="s">
        <v>1175</v>
      </c>
      <c r="I1010">
        <v>3.2430977110013099</v>
      </c>
      <c r="J1010" s="84">
        <v>47.1</v>
      </c>
      <c r="K1010" s="82">
        <v>28.9</v>
      </c>
      <c r="L1010" s="82">
        <v>9.6</v>
      </c>
      <c r="M1010" s="82">
        <v>26.8</v>
      </c>
      <c r="N1010" s="82">
        <v>35.6</v>
      </c>
      <c r="O1010" s="44">
        <f t="shared" si="49"/>
        <v>8.3698695136417669</v>
      </c>
      <c r="P1010">
        <f t="shared" si="48"/>
        <v>29.6</v>
      </c>
      <c r="Q1010" s="111">
        <v>0.17100000000000001</v>
      </c>
      <c r="R1010">
        <v>0.28299999999999997</v>
      </c>
      <c r="S1010" s="65">
        <v>6</v>
      </c>
      <c r="T1010">
        <v>37</v>
      </c>
      <c r="U1010" t="s">
        <v>31</v>
      </c>
      <c r="V1010" t="s">
        <v>32</v>
      </c>
    </row>
    <row r="1011" spans="1:23" ht="16" x14ac:dyDescent="0.2">
      <c r="A1011" s="5" t="s">
        <v>1174</v>
      </c>
      <c r="B1011" s="6" t="s">
        <v>36</v>
      </c>
      <c r="C1011" s="6" t="s">
        <v>28</v>
      </c>
      <c r="D1011" s="65" t="str">
        <f t="shared" si="47"/>
        <v>091_O_a</v>
      </c>
      <c r="E1011">
        <v>13</v>
      </c>
      <c r="F1011" t="s">
        <v>49</v>
      </c>
      <c r="G1011" t="s">
        <v>1176</v>
      </c>
      <c r="I1011">
        <v>2.1780692549842602</v>
      </c>
      <c r="J1011" s="84">
        <v>1.7</v>
      </c>
      <c r="K1011" s="82">
        <v>9.6999999999999993</v>
      </c>
      <c r="L1011" s="82">
        <v>5.8</v>
      </c>
      <c r="M1011" s="82">
        <v>16.3</v>
      </c>
      <c r="N1011" s="82">
        <v>16.899999999999999</v>
      </c>
      <c r="O1011" s="44">
        <f t="shared" si="49"/>
        <v>4.6068656716417911</v>
      </c>
      <c r="P1011">
        <f t="shared" si="48"/>
        <v>10.08</v>
      </c>
      <c r="Q1011" s="111">
        <v>0.15</v>
      </c>
      <c r="R1011">
        <v>0.20200000000000001</v>
      </c>
      <c r="S1011" s="65">
        <v>12</v>
      </c>
      <c r="T1011">
        <v>17</v>
      </c>
      <c r="U1011" t="s">
        <v>72</v>
      </c>
      <c r="V1011" t="s">
        <v>32</v>
      </c>
    </row>
    <row r="1012" spans="1:23" s="19" customFormat="1" x14ac:dyDescent="0.2">
      <c r="A1012" s="42" t="s">
        <v>1174</v>
      </c>
      <c r="B1012" s="19" t="s">
        <v>33</v>
      </c>
      <c r="C1012" s="19" t="s">
        <v>28</v>
      </c>
      <c r="D1012" s="66" t="str">
        <f t="shared" si="47"/>
        <v>091_V_a</v>
      </c>
      <c r="E1012" s="19">
        <v>22</v>
      </c>
      <c r="F1012" s="19" t="s">
        <v>49</v>
      </c>
      <c r="G1012" s="19" t="s">
        <v>1177</v>
      </c>
      <c r="I1012">
        <v>2.9078362477529001</v>
      </c>
      <c r="J1012" s="83">
        <v>32.700000000000003</v>
      </c>
      <c r="K1012" s="83">
        <v>24</v>
      </c>
      <c r="L1012" s="83">
        <v>3.9</v>
      </c>
      <c r="M1012" s="83">
        <v>26.4</v>
      </c>
      <c r="N1012" s="83">
        <v>34.6</v>
      </c>
      <c r="O1012" s="54">
        <f t="shared" si="49"/>
        <v>7.129655172413794</v>
      </c>
      <c r="P1012">
        <f t="shared" si="48"/>
        <v>24.32</v>
      </c>
      <c r="Q1012" s="112">
        <v>0.158</v>
      </c>
      <c r="R1012" s="19">
        <v>0.27600000000000002</v>
      </c>
      <c r="S1012" s="66">
        <v>12</v>
      </c>
      <c r="T1012" s="106">
        <v>26</v>
      </c>
      <c r="U1012" s="19" t="s">
        <v>31</v>
      </c>
      <c r="V1012" t="s">
        <v>32</v>
      </c>
    </row>
    <row r="1013" spans="1:23" x14ac:dyDescent="0.2">
      <c r="A1013" s="2" t="s">
        <v>1174</v>
      </c>
      <c r="B1013" t="s">
        <v>33</v>
      </c>
      <c r="C1013" t="s">
        <v>38</v>
      </c>
      <c r="D1013" s="65" t="str">
        <f t="shared" si="47"/>
        <v>091_V_b</v>
      </c>
      <c r="E1013">
        <v>40</v>
      </c>
      <c r="F1013" t="s">
        <v>34</v>
      </c>
      <c r="G1013" t="s">
        <v>1178</v>
      </c>
      <c r="I1013">
        <v>0.70273197208580995</v>
      </c>
      <c r="J1013" s="82">
        <v>19.7</v>
      </c>
      <c r="K1013" s="82">
        <v>8</v>
      </c>
      <c r="L1013" s="82">
        <v>18.2</v>
      </c>
      <c r="M1013" s="82">
        <v>11.9</v>
      </c>
      <c r="N1013" s="82">
        <v>17.5</v>
      </c>
      <c r="O1013" s="44">
        <f t="shared" si="49"/>
        <v>2.0698961937716267</v>
      </c>
      <c r="P1013">
        <f t="shared" si="48"/>
        <v>15.059999999999999</v>
      </c>
      <c r="Q1013" s="111">
        <v>7.6999999999999999E-2</v>
      </c>
      <c r="R1013">
        <v>0.105</v>
      </c>
      <c r="S1013" s="65">
        <v>13</v>
      </c>
      <c r="T1013">
        <v>25</v>
      </c>
      <c r="U1013" t="s">
        <v>51</v>
      </c>
      <c r="V1013" t="s">
        <v>32</v>
      </c>
    </row>
    <row r="1014" spans="1:23" x14ac:dyDescent="0.2">
      <c r="A1014" s="5" t="s">
        <v>1174</v>
      </c>
      <c r="B1014" s="6" t="s">
        <v>36</v>
      </c>
      <c r="C1014" s="6" t="s">
        <v>38</v>
      </c>
      <c r="D1014" s="65" t="str">
        <f t="shared" si="47"/>
        <v>091_O_b</v>
      </c>
      <c r="E1014">
        <v>62</v>
      </c>
      <c r="F1014" t="s">
        <v>39</v>
      </c>
      <c r="G1014" t="s">
        <v>1179</v>
      </c>
      <c r="I1014">
        <v>1.0337898867254001</v>
      </c>
      <c r="J1014" s="82">
        <v>3.4</v>
      </c>
      <c r="K1014" s="82">
        <v>2.2999999999999998</v>
      </c>
      <c r="L1014" s="82"/>
      <c r="M1014" s="82">
        <v>3.1</v>
      </c>
      <c r="N1014" s="82">
        <v>22.4</v>
      </c>
      <c r="O1014" s="44">
        <f t="shared" si="49"/>
        <v>0.11022727272727362</v>
      </c>
      <c r="P1014">
        <f t="shared" si="48"/>
        <v>7.7999999999999989</v>
      </c>
      <c r="Q1014" s="111">
        <v>2.1999999999999999E-2</v>
      </c>
      <c r="R1014">
        <v>8.5000000000000006E-2</v>
      </c>
      <c r="S1014" s="65">
        <v>4</v>
      </c>
      <c r="T1014">
        <v>24</v>
      </c>
      <c r="U1014" t="s">
        <v>31</v>
      </c>
      <c r="V1014" t="s">
        <v>32</v>
      </c>
    </row>
    <row r="1015" spans="1:23" x14ac:dyDescent="0.2">
      <c r="A1015" s="5" t="s">
        <v>1174</v>
      </c>
      <c r="B1015" s="6" t="s">
        <v>27</v>
      </c>
      <c r="C1015" s="6" t="s">
        <v>38</v>
      </c>
      <c r="D1015" s="65" t="str">
        <f t="shared" si="47"/>
        <v>091_S_b</v>
      </c>
      <c r="E1015">
        <v>69</v>
      </c>
      <c r="F1015" t="s">
        <v>43</v>
      </c>
      <c r="G1015" t="s">
        <v>1180</v>
      </c>
      <c r="H1015" t="s">
        <v>56</v>
      </c>
      <c r="I1015">
        <v>0</v>
      </c>
      <c r="J1015" s="82">
        <v>2.8</v>
      </c>
      <c r="K1015" s="82">
        <v>1.1000000000000001</v>
      </c>
      <c r="L1015" s="82">
        <v>0.9</v>
      </c>
      <c r="M1015" s="82">
        <v>1</v>
      </c>
      <c r="N1015" s="82">
        <v>1</v>
      </c>
      <c r="O1015" s="44">
        <f t="shared" si="49"/>
        <v>0.56321839080459757</v>
      </c>
      <c r="P1015">
        <f t="shared" si="48"/>
        <v>1.3599999999999999</v>
      </c>
      <c r="Q1015" s="111" t="s">
        <v>57</v>
      </c>
      <c r="R1015" t="s">
        <v>57</v>
      </c>
      <c r="S1015" s="65" t="s">
        <v>57</v>
      </c>
      <c r="T1015" t="s">
        <v>57</v>
      </c>
      <c r="U1015" t="s">
        <v>57</v>
      </c>
      <c r="V1015" t="s">
        <v>32</v>
      </c>
      <c r="W1015" t="s">
        <v>67</v>
      </c>
    </row>
    <row r="1016" spans="1:23" x14ac:dyDescent="0.2">
      <c r="A1016" s="5" t="s">
        <v>1174</v>
      </c>
      <c r="B1016" s="6" t="s">
        <v>36</v>
      </c>
      <c r="C1016" s="6" t="s">
        <v>45</v>
      </c>
      <c r="D1016" s="65" t="str">
        <f t="shared" si="47"/>
        <v>091_O_c</v>
      </c>
      <c r="E1016">
        <v>93</v>
      </c>
      <c r="F1016" t="s">
        <v>70</v>
      </c>
      <c r="G1016" t="s">
        <v>1181</v>
      </c>
      <c r="I1016">
        <v>3.4824120603015101</v>
      </c>
      <c r="J1016" s="82">
        <v>20.2</v>
      </c>
      <c r="K1016" s="82">
        <v>27.9</v>
      </c>
      <c r="L1016" s="82">
        <v>33.5</v>
      </c>
      <c r="M1016">
        <v>27.8</v>
      </c>
      <c r="N1016" s="82">
        <v>34.799999999999997</v>
      </c>
      <c r="O1016" s="44">
        <f t="shared" si="49"/>
        <v>1.0901889092017096</v>
      </c>
      <c r="P1016">
        <f t="shared" si="48"/>
        <v>28.839999999999996</v>
      </c>
      <c r="Q1016" s="111">
        <v>0.16</v>
      </c>
      <c r="R1016">
        <v>0.20100000000000001</v>
      </c>
      <c r="S1016" s="65">
        <v>3</v>
      </c>
      <c r="T1016">
        <v>35</v>
      </c>
      <c r="U1016" t="s">
        <v>31</v>
      </c>
      <c r="V1016" t="s">
        <v>32</v>
      </c>
    </row>
    <row r="1017" spans="1:23" x14ac:dyDescent="0.2">
      <c r="A1017" s="5" t="s">
        <v>1174</v>
      </c>
      <c r="B1017" s="6" t="s">
        <v>33</v>
      </c>
      <c r="C1017" s="6" t="s">
        <v>45</v>
      </c>
      <c r="D1017" s="65" t="str">
        <f t="shared" si="47"/>
        <v>091_V_c</v>
      </c>
      <c r="E1017">
        <v>97</v>
      </c>
      <c r="F1017" t="s">
        <v>63</v>
      </c>
      <c r="G1017" t="s">
        <v>1182</v>
      </c>
      <c r="I1017">
        <v>3.6104154302670599</v>
      </c>
      <c r="J1017" s="82">
        <v>31.5</v>
      </c>
      <c r="K1017" s="82">
        <v>15.7</v>
      </c>
      <c r="L1017" s="82">
        <v>17.600000000000001</v>
      </c>
      <c r="M1017">
        <v>6.1</v>
      </c>
      <c r="N1017" s="82">
        <v>23.6</v>
      </c>
      <c r="O1017" s="44">
        <f t="shared" si="49"/>
        <v>6.1872590503055926</v>
      </c>
      <c r="P1017">
        <f t="shared" si="48"/>
        <v>18.899999999999999</v>
      </c>
      <c r="Q1017" s="111">
        <v>0.182</v>
      </c>
      <c r="R1017">
        <v>0.251</v>
      </c>
      <c r="S1017" s="65">
        <v>10</v>
      </c>
      <c r="T1017">
        <v>12</v>
      </c>
      <c r="U1017" t="s">
        <v>72</v>
      </c>
      <c r="V1017" t="s">
        <v>32</v>
      </c>
    </row>
    <row r="1018" spans="1:23" x14ac:dyDescent="0.2">
      <c r="A1018" s="5" t="s">
        <v>1174</v>
      </c>
      <c r="B1018" s="6" t="s">
        <v>27</v>
      </c>
      <c r="C1018" s="6" t="s">
        <v>45</v>
      </c>
      <c r="D1018" s="65" t="str">
        <f t="shared" si="47"/>
        <v>091_S_c</v>
      </c>
      <c r="E1018">
        <v>104</v>
      </c>
      <c r="F1018" t="s">
        <v>29</v>
      </c>
      <c r="G1018" t="s">
        <v>1183</v>
      </c>
      <c r="I1018">
        <v>4.0792252620813096</v>
      </c>
      <c r="J1018" s="82">
        <v>20.100000000000001</v>
      </c>
      <c r="K1018" s="82">
        <v>19.899999999999999</v>
      </c>
      <c r="L1018" s="82">
        <v>7.6</v>
      </c>
      <c r="M1018">
        <v>27.9</v>
      </c>
      <c r="N1018" s="82">
        <v>30.4</v>
      </c>
      <c r="O1018" s="44">
        <f t="shared" si="49"/>
        <v>3.7285209713024288</v>
      </c>
      <c r="P1018">
        <f t="shared" si="48"/>
        <v>21.18</v>
      </c>
      <c r="Q1018" s="111">
        <v>0.19600000000000001</v>
      </c>
      <c r="R1018">
        <v>0.312</v>
      </c>
      <c r="S1018" s="65">
        <v>9</v>
      </c>
      <c r="T1018">
        <v>49</v>
      </c>
      <c r="U1018" t="s">
        <v>72</v>
      </c>
      <c r="V1018" t="s">
        <v>32</v>
      </c>
    </row>
    <row r="1019" spans="1:23" x14ac:dyDescent="0.2">
      <c r="A1019" s="5" t="s">
        <v>1174</v>
      </c>
      <c r="B1019" s="6" t="s">
        <v>33</v>
      </c>
      <c r="C1019" s="6" t="s">
        <v>52</v>
      </c>
      <c r="D1019" s="65" t="str">
        <f t="shared" si="47"/>
        <v>091_V_d</v>
      </c>
      <c r="E1019">
        <v>118</v>
      </c>
      <c r="F1019" t="s">
        <v>63</v>
      </c>
      <c r="G1019" t="s">
        <v>1184</v>
      </c>
      <c r="I1019">
        <v>2.37270397909968</v>
      </c>
      <c r="J1019" s="82">
        <v>7.3</v>
      </c>
      <c r="K1019" s="82">
        <v>29.5</v>
      </c>
      <c r="L1019" s="82">
        <v>15.7</v>
      </c>
      <c r="M1019">
        <v>16.2</v>
      </c>
      <c r="N1019" s="82">
        <v>17.3</v>
      </c>
      <c r="O1019" s="44">
        <f t="shared" si="49"/>
        <v>4.9014556040756894</v>
      </c>
      <c r="P1019">
        <f t="shared" si="48"/>
        <v>17.2</v>
      </c>
      <c r="Q1019" s="111">
        <v>0.14000000000000001</v>
      </c>
      <c r="R1019">
        <v>0.27</v>
      </c>
      <c r="S1019" s="65">
        <v>12</v>
      </c>
      <c r="T1019">
        <v>22</v>
      </c>
      <c r="U1019" t="s">
        <v>54</v>
      </c>
      <c r="V1019" t="s">
        <v>32</v>
      </c>
    </row>
    <row r="1020" spans="1:23" ht="16" x14ac:dyDescent="0.2">
      <c r="A1020" s="5" t="s">
        <v>1174</v>
      </c>
      <c r="B1020" s="6" t="s">
        <v>27</v>
      </c>
      <c r="C1020" s="6" t="s">
        <v>52</v>
      </c>
      <c r="D1020" s="65" t="str">
        <f t="shared" si="47"/>
        <v>091_S_d</v>
      </c>
      <c r="E1020">
        <v>120</v>
      </c>
      <c r="F1020" t="s">
        <v>29</v>
      </c>
      <c r="G1020" t="s">
        <v>1185</v>
      </c>
      <c r="H1020" t="s">
        <v>56</v>
      </c>
      <c r="I1020">
        <v>0</v>
      </c>
      <c r="J1020" s="82">
        <v>1</v>
      </c>
      <c r="K1020" s="82">
        <v>1</v>
      </c>
      <c r="L1020" s="84">
        <v>1</v>
      </c>
      <c r="M1020">
        <v>1</v>
      </c>
      <c r="N1020" s="82">
        <v>1</v>
      </c>
      <c r="O1020" s="44">
        <f t="shared" si="49"/>
        <v>0</v>
      </c>
      <c r="P1020">
        <f t="shared" si="48"/>
        <v>1</v>
      </c>
      <c r="Q1020" s="111" t="s">
        <v>57</v>
      </c>
      <c r="R1020" t="s">
        <v>57</v>
      </c>
      <c r="S1020" s="65" t="s">
        <v>57</v>
      </c>
      <c r="T1020" t="s">
        <v>57</v>
      </c>
      <c r="V1020" t="s">
        <v>32</v>
      </c>
    </row>
    <row r="1021" spans="1:23" ht="16" x14ac:dyDescent="0.2">
      <c r="A1021" s="5" t="s">
        <v>1174</v>
      </c>
      <c r="B1021" s="6" t="s">
        <v>36</v>
      </c>
      <c r="C1021" s="6" t="s">
        <v>52</v>
      </c>
      <c r="D1021" s="65" t="str">
        <f t="shared" si="47"/>
        <v>091_O_d</v>
      </c>
      <c r="E1021">
        <v>135</v>
      </c>
      <c r="F1021" t="s">
        <v>43</v>
      </c>
      <c r="G1021" t="s">
        <v>1186</v>
      </c>
      <c r="I1021">
        <v>2.0020633808300201</v>
      </c>
      <c r="J1021" s="82">
        <v>41</v>
      </c>
      <c r="K1021" s="82">
        <v>40.200000000000003</v>
      </c>
      <c r="L1021" s="84">
        <v>54.7</v>
      </c>
      <c r="M1021" s="82">
        <v>20.9</v>
      </c>
      <c r="N1021" s="82">
        <v>53.4</v>
      </c>
      <c r="O1021" s="44">
        <f t="shared" si="49"/>
        <v>4.9267006802721021</v>
      </c>
      <c r="P1021">
        <f t="shared" si="48"/>
        <v>42.040000000000006</v>
      </c>
      <c r="Q1021" s="111">
        <v>0.14000000000000001</v>
      </c>
      <c r="R1021">
        <v>0.252</v>
      </c>
      <c r="S1021" s="65">
        <v>0</v>
      </c>
      <c r="T1021">
        <v>10</v>
      </c>
      <c r="U1021" t="s">
        <v>47</v>
      </c>
      <c r="V1021" t="s">
        <v>32</v>
      </c>
    </row>
    <row r="1022" spans="1:23" s="19" customFormat="1" ht="16" x14ac:dyDescent="0.2">
      <c r="A1022" s="17" t="s">
        <v>1187</v>
      </c>
      <c r="B1022" s="18" t="s">
        <v>36</v>
      </c>
      <c r="C1022" s="18" t="s">
        <v>28</v>
      </c>
      <c r="D1022" s="66" t="str">
        <f t="shared" si="47"/>
        <v>092_O_a</v>
      </c>
      <c r="E1022" s="19">
        <v>9</v>
      </c>
      <c r="F1022" s="19" t="s">
        <v>34</v>
      </c>
      <c r="G1022" s="19" t="s">
        <v>1188</v>
      </c>
      <c r="I1022">
        <v>0.41453816678430999</v>
      </c>
      <c r="J1022" s="85">
        <v>20.2</v>
      </c>
      <c r="K1022" s="83">
        <v>9.3000000000000007</v>
      </c>
      <c r="L1022" s="83">
        <v>10.7</v>
      </c>
      <c r="M1022" s="83">
        <v>10</v>
      </c>
      <c r="N1022" s="83">
        <v>23</v>
      </c>
      <c r="O1022" s="54">
        <f t="shared" si="49"/>
        <v>2.0985391766268227</v>
      </c>
      <c r="P1022">
        <f t="shared" si="48"/>
        <v>14.64</v>
      </c>
      <c r="Q1022" s="112">
        <v>6.3E-2</v>
      </c>
      <c r="R1022" s="19">
        <v>0.13100000000000001</v>
      </c>
      <c r="S1022" s="66">
        <v>6</v>
      </c>
      <c r="T1022" s="19">
        <v>12</v>
      </c>
      <c r="U1022" s="19" t="s">
        <v>61</v>
      </c>
      <c r="V1022" t="s">
        <v>32</v>
      </c>
    </row>
    <row r="1023" spans="1:23" ht="16" x14ac:dyDescent="0.2">
      <c r="A1023" s="49" t="s">
        <v>1187</v>
      </c>
      <c r="B1023" s="47" t="s">
        <v>27</v>
      </c>
      <c r="C1023" s="47" t="s">
        <v>28</v>
      </c>
      <c r="D1023" s="67" t="str">
        <f t="shared" si="47"/>
        <v>092_S_a</v>
      </c>
      <c r="E1023" s="47">
        <v>11</v>
      </c>
      <c r="F1023" s="47" t="s">
        <v>34</v>
      </c>
      <c r="G1023" s="47" t="s">
        <v>1189</v>
      </c>
      <c r="H1023" s="47"/>
      <c r="I1023">
        <v>4.9102904564315297</v>
      </c>
      <c r="J1023" s="84">
        <v>3.7</v>
      </c>
      <c r="K1023" s="82">
        <v>30.8</v>
      </c>
      <c r="L1023" s="82">
        <v>41.7</v>
      </c>
      <c r="M1023" s="82">
        <v>7.7</v>
      </c>
      <c r="N1023" s="82">
        <v>30.4</v>
      </c>
      <c r="O1023" s="48">
        <f t="shared" si="49"/>
        <v>15.903178386968612</v>
      </c>
      <c r="P1023">
        <f t="shared" si="48"/>
        <v>22.860000000000003</v>
      </c>
      <c r="Q1023" s="113">
        <v>0.38200000000000001</v>
      </c>
      <c r="R1023" s="47">
        <v>0.54300000000000004</v>
      </c>
      <c r="S1023" s="67">
        <v>15</v>
      </c>
      <c r="T1023" s="47">
        <v>50</v>
      </c>
      <c r="U1023" s="47" t="s">
        <v>54</v>
      </c>
      <c r="V1023" t="s">
        <v>32</v>
      </c>
      <c r="W1023" s="47"/>
    </row>
    <row r="1024" spans="1:23" ht="16" x14ac:dyDescent="0.2">
      <c r="A1024" s="55" t="s">
        <v>1187</v>
      </c>
      <c r="B1024" s="43" t="s">
        <v>33</v>
      </c>
      <c r="C1024" s="43" t="s">
        <v>28</v>
      </c>
      <c r="D1024" s="68" t="str">
        <f t="shared" si="47"/>
        <v>092_V_a</v>
      </c>
      <c r="E1024" s="43">
        <v>20</v>
      </c>
      <c r="F1024" s="43" t="s">
        <v>39</v>
      </c>
      <c r="G1024" s="43" t="s">
        <v>1190</v>
      </c>
      <c r="H1024" s="43"/>
      <c r="I1024">
        <v>0.37903691728725503</v>
      </c>
      <c r="J1024" s="84">
        <v>0.9</v>
      </c>
      <c r="K1024" s="82">
        <v>3.4</v>
      </c>
      <c r="L1024" s="82">
        <v>5.9</v>
      </c>
      <c r="M1024" s="82">
        <v>8.6</v>
      </c>
      <c r="N1024" s="82">
        <v>4.0999999999999996</v>
      </c>
      <c r="O1024" s="56">
        <f t="shared" si="49"/>
        <v>2.3248226950354622</v>
      </c>
      <c r="P1024" s="43">
        <f t="shared" si="48"/>
        <v>4.58</v>
      </c>
      <c r="Q1024" s="114">
        <v>0.06</v>
      </c>
      <c r="R1024" s="43">
        <v>4.3999999999999997E-2</v>
      </c>
      <c r="S1024" s="68">
        <v>0</v>
      </c>
      <c r="T1024" s="43">
        <v>15</v>
      </c>
      <c r="U1024" s="43"/>
      <c r="V1024" t="s">
        <v>32</v>
      </c>
      <c r="W1024" s="43"/>
    </row>
    <row r="1025" spans="1:22" x14ac:dyDescent="0.2">
      <c r="A1025" s="1" t="s">
        <v>1187</v>
      </c>
      <c r="B1025" t="s">
        <v>33</v>
      </c>
      <c r="C1025" t="s">
        <v>38</v>
      </c>
      <c r="D1025" s="65" t="str">
        <f t="shared" si="47"/>
        <v>092_V_b</v>
      </c>
      <c r="E1025">
        <v>48</v>
      </c>
      <c r="F1025" t="s">
        <v>82</v>
      </c>
      <c r="G1025" t="s">
        <v>1191</v>
      </c>
      <c r="I1025">
        <v>2.3116353325840402</v>
      </c>
      <c r="J1025" s="82">
        <v>31.6</v>
      </c>
      <c r="K1025" s="82">
        <v>38.299999999999997</v>
      </c>
      <c r="L1025" s="82">
        <v>28.2</v>
      </c>
      <c r="M1025" s="82">
        <v>32.4</v>
      </c>
      <c r="N1025" s="82">
        <v>40</v>
      </c>
      <c r="O1025" s="44">
        <f t="shared" si="49"/>
        <v>0.54035759897828672</v>
      </c>
      <c r="P1025">
        <f t="shared" si="48"/>
        <v>34.1</v>
      </c>
      <c r="Q1025" s="111">
        <v>0.183</v>
      </c>
      <c r="R1025">
        <v>0.23599999999999999</v>
      </c>
      <c r="S1025" s="65">
        <v>7</v>
      </c>
      <c r="T1025" s="43">
        <v>12</v>
      </c>
      <c r="U1025" t="s">
        <v>31</v>
      </c>
      <c r="V1025" t="s">
        <v>32</v>
      </c>
    </row>
    <row r="1026" spans="1:22" x14ac:dyDescent="0.2">
      <c r="A1026" s="5" t="s">
        <v>1187</v>
      </c>
      <c r="B1026" s="6" t="s">
        <v>36</v>
      </c>
      <c r="C1026" s="6" t="s">
        <v>38</v>
      </c>
      <c r="D1026" s="65" t="str">
        <f t="shared" ref="D1026:D1089" si="50">A1026&amp;"_"&amp;B1026&amp;"_"&amp;C1026</f>
        <v>092_O_b</v>
      </c>
      <c r="E1026">
        <v>52</v>
      </c>
      <c r="F1026" t="s">
        <v>70</v>
      </c>
      <c r="G1026" t="s">
        <v>1192</v>
      </c>
      <c r="I1026">
        <v>0.90522115312896201</v>
      </c>
      <c r="J1026" s="82">
        <v>1</v>
      </c>
      <c r="K1026" s="82">
        <v>5.2</v>
      </c>
      <c r="L1026" s="82">
        <v>6.8</v>
      </c>
      <c r="M1026" s="82">
        <v>19.899999999999999</v>
      </c>
      <c r="N1026" s="82">
        <v>12.4</v>
      </c>
      <c r="O1026" s="44">
        <f t="shared" si="49"/>
        <v>8.0927051671732535</v>
      </c>
      <c r="P1026">
        <f t="shared" ref="P1026:P1089" si="51">AVERAGE(J1026:N1026)</f>
        <v>9.0599999999999987</v>
      </c>
      <c r="Q1026" s="111">
        <v>4.1000000000000002E-2</v>
      </c>
      <c r="R1026">
        <v>0.156</v>
      </c>
      <c r="S1026" s="65">
        <v>7</v>
      </c>
      <c r="T1026" s="43">
        <v>9</v>
      </c>
      <c r="U1026" t="s">
        <v>31</v>
      </c>
      <c r="V1026" t="s">
        <v>32</v>
      </c>
    </row>
    <row r="1027" spans="1:22" x14ac:dyDescent="0.2">
      <c r="A1027" s="5" t="s">
        <v>1187</v>
      </c>
      <c r="B1027" s="6" t="s">
        <v>27</v>
      </c>
      <c r="C1027" s="6" t="s">
        <v>38</v>
      </c>
      <c r="D1027" s="65" t="str">
        <f t="shared" si="50"/>
        <v>092_S_b</v>
      </c>
      <c r="E1027">
        <v>70</v>
      </c>
      <c r="F1027" t="s">
        <v>29</v>
      </c>
      <c r="G1027" t="s">
        <v>1193</v>
      </c>
      <c r="I1027">
        <v>3.3718133872239702</v>
      </c>
      <c r="J1027" s="82">
        <v>24.9</v>
      </c>
      <c r="K1027" s="82">
        <v>27.7</v>
      </c>
      <c r="L1027" s="82">
        <v>5.7</v>
      </c>
      <c r="M1027" s="82">
        <v>36</v>
      </c>
      <c r="N1027" s="82">
        <v>46.5</v>
      </c>
      <c r="O1027" s="44">
        <f t="shared" si="49"/>
        <v>6.965959703075292</v>
      </c>
      <c r="P1027">
        <f t="shared" si="51"/>
        <v>28.160000000000004</v>
      </c>
      <c r="Q1027" s="111">
        <v>0.13700000000000001</v>
      </c>
      <c r="R1027">
        <v>0.23200000000000001</v>
      </c>
      <c r="S1027" s="65">
        <v>8</v>
      </c>
      <c r="T1027">
        <v>24</v>
      </c>
      <c r="U1027" t="s">
        <v>31</v>
      </c>
      <c r="V1027" t="s">
        <v>32</v>
      </c>
    </row>
    <row r="1028" spans="1:22" x14ac:dyDescent="0.2">
      <c r="A1028" s="5" t="s">
        <v>1187</v>
      </c>
      <c r="B1028" s="6" t="s">
        <v>36</v>
      </c>
      <c r="C1028" s="6" t="s">
        <v>45</v>
      </c>
      <c r="D1028" s="65" t="str">
        <f t="shared" si="50"/>
        <v>092_O_c</v>
      </c>
      <c r="E1028">
        <v>76</v>
      </c>
      <c r="F1028" t="s">
        <v>70</v>
      </c>
      <c r="G1028" t="s">
        <v>1194</v>
      </c>
      <c r="I1028">
        <v>1.14737472848476</v>
      </c>
      <c r="J1028" s="82">
        <v>8.9</v>
      </c>
      <c r="K1028" s="82">
        <v>10.4</v>
      </c>
      <c r="L1028" s="82">
        <v>24.5</v>
      </c>
      <c r="M1028" s="82">
        <v>22.6</v>
      </c>
      <c r="N1028" s="82">
        <v>15.9</v>
      </c>
      <c r="O1028" s="44">
        <f t="shared" si="49"/>
        <v>3.9385542168674665</v>
      </c>
      <c r="P1028">
        <f t="shared" si="51"/>
        <v>16.46</v>
      </c>
      <c r="Q1028" s="111">
        <v>8.1000000000000003E-2</v>
      </c>
      <c r="R1028">
        <v>0.183</v>
      </c>
      <c r="S1028" s="65">
        <v>5</v>
      </c>
      <c r="T1028">
        <v>6</v>
      </c>
      <c r="U1028" t="s">
        <v>31</v>
      </c>
      <c r="V1028" t="s">
        <v>32</v>
      </c>
    </row>
    <row r="1029" spans="1:22" x14ac:dyDescent="0.2">
      <c r="A1029" s="5" t="s">
        <v>1187</v>
      </c>
      <c r="B1029" s="6" t="s">
        <v>27</v>
      </c>
      <c r="C1029" s="6" t="s">
        <v>45</v>
      </c>
      <c r="D1029" s="65" t="str">
        <f t="shared" si="50"/>
        <v>092_S_c</v>
      </c>
      <c r="E1029">
        <v>79</v>
      </c>
      <c r="F1029" t="s">
        <v>39</v>
      </c>
      <c r="G1029" t="s">
        <v>1195</v>
      </c>
      <c r="I1029">
        <v>0.44646921608821699</v>
      </c>
      <c r="J1029" s="82">
        <v>18.899999999999999</v>
      </c>
      <c r="K1029" s="82">
        <v>3.3</v>
      </c>
      <c r="L1029" s="82">
        <v>26.5</v>
      </c>
      <c r="M1029" s="70" t="s">
        <v>57</v>
      </c>
      <c r="N1029" s="82">
        <v>27.7</v>
      </c>
      <c r="O1029" s="44">
        <f t="shared" si="49"/>
        <v>8.6176591375769966</v>
      </c>
      <c r="P1029">
        <f t="shared" si="51"/>
        <v>19.100000000000001</v>
      </c>
      <c r="Q1029" s="111">
        <v>8.7999999999999995E-2</v>
      </c>
      <c r="R1029">
        <v>0.19600000000000001</v>
      </c>
      <c r="S1029" s="65">
        <v>14</v>
      </c>
      <c r="T1029">
        <v>15</v>
      </c>
      <c r="U1029" t="s">
        <v>51</v>
      </c>
      <c r="V1029" t="s">
        <v>32</v>
      </c>
    </row>
    <row r="1030" spans="1:22" x14ac:dyDescent="0.2">
      <c r="A1030" s="5" t="s">
        <v>1187</v>
      </c>
      <c r="B1030" s="6" t="s">
        <v>33</v>
      </c>
      <c r="C1030" s="6" t="s">
        <v>45</v>
      </c>
      <c r="D1030" s="65" t="str">
        <f t="shared" si="50"/>
        <v>092_V_c</v>
      </c>
      <c r="E1030">
        <v>97</v>
      </c>
      <c r="F1030" t="s">
        <v>70</v>
      </c>
      <c r="G1030" t="s">
        <v>1196</v>
      </c>
      <c r="I1030">
        <v>2.95629080118694</v>
      </c>
      <c r="J1030" s="43">
        <v>1.6</v>
      </c>
      <c r="K1030" s="82">
        <v>16.2</v>
      </c>
      <c r="L1030" s="82">
        <v>8.6</v>
      </c>
      <c r="M1030">
        <v>23.1</v>
      </c>
      <c r="N1030" s="82">
        <v>26.9</v>
      </c>
      <c r="O1030" s="44">
        <f t="shared" si="49"/>
        <v>7.0035690235690211</v>
      </c>
      <c r="P1030">
        <f t="shared" si="51"/>
        <v>15.280000000000001</v>
      </c>
      <c r="Q1030" s="111">
        <v>0.24299999999999999</v>
      </c>
      <c r="R1030">
        <v>0.32500000000000001</v>
      </c>
      <c r="S1030" s="65">
        <v>10</v>
      </c>
      <c r="T1030">
        <v>36</v>
      </c>
      <c r="U1030" t="s">
        <v>72</v>
      </c>
      <c r="V1030" t="s">
        <v>32</v>
      </c>
    </row>
    <row r="1031" spans="1:22" x14ac:dyDescent="0.2">
      <c r="A1031" s="5" t="s">
        <v>1187</v>
      </c>
      <c r="B1031" s="6" t="s">
        <v>27</v>
      </c>
      <c r="C1031" s="6" t="s">
        <v>52</v>
      </c>
      <c r="D1031" s="65" t="str">
        <f t="shared" si="50"/>
        <v>092_S_d</v>
      </c>
      <c r="E1031">
        <v>118</v>
      </c>
      <c r="F1031" t="s">
        <v>39</v>
      </c>
      <c r="G1031" t="s">
        <v>1197</v>
      </c>
      <c r="I1031">
        <v>0.86445940514469499</v>
      </c>
      <c r="J1031" s="82">
        <v>14.2</v>
      </c>
      <c r="K1031" s="82">
        <v>5.3</v>
      </c>
      <c r="L1031" s="82">
        <v>16.600000000000001</v>
      </c>
      <c r="M1031">
        <v>14.3</v>
      </c>
      <c r="N1031" s="82">
        <v>46.7</v>
      </c>
      <c r="O1031" s="44">
        <f t="shared" si="49"/>
        <v>1.9772486772486744</v>
      </c>
      <c r="P1031">
        <f t="shared" si="51"/>
        <v>19.420000000000002</v>
      </c>
      <c r="Q1031" s="111">
        <v>0.17</v>
      </c>
      <c r="R1031">
        <v>0.16200000000000001</v>
      </c>
      <c r="S1031" s="65">
        <v>9</v>
      </c>
      <c r="T1031">
        <v>17</v>
      </c>
      <c r="U1031" t="s">
        <v>54</v>
      </c>
      <c r="V1031" t="s">
        <v>32</v>
      </c>
    </row>
    <row r="1032" spans="1:22" s="19" customFormat="1" ht="16" x14ac:dyDescent="0.2">
      <c r="A1032" s="17" t="s">
        <v>1187</v>
      </c>
      <c r="B1032" s="18" t="s">
        <v>33</v>
      </c>
      <c r="C1032" s="18" t="s">
        <v>52</v>
      </c>
      <c r="D1032" s="66" t="str">
        <f t="shared" si="50"/>
        <v>092_V_d</v>
      </c>
      <c r="E1032" s="19">
        <v>132</v>
      </c>
      <c r="F1032" s="19" t="s">
        <v>82</v>
      </c>
      <c r="G1032" s="19" t="s">
        <v>1198</v>
      </c>
      <c r="I1032">
        <v>2.1032169813625101</v>
      </c>
      <c r="J1032" s="83">
        <v>16.600000000000001</v>
      </c>
      <c r="K1032" s="83">
        <v>15.6</v>
      </c>
      <c r="L1032" s="85">
        <v>42.1</v>
      </c>
      <c r="M1032" s="19">
        <v>10.9</v>
      </c>
      <c r="N1032" s="83">
        <v>18.5</v>
      </c>
      <c r="O1032" s="54">
        <f t="shared" si="49"/>
        <v>9.317370892018765</v>
      </c>
      <c r="P1032">
        <f t="shared" si="51"/>
        <v>20.740000000000002</v>
      </c>
      <c r="Q1032" s="112">
        <v>0.20599999999999999</v>
      </c>
      <c r="R1032" s="19">
        <v>0.29599999999999999</v>
      </c>
      <c r="S1032" s="66">
        <v>8</v>
      </c>
      <c r="T1032" s="19">
        <v>0</v>
      </c>
      <c r="U1032" s="19" t="s">
        <v>47</v>
      </c>
      <c r="V1032" t="s">
        <v>32</v>
      </c>
    </row>
    <row r="1033" spans="1:22" ht="16" x14ac:dyDescent="0.2">
      <c r="A1033" s="5" t="s">
        <v>1187</v>
      </c>
      <c r="B1033" s="6" t="s">
        <v>36</v>
      </c>
      <c r="C1033" s="6" t="s">
        <v>52</v>
      </c>
      <c r="D1033" s="65" t="str">
        <f t="shared" si="50"/>
        <v>092_O_d</v>
      </c>
      <c r="E1033">
        <v>144</v>
      </c>
      <c r="F1033" t="s">
        <v>68</v>
      </c>
      <c r="G1033" t="s">
        <v>1199</v>
      </c>
      <c r="I1033">
        <v>2.4794739696312398</v>
      </c>
      <c r="J1033" s="82">
        <v>32.200000000000003</v>
      </c>
      <c r="K1033" s="82">
        <v>6.4</v>
      </c>
      <c r="L1033" s="84">
        <v>24.7</v>
      </c>
      <c r="M1033" s="82">
        <v>28.6</v>
      </c>
      <c r="N1033" s="82">
        <v>37.4</v>
      </c>
      <c r="O1033" s="44">
        <f t="shared" si="49"/>
        <v>5.7228509249183928</v>
      </c>
      <c r="P1033">
        <f t="shared" si="51"/>
        <v>25.860000000000003</v>
      </c>
      <c r="Q1033" s="111">
        <v>0.26400000000000001</v>
      </c>
      <c r="R1033">
        <v>0.372</v>
      </c>
      <c r="S1033" s="65">
        <v>9</v>
      </c>
      <c r="T1033">
        <v>30</v>
      </c>
      <c r="U1033" t="s">
        <v>72</v>
      </c>
      <c r="V1033" t="s">
        <v>32</v>
      </c>
    </row>
    <row r="1034" spans="1:22" ht="16" x14ac:dyDescent="0.2">
      <c r="A1034" s="5" t="s">
        <v>1200</v>
      </c>
      <c r="B1034" s="6" t="s">
        <v>36</v>
      </c>
      <c r="C1034" s="6" t="s">
        <v>28</v>
      </c>
      <c r="D1034" s="65" t="str">
        <f t="shared" si="50"/>
        <v>093_O_a</v>
      </c>
      <c r="E1034">
        <v>18</v>
      </c>
      <c r="F1034" t="s">
        <v>41</v>
      </c>
      <c r="G1034" t="s">
        <v>1201</v>
      </c>
      <c r="I1034">
        <v>2.5155232669475298</v>
      </c>
      <c r="J1034" s="84">
        <v>38.9</v>
      </c>
      <c r="K1034" s="82">
        <v>41.2</v>
      </c>
      <c r="L1034" s="82">
        <v>12.2</v>
      </c>
      <c r="M1034" s="82">
        <v>29.8</v>
      </c>
      <c r="N1034" s="82">
        <v>53.7</v>
      </c>
      <c r="O1034" s="44">
        <f t="shared" si="49"/>
        <v>5.6830739830739958</v>
      </c>
      <c r="P1034">
        <f t="shared" si="51"/>
        <v>35.160000000000004</v>
      </c>
      <c r="Q1034" s="111">
        <v>0.19600000000000001</v>
      </c>
      <c r="R1034">
        <v>0.36399999999999999</v>
      </c>
      <c r="S1034" s="65">
        <v>5</v>
      </c>
      <c r="T1034">
        <v>6</v>
      </c>
      <c r="U1034" t="s">
        <v>51</v>
      </c>
      <c r="V1034" t="s">
        <v>32</v>
      </c>
    </row>
    <row r="1035" spans="1:22" x14ac:dyDescent="0.2">
      <c r="A1035" s="1" t="s">
        <v>1200</v>
      </c>
      <c r="B1035" t="s">
        <v>33</v>
      </c>
      <c r="C1035" t="s">
        <v>28</v>
      </c>
      <c r="D1035" s="65" t="str">
        <f t="shared" si="50"/>
        <v>093_V_a</v>
      </c>
      <c r="E1035">
        <v>28</v>
      </c>
      <c r="F1035" t="s">
        <v>29</v>
      </c>
      <c r="G1035" t="s">
        <v>1202</v>
      </c>
      <c r="I1035">
        <v>1.2540983606557401</v>
      </c>
      <c r="J1035" s="43">
        <v>2.6</v>
      </c>
      <c r="K1035" t="s">
        <v>57</v>
      </c>
      <c r="L1035" s="82">
        <v>28.9</v>
      </c>
      <c r="M1035" s="82">
        <v>19.3</v>
      </c>
      <c r="N1035" s="82">
        <v>35.1</v>
      </c>
      <c r="O1035" s="44">
        <f t="shared" si="49"/>
        <v>10.460039370078743</v>
      </c>
      <c r="P1035">
        <f t="shared" si="51"/>
        <v>21.475000000000001</v>
      </c>
      <c r="Q1035" s="111">
        <v>0.13900000000000001</v>
      </c>
      <c r="R1035">
        <v>0.23499999999999999</v>
      </c>
      <c r="S1035" s="65">
        <v>7</v>
      </c>
      <c r="T1035">
        <v>24</v>
      </c>
      <c r="U1035" t="s">
        <v>31</v>
      </c>
      <c r="V1035" t="s">
        <v>32</v>
      </c>
    </row>
    <row r="1036" spans="1:22" x14ac:dyDescent="0.2">
      <c r="A1036" s="5" t="s">
        <v>1200</v>
      </c>
      <c r="B1036" s="6" t="s">
        <v>27</v>
      </c>
      <c r="C1036" s="6" t="s">
        <v>28</v>
      </c>
      <c r="D1036" s="65" t="str">
        <f t="shared" si="50"/>
        <v>093_S_a</v>
      </c>
      <c r="E1036">
        <v>31</v>
      </c>
      <c r="F1036" t="s">
        <v>43</v>
      </c>
      <c r="G1036" t="s">
        <v>1203</v>
      </c>
      <c r="I1036">
        <v>2.54564665636725</v>
      </c>
      <c r="J1036" s="82">
        <v>13.3</v>
      </c>
      <c r="K1036" s="82">
        <v>24.7</v>
      </c>
      <c r="L1036" s="82">
        <v>26.9</v>
      </c>
      <c r="M1036" s="82">
        <v>31.4</v>
      </c>
      <c r="N1036" s="82">
        <v>30.5</v>
      </c>
      <c r="O1036" s="44">
        <f t="shared" si="49"/>
        <v>2.4662859120802927</v>
      </c>
      <c r="P1036">
        <f t="shared" si="51"/>
        <v>25.360000000000003</v>
      </c>
      <c r="Q1036" s="111">
        <v>0.19800000000000001</v>
      </c>
      <c r="R1036">
        <v>0.33500000000000002</v>
      </c>
      <c r="S1036" s="65">
        <v>4</v>
      </c>
      <c r="T1036">
        <v>49</v>
      </c>
      <c r="U1036" t="s">
        <v>31</v>
      </c>
      <c r="V1036" t="s">
        <v>32</v>
      </c>
    </row>
    <row r="1037" spans="1:22" x14ac:dyDescent="0.2">
      <c r="A1037" s="1" t="s">
        <v>1200</v>
      </c>
      <c r="B1037" t="s">
        <v>33</v>
      </c>
      <c r="C1037" t="s">
        <v>38</v>
      </c>
      <c r="D1037" s="65" t="str">
        <f t="shared" si="50"/>
        <v>093_V_b</v>
      </c>
      <c r="E1037">
        <v>38</v>
      </c>
      <c r="F1037" t="s">
        <v>68</v>
      </c>
      <c r="G1037" t="s">
        <v>1204</v>
      </c>
      <c r="I1037">
        <v>2.88503102025199</v>
      </c>
      <c r="J1037" s="82">
        <v>29.5</v>
      </c>
      <c r="K1037" s="82">
        <v>4.5999999999999996</v>
      </c>
      <c r="L1037" s="82">
        <v>44.2</v>
      </c>
      <c r="M1037" s="82">
        <v>39.200000000000003</v>
      </c>
      <c r="N1037" s="82">
        <v>39.4</v>
      </c>
      <c r="O1037" s="44">
        <f t="shared" si="49"/>
        <v>10.554638297872334</v>
      </c>
      <c r="P1037">
        <f t="shared" si="51"/>
        <v>31.380000000000003</v>
      </c>
      <c r="Q1037" s="111">
        <v>0.13500000000000001</v>
      </c>
      <c r="R1037">
        <v>0.24399999999999999</v>
      </c>
      <c r="S1037" s="65">
        <v>7</v>
      </c>
      <c r="T1037">
        <v>15</v>
      </c>
      <c r="U1037" t="s">
        <v>31</v>
      </c>
      <c r="V1037" t="s">
        <v>32</v>
      </c>
    </row>
    <row r="1038" spans="1:22" x14ac:dyDescent="0.2">
      <c r="A1038" s="5" t="s">
        <v>1200</v>
      </c>
      <c r="B1038" s="6" t="s">
        <v>36</v>
      </c>
      <c r="C1038" s="6" t="s">
        <v>38</v>
      </c>
      <c r="D1038" s="65" t="str">
        <f t="shared" si="50"/>
        <v>093_O_b</v>
      </c>
      <c r="E1038">
        <v>61</v>
      </c>
      <c r="F1038" t="s">
        <v>34</v>
      </c>
      <c r="G1038" t="s">
        <v>1205</v>
      </c>
      <c r="I1038">
        <v>2.4467392478928001</v>
      </c>
      <c r="J1038" s="82">
        <v>2</v>
      </c>
      <c r="K1038" s="82">
        <v>1.1000000000000001</v>
      </c>
      <c r="L1038" s="82">
        <v>25</v>
      </c>
      <c r="M1038" s="82">
        <v>3.3</v>
      </c>
      <c r="N1038" s="82">
        <v>23.3</v>
      </c>
      <c r="O1038" s="44">
        <f t="shared" si="49"/>
        <v>16.756263269639064</v>
      </c>
      <c r="P1038">
        <f t="shared" si="51"/>
        <v>10.940000000000001</v>
      </c>
      <c r="Q1038" s="111">
        <v>0.105</v>
      </c>
      <c r="R1038">
        <v>0.21199999999999999</v>
      </c>
      <c r="S1038" s="65">
        <v>11</v>
      </c>
      <c r="T1038">
        <v>20</v>
      </c>
      <c r="U1038" t="s">
        <v>31</v>
      </c>
      <c r="V1038" t="s">
        <v>32</v>
      </c>
    </row>
    <row r="1039" spans="1:22" x14ac:dyDescent="0.2">
      <c r="A1039" s="5" t="s">
        <v>1200</v>
      </c>
      <c r="B1039" s="6" t="s">
        <v>27</v>
      </c>
      <c r="C1039" s="6" t="s">
        <v>38</v>
      </c>
      <c r="D1039" s="65" t="str">
        <f t="shared" si="50"/>
        <v>093_S_b</v>
      </c>
      <c r="E1039">
        <v>64</v>
      </c>
      <c r="F1039" t="s">
        <v>70</v>
      </c>
      <c r="G1039" t="s">
        <v>1206</v>
      </c>
      <c r="I1039">
        <v>1.0626329237133501</v>
      </c>
      <c r="J1039" s="82">
        <v>7.1</v>
      </c>
      <c r="K1039" s="82">
        <v>3.4</v>
      </c>
      <c r="L1039" s="82">
        <v>30.8</v>
      </c>
      <c r="M1039" s="82">
        <v>9.4</v>
      </c>
      <c r="N1039" s="82">
        <v>4.5999999999999996</v>
      </c>
      <c r="O1039" s="44">
        <f t="shared" si="49"/>
        <v>12.001249178172264</v>
      </c>
      <c r="P1039">
        <f t="shared" si="51"/>
        <v>11.059999999999999</v>
      </c>
      <c r="Q1039" s="111">
        <v>4.9000000000000002E-2</v>
      </c>
      <c r="R1039">
        <v>9.7000000000000003E-2</v>
      </c>
      <c r="S1039" s="65">
        <v>6</v>
      </c>
      <c r="T1039">
        <v>11</v>
      </c>
      <c r="U1039" t="s">
        <v>31</v>
      </c>
      <c r="V1039" t="s">
        <v>32</v>
      </c>
    </row>
    <row r="1040" spans="1:22" x14ac:dyDescent="0.2">
      <c r="A1040" s="5" t="s">
        <v>1200</v>
      </c>
      <c r="B1040" s="6" t="s">
        <v>36</v>
      </c>
      <c r="C1040" s="6" t="s">
        <v>45</v>
      </c>
      <c r="D1040" s="65" t="str">
        <f t="shared" si="50"/>
        <v>093_O_c</v>
      </c>
      <c r="E1040">
        <v>92</v>
      </c>
      <c r="F1040" t="s">
        <v>82</v>
      </c>
      <c r="G1040" t="s">
        <v>1207</v>
      </c>
      <c r="I1040">
        <v>4.3836540604799801</v>
      </c>
      <c r="J1040" s="82">
        <v>53.6</v>
      </c>
      <c r="K1040" s="82">
        <v>48.6</v>
      </c>
      <c r="L1040" s="82">
        <v>46.2</v>
      </c>
      <c r="M1040">
        <v>47.1</v>
      </c>
      <c r="N1040" s="82">
        <v>48.5</v>
      </c>
      <c r="O1040" s="44">
        <f t="shared" si="49"/>
        <v>0.22306905370843985</v>
      </c>
      <c r="P1040">
        <f t="shared" si="51"/>
        <v>48.8</v>
      </c>
      <c r="Q1040" s="111">
        <v>0.35</v>
      </c>
      <c r="R1040">
        <v>0.371</v>
      </c>
      <c r="S1040" s="65">
        <v>13</v>
      </c>
      <c r="T1040">
        <v>12</v>
      </c>
      <c r="U1040" t="s">
        <v>54</v>
      </c>
      <c r="V1040" t="s">
        <v>32</v>
      </c>
    </row>
    <row r="1041" spans="1:23" x14ac:dyDescent="0.2">
      <c r="A1041" s="5" t="s">
        <v>1200</v>
      </c>
      <c r="B1041" s="6" t="s">
        <v>33</v>
      </c>
      <c r="C1041" s="6" t="s">
        <v>45</v>
      </c>
      <c r="D1041" s="65" t="str">
        <f t="shared" si="50"/>
        <v>093_V_c</v>
      </c>
      <c r="E1041">
        <v>104</v>
      </c>
      <c r="F1041" t="s">
        <v>68</v>
      </c>
      <c r="G1041" t="s">
        <v>1208</v>
      </c>
      <c r="I1041">
        <v>3.5817361288673002</v>
      </c>
      <c r="J1041" s="82">
        <v>44.5</v>
      </c>
      <c r="K1041" s="82">
        <v>34.299999999999997</v>
      </c>
      <c r="L1041" s="82">
        <v>14.3</v>
      </c>
      <c r="M1041">
        <v>45.3</v>
      </c>
      <c r="N1041" s="82">
        <v>38.4</v>
      </c>
      <c r="O1041" s="44">
        <f t="shared" si="49"/>
        <v>6.0181117533718815</v>
      </c>
      <c r="P1041">
        <f t="shared" si="51"/>
        <v>35.36</v>
      </c>
      <c r="Q1041" s="111">
        <v>0.315</v>
      </c>
      <c r="R1041">
        <v>0.39800000000000002</v>
      </c>
      <c r="S1041" s="65">
        <v>16</v>
      </c>
      <c r="T1041">
        <v>15</v>
      </c>
      <c r="U1041" t="s">
        <v>72</v>
      </c>
      <c r="V1041" t="s">
        <v>32</v>
      </c>
    </row>
    <row r="1042" spans="1:23" x14ac:dyDescent="0.2">
      <c r="A1042" s="5" t="s">
        <v>1200</v>
      </c>
      <c r="B1042" s="6" t="s">
        <v>27</v>
      </c>
      <c r="C1042" s="6" t="s">
        <v>45</v>
      </c>
      <c r="D1042" s="65" t="str">
        <f t="shared" si="50"/>
        <v>093_S_c</v>
      </c>
      <c r="E1042">
        <v>108</v>
      </c>
      <c r="F1042" t="s">
        <v>70</v>
      </c>
      <c r="G1042" t="s">
        <v>1209</v>
      </c>
      <c r="I1042">
        <v>2.16119973039766</v>
      </c>
      <c r="J1042" s="82">
        <v>28.3</v>
      </c>
      <c r="K1042" s="82">
        <v>29.5</v>
      </c>
      <c r="L1042" s="82">
        <v>39.799999999999997</v>
      </c>
      <c r="M1042">
        <v>36</v>
      </c>
      <c r="N1042" s="82">
        <v>35</v>
      </c>
      <c r="O1042" s="44">
        <f t="shared" si="49"/>
        <v>0.88762475049899803</v>
      </c>
      <c r="P1042">
        <f t="shared" si="51"/>
        <v>33.72</v>
      </c>
      <c r="Q1042" s="111">
        <v>0.35399999999999998</v>
      </c>
      <c r="R1042">
        <v>0.45500000000000002</v>
      </c>
      <c r="S1042" s="65">
        <v>11</v>
      </c>
      <c r="T1042">
        <v>15</v>
      </c>
      <c r="U1042" t="s">
        <v>47</v>
      </c>
      <c r="V1042" t="s">
        <v>32</v>
      </c>
    </row>
    <row r="1043" spans="1:23" ht="16" x14ac:dyDescent="0.2">
      <c r="A1043" s="5" t="s">
        <v>1200</v>
      </c>
      <c r="B1043" s="6" t="s">
        <v>33</v>
      </c>
      <c r="C1043" s="6" t="s">
        <v>52</v>
      </c>
      <c r="D1043" s="65" t="str">
        <f t="shared" si="50"/>
        <v>093_V_d</v>
      </c>
      <c r="E1043">
        <v>123</v>
      </c>
      <c r="F1043" t="s">
        <v>49</v>
      </c>
      <c r="G1043" t="s">
        <v>1210</v>
      </c>
      <c r="I1043">
        <v>3.3357134268055102</v>
      </c>
      <c r="J1043" s="82">
        <v>43.9</v>
      </c>
      <c r="K1043" s="82">
        <v>40.200000000000003</v>
      </c>
      <c r="L1043" s="84">
        <v>38.1</v>
      </c>
      <c r="M1043">
        <v>2.2000000000000002</v>
      </c>
      <c r="N1043" s="82">
        <v>35.4</v>
      </c>
      <c r="O1043" s="44">
        <f t="shared" si="49"/>
        <v>12.12068595927118</v>
      </c>
      <c r="P1043">
        <f t="shared" si="51"/>
        <v>31.959999999999997</v>
      </c>
      <c r="Q1043" s="111">
        <v>0</v>
      </c>
      <c r="R1043">
        <v>0.39400000000000002</v>
      </c>
      <c r="S1043" s="65">
        <v>10</v>
      </c>
      <c r="T1043">
        <v>5</v>
      </c>
      <c r="U1043" t="s">
        <v>31</v>
      </c>
      <c r="V1043" t="s">
        <v>32</v>
      </c>
    </row>
    <row r="1044" spans="1:23" ht="16" x14ac:dyDescent="0.2">
      <c r="A1044" s="5" t="s">
        <v>1200</v>
      </c>
      <c r="B1044" s="6" t="s">
        <v>27</v>
      </c>
      <c r="C1044" s="6" t="s">
        <v>52</v>
      </c>
      <c r="D1044" s="65" t="str">
        <f t="shared" si="50"/>
        <v>093_S_d</v>
      </c>
      <c r="E1044">
        <v>136</v>
      </c>
      <c r="F1044" t="s">
        <v>82</v>
      </c>
      <c r="G1044" t="s">
        <v>1211</v>
      </c>
      <c r="I1044">
        <v>4.6870681096107996</v>
      </c>
      <c r="J1044" s="82">
        <v>33.299999999999997</v>
      </c>
      <c r="K1044" s="82">
        <v>44.5</v>
      </c>
      <c r="L1044" s="84">
        <v>49</v>
      </c>
      <c r="M1044" s="82">
        <v>40.1</v>
      </c>
      <c r="N1044" s="82">
        <v>35</v>
      </c>
      <c r="O1044" s="44">
        <f t="shared" si="49"/>
        <v>1.0724785300579147</v>
      </c>
      <c r="P1044">
        <f t="shared" si="51"/>
        <v>40.380000000000003</v>
      </c>
      <c r="Q1044" s="111">
        <v>0.32300000000000001</v>
      </c>
      <c r="R1044">
        <v>0.58299999999999996</v>
      </c>
      <c r="S1044" s="65">
        <v>16</v>
      </c>
      <c r="T1044">
        <v>25</v>
      </c>
      <c r="U1044" t="s">
        <v>72</v>
      </c>
      <c r="V1044" t="s">
        <v>32</v>
      </c>
    </row>
    <row r="1045" spans="1:23" ht="16" x14ac:dyDescent="0.2">
      <c r="A1045" s="5" t="s">
        <v>1200</v>
      </c>
      <c r="B1045" s="6" t="s">
        <v>36</v>
      </c>
      <c r="C1045" s="6" t="s">
        <v>52</v>
      </c>
      <c r="D1045" s="65" t="str">
        <f t="shared" si="50"/>
        <v>093_O_d</v>
      </c>
      <c r="E1045">
        <v>144</v>
      </c>
      <c r="F1045" t="s">
        <v>39</v>
      </c>
      <c r="G1045" t="s">
        <v>1212</v>
      </c>
      <c r="I1045">
        <v>0.42771149674620401</v>
      </c>
      <c r="J1045" s="82">
        <v>7.9</v>
      </c>
      <c r="K1045" s="82">
        <v>31.9</v>
      </c>
      <c r="L1045" s="84">
        <v>33.200000000000003</v>
      </c>
      <c r="M1045" s="82">
        <v>33.299999999999997</v>
      </c>
      <c r="N1045" s="82">
        <v>43.6</v>
      </c>
      <c r="O1045" s="44">
        <f t="shared" si="49"/>
        <v>5.8479460645970578</v>
      </c>
      <c r="P1045">
        <f t="shared" si="51"/>
        <v>29.98</v>
      </c>
      <c r="Q1045" s="111">
        <v>0.58899999999999997</v>
      </c>
      <c r="R1045">
        <v>0.55600000000000005</v>
      </c>
      <c r="S1045" s="65">
        <v>19</v>
      </c>
      <c r="T1045">
        <v>33</v>
      </c>
      <c r="U1045" t="s">
        <v>72</v>
      </c>
      <c r="V1045" t="s">
        <v>32</v>
      </c>
    </row>
    <row r="1046" spans="1:23" ht="16" x14ac:dyDescent="0.2">
      <c r="A1046" s="45" t="s">
        <v>1213</v>
      </c>
      <c r="B1046" s="46" t="s">
        <v>33</v>
      </c>
      <c r="C1046" s="46" t="s">
        <v>28</v>
      </c>
      <c r="D1046" s="67" t="str">
        <f t="shared" si="50"/>
        <v>094_V_a</v>
      </c>
      <c r="E1046" s="47">
        <v>10</v>
      </c>
      <c r="F1046" s="47" t="s">
        <v>39</v>
      </c>
      <c r="G1046" s="47" t="s">
        <v>1214</v>
      </c>
      <c r="H1046" s="47"/>
      <c r="I1046">
        <v>1.96199443141852</v>
      </c>
      <c r="J1046" s="84">
        <v>17.2</v>
      </c>
      <c r="K1046" s="82">
        <v>5.7</v>
      </c>
      <c r="L1046" s="82">
        <v>22.4</v>
      </c>
      <c r="M1046" s="82">
        <v>1.6</v>
      </c>
      <c r="N1046" s="82">
        <v>28.8</v>
      </c>
      <c r="O1046" s="48">
        <f t="shared" si="49"/>
        <v>8.0383084577114428</v>
      </c>
      <c r="P1046">
        <f t="shared" si="51"/>
        <v>15.14</v>
      </c>
      <c r="Q1046" s="113">
        <v>0.123</v>
      </c>
      <c r="R1046" s="47">
        <v>0.218</v>
      </c>
      <c r="S1046" s="67">
        <v>7</v>
      </c>
      <c r="T1046" s="47">
        <v>30</v>
      </c>
      <c r="U1046" s="47" t="s">
        <v>31</v>
      </c>
      <c r="V1046" t="s">
        <v>32</v>
      </c>
      <c r="W1046" s="47"/>
    </row>
    <row r="1047" spans="1:23" x14ac:dyDescent="0.2">
      <c r="A1047" s="5" t="s">
        <v>1213</v>
      </c>
      <c r="B1047" s="6" t="s">
        <v>27</v>
      </c>
      <c r="C1047" s="6" t="s">
        <v>28</v>
      </c>
      <c r="D1047" s="65" t="str">
        <f t="shared" si="50"/>
        <v>094_S_a</v>
      </c>
      <c r="E1047">
        <v>19</v>
      </c>
      <c r="F1047" t="s">
        <v>63</v>
      </c>
      <c r="G1047" t="s">
        <v>1215</v>
      </c>
      <c r="I1047">
        <v>5.0863283695859298</v>
      </c>
      <c r="J1047" s="82">
        <v>14.3</v>
      </c>
      <c r="K1047" s="82">
        <v>21.8</v>
      </c>
      <c r="L1047" s="82">
        <v>29.3</v>
      </c>
      <c r="M1047" s="82">
        <v>34.1</v>
      </c>
      <c r="N1047" s="82">
        <v>32</v>
      </c>
      <c r="O1047" s="44">
        <f t="shared" si="49"/>
        <v>3.0280402010050276</v>
      </c>
      <c r="P1047">
        <f t="shared" si="51"/>
        <v>26.3</v>
      </c>
      <c r="Q1047" s="111">
        <v>0.26400000000000001</v>
      </c>
      <c r="R1047">
        <v>0.39</v>
      </c>
      <c r="S1047" s="65">
        <v>27</v>
      </c>
      <c r="T1047">
        <v>59</v>
      </c>
      <c r="U1047" t="s">
        <v>31</v>
      </c>
      <c r="V1047" t="s">
        <v>32</v>
      </c>
    </row>
    <row r="1048" spans="1:23" x14ac:dyDescent="0.2">
      <c r="A1048" s="5" t="s">
        <v>1213</v>
      </c>
      <c r="B1048" s="6" t="s">
        <v>36</v>
      </c>
      <c r="C1048" s="6" t="s">
        <v>28</v>
      </c>
      <c r="D1048" s="65" t="str">
        <f t="shared" si="50"/>
        <v>094_O_a</v>
      </c>
      <c r="E1048">
        <v>21</v>
      </c>
      <c r="F1048" t="s">
        <v>29</v>
      </c>
      <c r="G1048" t="s">
        <v>1216</v>
      </c>
      <c r="H1048" t="s">
        <v>56</v>
      </c>
      <c r="I1048">
        <v>0</v>
      </c>
      <c r="J1048" s="82">
        <v>0.9</v>
      </c>
      <c r="K1048" s="82">
        <v>0.9</v>
      </c>
      <c r="L1048" s="82">
        <v>1</v>
      </c>
      <c r="M1048" s="82">
        <v>1</v>
      </c>
      <c r="N1048" s="82">
        <v>0.9</v>
      </c>
      <c r="O1048" s="44">
        <f t="shared" si="49"/>
        <v>3.5087719298245602E-3</v>
      </c>
      <c r="P1048">
        <f t="shared" si="51"/>
        <v>0.94000000000000006</v>
      </c>
      <c r="Q1048" s="111" t="s">
        <v>57</v>
      </c>
      <c r="R1048" t="s">
        <v>57</v>
      </c>
      <c r="S1048" s="65" t="s">
        <v>57</v>
      </c>
      <c r="T1048" t="s">
        <v>57</v>
      </c>
      <c r="U1048" t="s">
        <v>57</v>
      </c>
      <c r="V1048" t="s">
        <v>32</v>
      </c>
      <c r="W1048" t="s">
        <v>67</v>
      </c>
    </row>
    <row r="1049" spans="1:23" x14ac:dyDescent="0.2">
      <c r="A1049" s="1" t="s">
        <v>1213</v>
      </c>
      <c r="B1049" t="s">
        <v>33</v>
      </c>
      <c r="C1049" t="s">
        <v>38</v>
      </c>
      <c r="D1049" s="65" t="str">
        <f t="shared" si="50"/>
        <v>094_V_b</v>
      </c>
      <c r="E1049">
        <v>45</v>
      </c>
      <c r="F1049" t="s">
        <v>43</v>
      </c>
      <c r="G1049" t="s">
        <v>1217</v>
      </c>
      <c r="I1049">
        <v>3.9409565510272802</v>
      </c>
      <c r="J1049" s="82">
        <v>23.5</v>
      </c>
      <c r="K1049" s="82">
        <v>9.6999999999999993</v>
      </c>
      <c r="L1049" s="82">
        <v>4.0999999999999996</v>
      </c>
      <c r="M1049" s="82">
        <v>31.6</v>
      </c>
      <c r="N1049" s="82">
        <v>30</v>
      </c>
      <c r="O1049" s="44">
        <f t="shared" si="49"/>
        <v>9.1902757619738704</v>
      </c>
      <c r="P1049">
        <f t="shared" si="51"/>
        <v>19.78</v>
      </c>
      <c r="Q1049" s="111">
        <v>0.29199999999999998</v>
      </c>
      <c r="R1049">
        <v>0.38500000000000001</v>
      </c>
      <c r="S1049" s="65">
        <v>11</v>
      </c>
      <c r="T1049" s="43">
        <v>21</v>
      </c>
      <c r="U1049" t="s">
        <v>85</v>
      </c>
      <c r="V1049" t="s">
        <v>32</v>
      </c>
    </row>
    <row r="1050" spans="1:23" x14ac:dyDescent="0.2">
      <c r="A1050" s="5" t="s">
        <v>1213</v>
      </c>
      <c r="B1050" s="6" t="s">
        <v>36</v>
      </c>
      <c r="C1050" s="6" t="s">
        <v>38</v>
      </c>
      <c r="D1050" s="65" t="str">
        <f t="shared" si="50"/>
        <v>094_O_b</v>
      </c>
      <c r="E1050">
        <v>58</v>
      </c>
      <c r="F1050" t="s">
        <v>63</v>
      </c>
      <c r="G1050" t="s">
        <v>1218</v>
      </c>
      <c r="I1050">
        <v>2.48929713648196</v>
      </c>
      <c r="J1050" s="82">
        <v>12.1</v>
      </c>
      <c r="K1050" s="82">
        <v>29.6</v>
      </c>
      <c r="L1050" s="82">
        <v>30.1</v>
      </c>
      <c r="M1050" s="82">
        <v>27.1</v>
      </c>
      <c r="N1050" s="82">
        <v>32.6</v>
      </c>
      <c r="O1050" s="44">
        <f t="shared" si="49"/>
        <v>2.9347826086956519</v>
      </c>
      <c r="P1050">
        <f t="shared" si="51"/>
        <v>26.3</v>
      </c>
      <c r="Q1050" s="111">
        <v>0.191</v>
      </c>
      <c r="R1050">
        <v>0.26300000000000001</v>
      </c>
      <c r="S1050" s="65">
        <v>7</v>
      </c>
      <c r="T1050">
        <v>10</v>
      </c>
      <c r="U1050" t="s">
        <v>31</v>
      </c>
      <c r="V1050" t="s">
        <v>32</v>
      </c>
    </row>
    <row r="1051" spans="1:23" x14ac:dyDescent="0.2">
      <c r="A1051" s="5" t="s">
        <v>1213</v>
      </c>
      <c r="B1051" s="6" t="s">
        <v>27</v>
      </c>
      <c r="C1051" s="6" t="s">
        <v>38</v>
      </c>
      <c r="D1051" s="65" t="str">
        <f t="shared" si="50"/>
        <v>094_S_b</v>
      </c>
      <c r="E1051">
        <v>59</v>
      </c>
      <c r="F1051" t="s">
        <v>41</v>
      </c>
      <c r="G1051" t="s">
        <v>1219</v>
      </c>
      <c r="I1051">
        <v>3.0255599333632999</v>
      </c>
      <c r="J1051" s="82">
        <v>29.9</v>
      </c>
      <c r="K1051" s="82">
        <v>30.8</v>
      </c>
      <c r="L1051" s="82">
        <v>29.6</v>
      </c>
      <c r="M1051" s="82">
        <v>31.7</v>
      </c>
      <c r="N1051" s="82">
        <v>23.2</v>
      </c>
      <c r="O1051" s="44">
        <f t="shared" si="49"/>
        <v>2.9508196721311452E-2</v>
      </c>
      <c r="P1051">
        <f t="shared" si="51"/>
        <v>29.040000000000003</v>
      </c>
      <c r="Q1051" s="111">
        <v>0.20799999999999999</v>
      </c>
      <c r="R1051">
        <v>0.40899999999999997</v>
      </c>
      <c r="S1051" s="65">
        <v>11</v>
      </c>
      <c r="T1051">
        <v>11</v>
      </c>
      <c r="U1051" t="s">
        <v>31</v>
      </c>
      <c r="V1051" t="s">
        <v>32</v>
      </c>
    </row>
    <row r="1052" spans="1:23" s="19" customFormat="1" x14ac:dyDescent="0.2">
      <c r="A1052" s="17" t="s">
        <v>1213</v>
      </c>
      <c r="B1052" s="18" t="s">
        <v>27</v>
      </c>
      <c r="C1052" s="18" t="s">
        <v>45</v>
      </c>
      <c r="D1052" s="66" t="str">
        <f t="shared" si="50"/>
        <v>094_S_c</v>
      </c>
      <c r="E1052" s="19">
        <v>81</v>
      </c>
      <c r="F1052" s="19" t="s">
        <v>49</v>
      </c>
      <c r="G1052" s="19" t="s">
        <v>1220</v>
      </c>
      <c r="I1052">
        <v>3.6587105838276601</v>
      </c>
      <c r="J1052" s="83">
        <v>20.100000000000001</v>
      </c>
      <c r="K1052" s="83">
        <v>37.700000000000003</v>
      </c>
      <c r="L1052" s="83">
        <v>2.2000000000000002</v>
      </c>
      <c r="M1052" s="83">
        <v>35.6</v>
      </c>
      <c r="N1052" s="83">
        <v>31</v>
      </c>
      <c r="O1052" s="54">
        <f t="shared" si="49"/>
        <v>11.334170153417007</v>
      </c>
      <c r="P1052">
        <f t="shared" si="51"/>
        <v>25.32</v>
      </c>
      <c r="Q1052" s="112">
        <v>0.36</v>
      </c>
      <c r="R1052" s="19">
        <v>0.42899999999999999</v>
      </c>
      <c r="S1052" s="66">
        <v>23</v>
      </c>
      <c r="T1052" s="19">
        <v>5</v>
      </c>
      <c r="U1052" s="19" t="s">
        <v>72</v>
      </c>
      <c r="V1052" t="s">
        <v>32</v>
      </c>
    </row>
    <row r="1053" spans="1:23" x14ac:dyDescent="0.2">
      <c r="A1053" s="5" t="s">
        <v>1213</v>
      </c>
      <c r="B1053" s="6" t="s">
        <v>33</v>
      </c>
      <c r="C1053" s="6" t="s">
        <v>45</v>
      </c>
      <c r="D1053" s="65" t="str">
        <f t="shared" si="50"/>
        <v>094_V_c</v>
      </c>
      <c r="E1053">
        <v>91</v>
      </c>
      <c r="F1053" t="s">
        <v>68</v>
      </c>
      <c r="G1053" t="s">
        <v>1221</v>
      </c>
      <c r="I1053">
        <v>2.9691935873680801</v>
      </c>
      <c r="J1053" s="82">
        <v>18.3</v>
      </c>
      <c r="K1053" s="82">
        <v>44.2</v>
      </c>
      <c r="L1053" s="82">
        <v>14.8</v>
      </c>
      <c r="M1053">
        <v>40.799999999999997</v>
      </c>
      <c r="N1053" s="82">
        <v>38.200000000000003</v>
      </c>
      <c r="O1053" s="44">
        <f t="shared" si="49"/>
        <v>7.7370307648885168</v>
      </c>
      <c r="P1053">
        <f t="shared" si="51"/>
        <v>31.26</v>
      </c>
      <c r="Q1053" s="111">
        <v>0.184</v>
      </c>
      <c r="R1053">
        <v>0.247</v>
      </c>
      <c r="S1053" s="65">
        <v>6</v>
      </c>
      <c r="T1053">
        <v>30</v>
      </c>
      <c r="U1053" t="s">
        <v>47</v>
      </c>
      <c r="V1053" t="s">
        <v>32</v>
      </c>
    </row>
    <row r="1054" spans="1:23" x14ac:dyDescent="0.2">
      <c r="A1054" s="5" t="s">
        <v>1213</v>
      </c>
      <c r="B1054" s="6" t="s">
        <v>36</v>
      </c>
      <c r="C1054" s="6" t="s">
        <v>45</v>
      </c>
      <c r="D1054" s="65" t="str">
        <f t="shared" si="50"/>
        <v>094_O_c</v>
      </c>
      <c r="E1054">
        <v>95</v>
      </c>
      <c r="F1054" t="s">
        <v>82</v>
      </c>
      <c r="G1054" t="s">
        <v>1222</v>
      </c>
      <c r="I1054">
        <v>1.4783114093959699</v>
      </c>
      <c r="J1054" s="82">
        <v>9.1</v>
      </c>
      <c r="K1054" s="82">
        <v>45.4</v>
      </c>
      <c r="L1054" s="82">
        <v>37.6</v>
      </c>
      <c r="M1054">
        <v>28.7</v>
      </c>
      <c r="N1054" s="82">
        <v>32.4</v>
      </c>
      <c r="O1054" s="44">
        <f t="shared" si="49"/>
        <v>8.093377483443712</v>
      </c>
      <c r="P1054">
        <f t="shared" si="51"/>
        <v>30.639999999999997</v>
      </c>
      <c r="Q1054" s="111">
        <v>0.11</v>
      </c>
      <c r="R1054">
        <v>0.17</v>
      </c>
      <c r="S1054" s="65">
        <v>9</v>
      </c>
      <c r="T1054">
        <v>14</v>
      </c>
      <c r="U1054" t="s">
        <v>54</v>
      </c>
      <c r="V1054" t="s">
        <v>32</v>
      </c>
    </row>
    <row r="1055" spans="1:23" x14ac:dyDescent="0.2">
      <c r="A1055" s="5" t="s">
        <v>1213</v>
      </c>
      <c r="B1055" s="6" t="s">
        <v>36</v>
      </c>
      <c r="C1055" s="6" t="s">
        <v>52</v>
      </c>
      <c r="D1055" s="65" t="str">
        <f t="shared" si="50"/>
        <v>094_O_d</v>
      </c>
      <c r="E1055">
        <v>113</v>
      </c>
      <c r="F1055" t="s">
        <v>29</v>
      </c>
      <c r="G1055" t="s">
        <v>1223</v>
      </c>
      <c r="I1055">
        <v>1.5734406202278901</v>
      </c>
      <c r="J1055" s="82">
        <v>14.4</v>
      </c>
      <c r="K1055" s="82">
        <v>23.5</v>
      </c>
      <c r="L1055" s="82">
        <v>27.5</v>
      </c>
      <c r="M1055">
        <v>28.6</v>
      </c>
      <c r="N1055" s="82">
        <v>35.9</v>
      </c>
      <c r="O1055" s="44">
        <f t="shared" si="49"/>
        <v>1.7704964539007115</v>
      </c>
      <c r="P1055">
        <f t="shared" si="51"/>
        <v>25.98</v>
      </c>
      <c r="Q1055" s="111">
        <v>0.156</v>
      </c>
      <c r="R1055">
        <v>0.251</v>
      </c>
      <c r="S1055" s="65">
        <v>7</v>
      </c>
      <c r="T1055">
        <v>41</v>
      </c>
      <c r="U1055" t="s">
        <v>54</v>
      </c>
      <c r="V1055" t="s">
        <v>32</v>
      </c>
    </row>
    <row r="1056" spans="1:23" ht="16" x14ac:dyDescent="0.2">
      <c r="A1056" s="5" t="s">
        <v>1213</v>
      </c>
      <c r="B1056" s="6" t="s">
        <v>27</v>
      </c>
      <c r="C1056" s="6" t="s">
        <v>52</v>
      </c>
      <c r="D1056" s="65" t="str">
        <f t="shared" si="50"/>
        <v>094_S_d</v>
      </c>
      <c r="E1056">
        <v>121</v>
      </c>
      <c r="F1056" t="s">
        <v>70</v>
      </c>
      <c r="G1056" t="s">
        <v>1224</v>
      </c>
      <c r="I1056">
        <v>2.86895282949444</v>
      </c>
      <c r="J1056" s="82">
        <v>40.799999999999997</v>
      </c>
      <c r="K1056" s="82">
        <v>29.7</v>
      </c>
      <c r="L1056" s="84">
        <v>51.3</v>
      </c>
      <c r="M1056">
        <v>34.4</v>
      </c>
      <c r="N1056" s="82">
        <v>12.7</v>
      </c>
      <c r="O1056" s="44">
        <f t="shared" ref="O1056:O1119" si="52">VAR(J1056:M1056)/AVERAGE(J1056:M1056)</f>
        <v>2.237900128040974</v>
      </c>
      <c r="P1056">
        <f t="shared" si="51"/>
        <v>33.779999999999994</v>
      </c>
      <c r="Q1056" s="111">
        <v>0.309</v>
      </c>
      <c r="R1056">
        <v>0.50800000000000001</v>
      </c>
      <c r="S1056" s="65">
        <v>10</v>
      </c>
      <c r="T1056">
        <v>28</v>
      </c>
      <c r="U1056" t="s">
        <v>54</v>
      </c>
      <c r="V1056" t="s">
        <v>32</v>
      </c>
    </row>
    <row r="1057" spans="1:22" ht="16" x14ac:dyDescent="0.2">
      <c r="A1057" s="5" t="s">
        <v>1213</v>
      </c>
      <c r="B1057" s="6" t="s">
        <v>33</v>
      </c>
      <c r="C1057" s="6" t="s">
        <v>52</v>
      </c>
      <c r="D1057" s="65" t="str">
        <f t="shared" si="50"/>
        <v>094_V_d</v>
      </c>
      <c r="E1057">
        <v>133</v>
      </c>
      <c r="F1057" t="s">
        <v>49</v>
      </c>
      <c r="G1057" t="s">
        <v>1225</v>
      </c>
      <c r="I1057">
        <v>3.3138557851863002</v>
      </c>
      <c r="J1057" s="82">
        <v>35.200000000000003</v>
      </c>
      <c r="K1057" s="82">
        <v>33.799999999999997</v>
      </c>
      <c r="L1057" s="84">
        <v>39.1</v>
      </c>
      <c r="M1057" s="81">
        <v>1</v>
      </c>
      <c r="N1057" s="82">
        <v>24</v>
      </c>
      <c r="O1057" s="44">
        <f t="shared" si="52"/>
        <v>11.434005499541707</v>
      </c>
      <c r="P1057">
        <f t="shared" si="51"/>
        <v>26.619999999999997</v>
      </c>
      <c r="Q1057" s="111">
        <v>0.222</v>
      </c>
      <c r="R1057">
        <v>0.36599999999999999</v>
      </c>
      <c r="S1057" s="65">
        <v>8</v>
      </c>
      <c r="T1057">
        <v>54</v>
      </c>
      <c r="U1057" t="s">
        <v>51</v>
      </c>
      <c r="V1057" t="s">
        <v>32</v>
      </c>
    </row>
    <row r="1058" spans="1:22" ht="16" x14ac:dyDescent="0.2">
      <c r="A1058" s="5" t="s">
        <v>1226</v>
      </c>
      <c r="B1058" s="6" t="s">
        <v>27</v>
      </c>
      <c r="C1058" s="6" t="s">
        <v>28</v>
      </c>
      <c r="D1058" s="65" t="str">
        <f t="shared" si="50"/>
        <v>095_S_a</v>
      </c>
      <c r="E1058">
        <v>9</v>
      </c>
      <c r="F1058" t="s">
        <v>49</v>
      </c>
      <c r="G1058" t="s">
        <v>1227</v>
      </c>
      <c r="I1058">
        <v>2.7892104467076702</v>
      </c>
      <c r="J1058" s="84">
        <v>35</v>
      </c>
      <c r="K1058" s="82">
        <v>22.2</v>
      </c>
      <c r="L1058" s="82">
        <v>26.9</v>
      </c>
      <c r="M1058" s="82">
        <v>24.1</v>
      </c>
      <c r="N1058" s="82">
        <v>39.700000000000003</v>
      </c>
      <c r="O1058" s="44">
        <f t="shared" si="52"/>
        <v>1.176216882316701</v>
      </c>
      <c r="P1058">
        <f t="shared" si="51"/>
        <v>29.579999999999995</v>
      </c>
      <c r="Q1058" s="111">
        <v>0.28599999999999998</v>
      </c>
      <c r="R1058">
        <v>0.43</v>
      </c>
      <c r="S1058" s="65">
        <v>10</v>
      </c>
      <c r="T1058" s="47">
        <v>24</v>
      </c>
      <c r="U1058" t="s">
        <v>61</v>
      </c>
      <c r="V1058" t="s">
        <v>32</v>
      </c>
    </row>
    <row r="1059" spans="1:22" x14ac:dyDescent="0.2">
      <c r="A1059" s="5" t="s">
        <v>1226</v>
      </c>
      <c r="B1059" s="6" t="s">
        <v>36</v>
      </c>
      <c r="C1059" s="6" t="s">
        <v>28</v>
      </c>
      <c r="D1059" s="65" t="str">
        <f t="shared" si="50"/>
        <v>095_O_a</v>
      </c>
      <c r="E1059">
        <v>29</v>
      </c>
      <c r="F1059" t="s">
        <v>63</v>
      </c>
      <c r="G1059" t="s">
        <v>1228</v>
      </c>
      <c r="I1059">
        <v>2.1694790486976201</v>
      </c>
      <c r="J1059" s="43">
        <v>1.1000000000000001</v>
      </c>
      <c r="K1059" s="82">
        <v>3.2</v>
      </c>
      <c r="L1059" s="82">
        <v>16.8</v>
      </c>
      <c r="M1059" s="82">
        <v>8.1</v>
      </c>
      <c r="N1059" s="82">
        <v>13.9</v>
      </c>
      <c r="O1059" s="44">
        <f t="shared" si="52"/>
        <v>6.6730593607305906</v>
      </c>
      <c r="P1059">
        <f t="shared" si="51"/>
        <v>8.620000000000001</v>
      </c>
      <c r="Q1059" s="111">
        <v>0.03</v>
      </c>
      <c r="R1059">
        <v>9.6000000000000002E-2</v>
      </c>
      <c r="S1059" s="65">
        <v>6</v>
      </c>
      <c r="T1059">
        <v>31</v>
      </c>
      <c r="U1059" t="s">
        <v>51</v>
      </c>
      <c r="V1059" t="s">
        <v>32</v>
      </c>
    </row>
    <row r="1060" spans="1:22" x14ac:dyDescent="0.2">
      <c r="A1060" s="1" t="s">
        <v>1226</v>
      </c>
      <c r="B1060" t="s">
        <v>33</v>
      </c>
      <c r="C1060" t="s">
        <v>28</v>
      </c>
      <c r="D1060" s="65" t="str">
        <f t="shared" si="50"/>
        <v>095_V_a</v>
      </c>
      <c r="E1060">
        <v>34</v>
      </c>
      <c r="F1060" t="s">
        <v>82</v>
      </c>
      <c r="G1060" t="s">
        <v>1229</v>
      </c>
      <c r="I1060">
        <v>2.9102335324695501</v>
      </c>
      <c r="J1060" s="82">
        <v>2</v>
      </c>
      <c r="K1060" s="82">
        <v>10.9</v>
      </c>
      <c r="L1060" s="82">
        <v>27.9</v>
      </c>
      <c r="M1060" s="82">
        <v>29.8</v>
      </c>
      <c r="N1060" s="82">
        <v>35</v>
      </c>
      <c r="O1060" s="44">
        <f t="shared" si="52"/>
        <v>10.258168083097273</v>
      </c>
      <c r="P1060">
        <f t="shared" si="51"/>
        <v>21.119999999999997</v>
      </c>
      <c r="Q1060" s="111">
        <v>0.22600000000000001</v>
      </c>
      <c r="R1060">
        <v>0.30599999999999999</v>
      </c>
      <c r="S1060" s="65">
        <v>5</v>
      </c>
      <c r="T1060">
        <v>59</v>
      </c>
      <c r="U1060" t="s">
        <v>31</v>
      </c>
      <c r="V1060" t="s">
        <v>32</v>
      </c>
    </row>
    <row r="1061" spans="1:22" x14ac:dyDescent="0.2">
      <c r="A1061" s="5" t="s">
        <v>1226</v>
      </c>
      <c r="B1061" s="6" t="s">
        <v>36</v>
      </c>
      <c r="C1061" s="6" t="s">
        <v>38</v>
      </c>
      <c r="D1061" s="65" t="str">
        <f t="shared" si="50"/>
        <v>095_O_b</v>
      </c>
      <c r="E1061">
        <v>61</v>
      </c>
      <c r="F1061" t="s">
        <v>29</v>
      </c>
      <c r="G1061" t="s">
        <v>1230</v>
      </c>
      <c r="I1061">
        <v>0.55505186946185403</v>
      </c>
      <c r="J1061" s="82">
        <v>3.9</v>
      </c>
      <c r="K1061" s="82">
        <v>2.8</v>
      </c>
      <c r="L1061" s="82">
        <v>1.9</v>
      </c>
      <c r="M1061" s="82">
        <v>1.5</v>
      </c>
      <c r="N1061" s="82">
        <v>5.7</v>
      </c>
      <c r="O1061" s="44">
        <f t="shared" si="52"/>
        <v>0.44983498349834972</v>
      </c>
      <c r="P1061">
        <f t="shared" si="51"/>
        <v>3.16</v>
      </c>
      <c r="Q1061" s="111">
        <v>2.3E-2</v>
      </c>
      <c r="R1061">
        <v>0.09</v>
      </c>
      <c r="S1061" s="65">
        <v>0</v>
      </c>
      <c r="T1061">
        <v>10</v>
      </c>
      <c r="U1061" t="s">
        <v>31</v>
      </c>
      <c r="V1061" t="s">
        <v>32</v>
      </c>
    </row>
    <row r="1062" spans="1:22" s="19" customFormat="1" x14ac:dyDescent="0.2">
      <c r="A1062" s="27" t="s">
        <v>1226</v>
      </c>
      <c r="B1062" s="19" t="s">
        <v>33</v>
      </c>
      <c r="C1062" s="19" t="s">
        <v>38</v>
      </c>
      <c r="D1062" s="66" t="str">
        <f t="shared" si="50"/>
        <v>095_V_b</v>
      </c>
      <c r="E1062" s="19">
        <v>65</v>
      </c>
      <c r="F1062" s="19" t="s">
        <v>49</v>
      </c>
      <c r="G1062" s="19" t="s">
        <v>1231</v>
      </c>
      <c r="I1062">
        <v>1.6048401757309501</v>
      </c>
      <c r="J1062" s="83">
        <v>1</v>
      </c>
      <c r="K1062" s="83">
        <v>32.200000000000003</v>
      </c>
      <c r="L1062" s="19" t="s">
        <v>57</v>
      </c>
      <c r="M1062" s="83">
        <v>29.8</v>
      </c>
      <c r="N1062" s="83">
        <v>44.4</v>
      </c>
      <c r="O1062" s="54">
        <f t="shared" si="52"/>
        <v>14.354285714285718</v>
      </c>
      <c r="P1062">
        <f t="shared" si="51"/>
        <v>26.85</v>
      </c>
      <c r="Q1062" s="112">
        <v>0.122</v>
      </c>
      <c r="R1062" s="19">
        <v>0.26900000000000002</v>
      </c>
      <c r="S1062" s="66">
        <v>2</v>
      </c>
      <c r="T1062" s="19">
        <v>20</v>
      </c>
      <c r="U1062" s="19" t="s">
        <v>31</v>
      </c>
      <c r="V1062" t="s">
        <v>32</v>
      </c>
    </row>
    <row r="1063" spans="1:22" x14ac:dyDescent="0.2">
      <c r="A1063" s="5" t="s">
        <v>1226</v>
      </c>
      <c r="B1063" s="6" t="s">
        <v>27</v>
      </c>
      <c r="C1063" s="6" t="s">
        <v>38</v>
      </c>
      <c r="D1063" s="65" t="str">
        <f t="shared" si="50"/>
        <v>095_S_b</v>
      </c>
      <c r="E1063">
        <v>70</v>
      </c>
      <c r="F1063" t="s">
        <v>41</v>
      </c>
      <c r="G1063" t="s">
        <v>1232</v>
      </c>
      <c r="I1063">
        <v>5.00717419164038</v>
      </c>
      <c r="J1063" s="82">
        <v>32.799999999999997</v>
      </c>
      <c r="K1063" s="82">
        <v>20.399999999999999</v>
      </c>
      <c r="L1063" s="82">
        <v>36.9</v>
      </c>
      <c r="M1063" s="82">
        <v>36.299999999999997</v>
      </c>
      <c r="N1063" s="82">
        <v>40.1</v>
      </c>
      <c r="O1063" s="44">
        <f t="shared" si="52"/>
        <v>1.8677215189873413</v>
      </c>
      <c r="P1063">
        <f t="shared" si="51"/>
        <v>33.299999999999997</v>
      </c>
      <c r="Q1063" s="111">
        <v>0.33300000000000002</v>
      </c>
      <c r="R1063">
        <v>0.40500000000000003</v>
      </c>
      <c r="S1063" s="65">
        <v>23</v>
      </c>
      <c r="T1063">
        <v>23</v>
      </c>
      <c r="U1063" t="s">
        <v>31</v>
      </c>
      <c r="V1063" t="s">
        <v>32</v>
      </c>
    </row>
    <row r="1064" spans="1:22" x14ac:dyDescent="0.2">
      <c r="A1064" s="5" t="s">
        <v>1226</v>
      </c>
      <c r="B1064" s="6" t="s">
        <v>27</v>
      </c>
      <c r="C1064" s="6" t="s">
        <v>45</v>
      </c>
      <c r="D1064" s="65" t="str">
        <f t="shared" si="50"/>
        <v>095_S_c</v>
      </c>
      <c r="E1064">
        <v>103</v>
      </c>
      <c r="F1064" t="s">
        <v>29</v>
      </c>
      <c r="G1064" t="s">
        <v>1233</v>
      </c>
      <c r="I1064">
        <v>5.13637859659047</v>
      </c>
      <c r="J1064" s="82">
        <v>37.4</v>
      </c>
      <c r="K1064" s="82">
        <v>39.4</v>
      </c>
      <c r="L1064" s="82">
        <v>41.9</v>
      </c>
      <c r="M1064">
        <v>40.1</v>
      </c>
      <c r="N1064" s="82">
        <v>43.7</v>
      </c>
      <c r="O1064" s="44">
        <f t="shared" si="52"/>
        <v>8.7153652392947117E-2</v>
      </c>
      <c r="P1064">
        <f t="shared" si="51"/>
        <v>40.5</v>
      </c>
      <c r="Q1064" s="111">
        <v>0.32800000000000001</v>
      </c>
      <c r="R1064">
        <v>0.50600000000000001</v>
      </c>
      <c r="S1064" s="65">
        <v>22</v>
      </c>
      <c r="T1064">
        <v>62</v>
      </c>
      <c r="U1064" t="s">
        <v>72</v>
      </c>
      <c r="V1064" t="s">
        <v>32</v>
      </c>
    </row>
    <row r="1065" spans="1:22" x14ac:dyDescent="0.2">
      <c r="A1065" s="5" t="s">
        <v>1226</v>
      </c>
      <c r="B1065" s="6" t="s">
        <v>36</v>
      </c>
      <c r="C1065" s="6" t="s">
        <v>45</v>
      </c>
      <c r="D1065" s="65" t="str">
        <f t="shared" si="50"/>
        <v>095_O_c</v>
      </c>
      <c r="E1065">
        <v>105</v>
      </c>
      <c r="F1065" t="s">
        <v>39</v>
      </c>
      <c r="G1065" t="s">
        <v>1234</v>
      </c>
      <c r="I1065">
        <v>2.9439382465740001</v>
      </c>
      <c r="J1065" s="82">
        <v>27.7</v>
      </c>
      <c r="K1065" s="82">
        <v>37.4</v>
      </c>
      <c r="L1065" s="82">
        <v>42.4</v>
      </c>
      <c r="M1065">
        <v>42.1</v>
      </c>
      <c r="N1065" s="82">
        <v>48.6</v>
      </c>
      <c r="O1065" s="44">
        <f t="shared" si="52"/>
        <v>1.2582887700534786</v>
      </c>
      <c r="P1065">
        <f t="shared" si="51"/>
        <v>39.64</v>
      </c>
      <c r="Q1065" s="111">
        <v>0.3</v>
      </c>
      <c r="R1065">
        <v>0.34699999999999998</v>
      </c>
      <c r="S1065" s="65">
        <v>18</v>
      </c>
      <c r="T1065">
        <v>21</v>
      </c>
      <c r="U1065" t="s">
        <v>72</v>
      </c>
      <c r="V1065" t="s">
        <v>32</v>
      </c>
    </row>
    <row r="1066" spans="1:22" x14ac:dyDescent="0.2">
      <c r="A1066" s="5" t="s">
        <v>1226</v>
      </c>
      <c r="B1066" s="6" t="s">
        <v>33</v>
      </c>
      <c r="C1066" s="6" t="s">
        <v>45</v>
      </c>
      <c r="D1066" s="65" t="str">
        <f t="shared" si="50"/>
        <v>095_V_c</v>
      </c>
      <c r="E1066">
        <v>107</v>
      </c>
      <c r="F1066" t="s">
        <v>34</v>
      </c>
      <c r="G1066" t="s">
        <v>1235</v>
      </c>
      <c r="I1066">
        <v>3.2809632520804199</v>
      </c>
      <c r="J1066" s="82">
        <v>22.3</v>
      </c>
      <c r="K1066" s="82">
        <v>7</v>
      </c>
      <c r="L1066" s="82">
        <v>28.9</v>
      </c>
      <c r="M1066">
        <v>22.8</v>
      </c>
      <c r="N1066" s="82">
        <v>24.9</v>
      </c>
      <c r="O1066" s="44">
        <f t="shared" si="52"/>
        <v>4.2977777777777799</v>
      </c>
      <c r="P1066">
        <f t="shared" si="51"/>
        <v>21.18</v>
      </c>
      <c r="Q1066" s="111">
        <v>0.24099999999999999</v>
      </c>
      <c r="R1066">
        <v>0.245</v>
      </c>
      <c r="S1066" s="65">
        <v>16</v>
      </c>
      <c r="T1066">
        <v>30</v>
      </c>
      <c r="U1066" t="s">
        <v>72</v>
      </c>
      <c r="V1066" t="s">
        <v>32</v>
      </c>
    </row>
    <row r="1067" spans="1:22" ht="16" x14ac:dyDescent="0.2">
      <c r="A1067" s="5" t="s">
        <v>1226</v>
      </c>
      <c r="B1067" s="6" t="s">
        <v>36</v>
      </c>
      <c r="C1067" s="6" t="s">
        <v>52</v>
      </c>
      <c r="D1067" s="65" t="str">
        <f t="shared" si="50"/>
        <v>095_O_d</v>
      </c>
      <c r="E1067">
        <v>136</v>
      </c>
      <c r="F1067" t="s">
        <v>39</v>
      </c>
      <c r="G1067" t="s">
        <v>1236</v>
      </c>
      <c r="I1067">
        <v>3.69144906671962</v>
      </c>
      <c r="J1067" s="82">
        <v>28.7</v>
      </c>
      <c r="K1067" s="82">
        <v>5.5</v>
      </c>
      <c r="L1067" s="84">
        <v>38.6</v>
      </c>
      <c r="M1067" s="82">
        <v>31.7</v>
      </c>
      <c r="N1067" s="82">
        <v>23.6</v>
      </c>
      <c r="O1067" s="44">
        <f t="shared" si="52"/>
        <v>7.8944497607655375</v>
      </c>
      <c r="P1067">
        <f t="shared" si="51"/>
        <v>25.620000000000005</v>
      </c>
      <c r="Q1067" s="111">
        <v>0.186</v>
      </c>
      <c r="R1067">
        <v>0.33200000000000002</v>
      </c>
      <c r="S1067" s="65">
        <v>63</v>
      </c>
      <c r="T1067">
        <v>35</v>
      </c>
      <c r="U1067" t="s">
        <v>72</v>
      </c>
      <c r="V1067" t="s">
        <v>32</v>
      </c>
    </row>
    <row r="1068" spans="1:22" ht="16" x14ac:dyDescent="0.2">
      <c r="A1068" s="5" t="s">
        <v>1226</v>
      </c>
      <c r="B1068" s="6" t="s">
        <v>27</v>
      </c>
      <c r="C1068" s="6" t="s">
        <v>52</v>
      </c>
      <c r="D1068" s="65" t="str">
        <f t="shared" si="50"/>
        <v>095_S_d</v>
      </c>
      <c r="E1068">
        <v>138</v>
      </c>
      <c r="F1068" t="s">
        <v>70</v>
      </c>
      <c r="G1068" t="s">
        <v>1237</v>
      </c>
      <c r="I1068">
        <v>2.2831569398246101</v>
      </c>
      <c r="J1068" s="81"/>
      <c r="K1068" s="82">
        <v>8.9</v>
      </c>
      <c r="L1068" s="84">
        <v>29.6</v>
      </c>
      <c r="M1068" s="82">
        <v>24</v>
      </c>
      <c r="N1068" s="82">
        <v>34.4</v>
      </c>
      <c r="O1068" s="44">
        <f t="shared" si="52"/>
        <v>5.5028800000000047</v>
      </c>
      <c r="P1068">
        <f t="shared" si="51"/>
        <v>24.225000000000001</v>
      </c>
      <c r="Q1068" s="111">
        <v>0.23400000000000001</v>
      </c>
      <c r="R1068">
        <v>0.309</v>
      </c>
      <c r="S1068" s="65">
        <v>11</v>
      </c>
      <c r="T1068">
        <v>48</v>
      </c>
      <c r="U1068" t="s">
        <v>54</v>
      </c>
      <c r="V1068" t="s">
        <v>32</v>
      </c>
    </row>
    <row r="1069" spans="1:22" ht="16" x14ac:dyDescent="0.2">
      <c r="A1069" s="5" t="s">
        <v>1226</v>
      </c>
      <c r="B1069" s="6" t="s">
        <v>33</v>
      </c>
      <c r="C1069" s="6" t="s">
        <v>52</v>
      </c>
      <c r="D1069" s="65" t="str">
        <f t="shared" si="50"/>
        <v>095_V_d</v>
      </c>
      <c r="E1069">
        <v>139</v>
      </c>
      <c r="F1069" t="s">
        <v>68</v>
      </c>
      <c r="G1069" t="s">
        <v>1238</v>
      </c>
      <c r="I1069">
        <v>5.9618855656697001</v>
      </c>
      <c r="J1069" s="82">
        <v>13</v>
      </c>
      <c r="K1069" s="82">
        <v>19.600000000000001</v>
      </c>
      <c r="L1069" s="84">
        <v>33.4</v>
      </c>
      <c r="M1069" s="82">
        <v>4</v>
      </c>
      <c r="N1069" s="82">
        <v>3.6</v>
      </c>
      <c r="O1069" s="44">
        <f t="shared" si="52"/>
        <v>8.7565714285714282</v>
      </c>
      <c r="P1069">
        <f t="shared" si="51"/>
        <v>14.719999999999999</v>
      </c>
      <c r="Q1069" s="111">
        <v>0.374</v>
      </c>
      <c r="R1069">
        <v>0.47</v>
      </c>
      <c r="S1069" s="65">
        <v>16</v>
      </c>
      <c r="T1069">
        <v>36</v>
      </c>
      <c r="U1069" t="s">
        <v>72</v>
      </c>
      <c r="V1069" t="s">
        <v>32</v>
      </c>
    </row>
    <row r="1070" spans="1:22" ht="16" x14ac:dyDescent="0.2">
      <c r="A1070" s="1" t="s">
        <v>1239</v>
      </c>
      <c r="B1070" t="s">
        <v>33</v>
      </c>
      <c r="C1070" t="s">
        <v>28</v>
      </c>
      <c r="D1070" s="65" t="str">
        <f t="shared" si="50"/>
        <v>096_V_a</v>
      </c>
      <c r="E1070">
        <v>18</v>
      </c>
      <c r="F1070" t="s">
        <v>63</v>
      </c>
      <c r="G1070" t="s">
        <v>1240</v>
      </c>
      <c r="I1070">
        <v>1.18607573726542</v>
      </c>
      <c r="J1070" s="108">
        <v>1.6</v>
      </c>
      <c r="K1070" s="82">
        <v>6.8</v>
      </c>
      <c r="L1070" s="82">
        <v>20.9</v>
      </c>
      <c r="M1070" s="82">
        <v>17</v>
      </c>
      <c r="N1070" s="82">
        <v>27.1</v>
      </c>
      <c r="O1070" s="44">
        <f t="shared" si="52"/>
        <v>6.8736501079913612</v>
      </c>
      <c r="P1070">
        <f t="shared" si="51"/>
        <v>14.680000000000001</v>
      </c>
      <c r="Q1070" s="111">
        <v>4.5999999999999999E-2</v>
      </c>
      <c r="R1070">
        <v>0.129</v>
      </c>
      <c r="S1070" s="65">
        <v>11</v>
      </c>
      <c r="T1070">
        <v>13</v>
      </c>
      <c r="U1070" t="s">
        <v>51</v>
      </c>
      <c r="V1070" t="s">
        <v>32</v>
      </c>
    </row>
    <row r="1071" spans="1:22" x14ac:dyDescent="0.2">
      <c r="A1071" s="5" t="s">
        <v>1239</v>
      </c>
      <c r="B1071" s="6" t="s">
        <v>36</v>
      </c>
      <c r="C1071" s="6" t="s">
        <v>28</v>
      </c>
      <c r="D1071" s="65" t="str">
        <f t="shared" si="50"/>
        <v>096_O_a</v>
      </c>
      <c r="E1071">
        <v>25</v>
      </c>
      <c r="F1071" t="s">
        <v>68</v>
      </c>
      <c r="G1071" t="s">
        <v>1241</v>
      </c>
      <c r="I1071">
        <v>2.9870103092783502</v>
      </c>
      <c r="J1071" s="82">
        <v>5.7</v>
      </c>
      <c r="K1071" t="s">
        <v>57</v>
      </c>
      <c r="L1071" s="82">
        <v>37</v>
      </c>
      <c r="M1071" s="82">
        <v>35.9</v>
      </c>
      <c r="N1071" s="82">
        <v>42.7</v>
      </c>
      <c r="O1071" s="44">
        <f t="shared" si="52"/>
        <v>12.041603053435123</v>
      </c>
      <c r="P1071">
        <f t="shared" si="51"/>
        <v>30.324999999999999</v>
      </c>
      <c r="Q1071" s="111">
        <v>0.20499999999999999</v>
      </c>
      <c r="R1071">
        <v>0.39</v>
      </c>
      <c r="S1071" s="65">
        <v>10</v>
      </c>
      <c r="T1071" s="43">
        <v>23</v>
      </c>
      <c r="U1071" t="s">
        <v>31</v>
      </c>
      <c r="V1071" t="s">
        <v>32</v>
      </c>
    </row>
    <row r="1072" spans="1:22" x14ac:dyDescent="0.2">
      <c r="A1072" s="5" t="s">
        <v>1239</v>
      </c>
      <c r="B1072" s="6" t="s">
        <v>27</v>
      </c>
      <c r="C1072" s="6" t="s">
        <v>28</v>
      </c>
      <c r="D1072" s="65" t="str">
        <f t="shared" si="50"/>
        <v>096_S_a</v>
      </c>
      <c r="E1072">
        <v>30</v>
      </c>
      <c r="F1072" t="s">
        <v>82</v>
      </c>
      <c r="G1072" t="s">
        <v>1242</v>
      </c>
      <c r="I1072">
        <v>2.80058142785263</v>
      </c>
      <c r="J1072" s="82">
        <v>3.9</v>
      </c>
      <c r="K1072" s="82">
        <v>10.6</v>
      </c>
      <c r="L1072" s="82">
        <v>25.1</v>
      </c>
      <c r="M1072" s="82">
        <v>13.3</v>
      </c>
      <c r="N1072" s="82">
        <v>37</v>
      </c>
      <c r="O1072" s="44">
        <f t="shared" si="52"/>
        <v>5.919785759294264</v>
      </c>
      <c r="P1072">
        <f t="shared" si="51"/>
        <v>17.98</v>
      </c>
      <c r="Q1072" s="111">
        <v>0.19500000000000001</v>
      </c>
      <c r="R1072">
        <v>0.26300000000000001</v>
      </c>
      <c r="S1072" s="65">
        <v>14</v>
      </c>
      <c r="T1072">
        <v>88</v>
      </c>
      <c r="U1072" t="s">
        <v>72</v>
      </c>
      <c r="V1072" t="s">
        <v>32</v>
      </c>
    </row>
    <row r="1073" spans="1:23" x14ac:dyDescent="0.2">
      <c r="A1073" s="1" t="s">
        <v>1239</v>
      </c>
      <c r="B1073" t="s">
        <v>33</v>
      </c>
      <c r="C1073" t="s">
        <v>38</v>
      </c>
      <c r="D1073" s="65" t="str">
        <f t="shared" si="50"/>
        <v>096_V_b</v>
      </c>
      <c r="E1073">
        <v>47</v>
      </c>
      <c r="F1073" t="s">
        <v>49</v>
      </c>
      <c r="G1073" t="s">
        <v>1243</v>
      </c>
      <c r="I1073">
        <v>1.39632477167552</v>
      </c>
      <c r="J1073" s="82">
        <v>4.8</v>
      </c>
      <c r="K1073" s="82">
        <v>4.5</v>
      </c>
      <c r="L1073" s="82">
        <v>6.9</v>
      </c>
      <c r="M1073" s="82">
        <v>14.9</v>
      </c>
      <c r="N1073" s="82">
        <v>17.399999999999999</v>
      </c>
      <c r="O1073" s="44">
        <f t="shared" si="52"/>
        <v>3.04855305466238</v>
      </c>
      <c r="P1073">
        <f t="shared" si="51"/>
        <v>9.6999999999999993</v>
      </c>
      <c r="Q1073" s="111">
        <v>7.1999999999999995E-2</v>
      </c>
      <c r="R1073">
        <v>0.16700000000000001</v>
      </c>
      <c r="S1073" s="65">
        <v>17</v>
      </c>
      <c r="T1073" s="43">
        <v>19</v>
      </c>
      <c r="U1073" t="s">
        <v>54</v>
      </c>
      <c r="V1073" t="s">
        <v>32</v>
      </c>
    </row>
    <row r="1074" spans="1:23" x14ac:dyDescent="0.2">
      <c r="A1074" s="5" t="s">
        <v>1239</v>
      </c>
      <c r="B1074" s="6" t="s">
        <v>36</v>
      </c>
      <c r="C1074" s="6" t="s">
        <v>38</v>
      </c>
      <c r="D1074" s="65" t="str">
        <f t="shared" si="50"/>
        <v>096_O_b</v>
      </c>
      <c r="E1074">
        <v>65</v>
      </c>
      <c r="F1074" t="s">
        <v>43</v>
      </c>
      <c r="G1074" t="s">
        <v>1244</v>
      </c>
      <c r="I1074">
        <v>1.3298818360854401</v>
      </c>
      <c r="J1074" s="82">
        <v>28.4</v>
      </c>
      <c r="K1074" s="82">
        <v>4.5999999999999996</v>
      </c>
      <c r="L1074" t="s">
        <v>57</v>
      </c>
      <c r="M1074" s="82">
        <v>25.5</v>
      </c>
      <c r="N1074" s="82">
        <v>26.6</v>
      </c>
      <c r="O1074" s="44">
        <f t="shared" si="52"/>
        <v>8.6466666666666612</v>
      </c>
      <c r="P1074">
        <f t="shared" si="51"/>
        <v>21.274999999999999</v>
      </c>
      <c r="Q1074" s="111">
        <v>6.3E-2</v>
      </c>
      <c r="R1074">
        <v>0.16900000000000001</v>
      </c>
      <c r="S1074" s="65">
        <v>6</v>
      </c>
      <c r="T1074">
        <v>35</v>
      </c>
      <c r="U1074" t="s">
        <v>31</v>
      </c>
      <c r="V1074" t="s">
        <v>32</v>
      </c>
    </row>
    <row r="1075" spans="1:23" x14ac:dyDescent="0.2">
      <c r="A1075" s="5" t="s">
        <v>1239</v>
      </c>
      <c r="B1075" s="6" t="s">
        <v>27</v>
      </c>
      <c r="C1075" s="6" t="s">
        <v>38</v>
      </c>
      <c r="D1075" s="65" t="str">
        <f t="shared" si="50"/>
        <v>096_S_b</v>
      </c>
      <c r="E1075">
        <v>72</v>
      </c>
      <c r="F1075" t="s">
        <v>43</v>
      </c>
      <c r="G1075" t="s">
        <v>1245</v>
      </c>
      <c r="I1075">
        <v>3.5924922702888402</v>
      </c>
      <c r="J1075" s="82">
        <v>32.5</v>
      </c>
      <c r="K1075" s="82">
        <v>40.6</v>
      </c>
      <c r="L1075" s="82">
        <v>43.2</v>
      </c>
      <c r="M1075" s="82">
        <v>11.3</v>
      </c>
      <c r="N1075" s="82">
        <v>22.9</v>
      </c>
      <c r="O1075" s="44">
        <f t="shared" si="52"/>
        <v>6.563218390804602</v>
      </c>
      <c r="P1075">
        <f t="shared" si="51"/>
        <v>30.1</v>
      </c>
      <c r="Q1075" s="111">
        <v>0.14099999999999999</v>
      </c>
      <c r="R1075">
        <v>0.38100000000000001</v>
      </c>
      <c r="S1075" s="65">
        <v>13</v>
      </c>
      <c r="T1075">
        <v>7</v>
      </c>
      <c r="U1075" t="s">
        <v>31</v>
      </c>
      <c r="V1075" t="s">
        <v>32</v>
      </c>
    </row>
    <row r="1076" spans="1:23" x14ac:dyDescent="0.2">
      <c r="A1076" s="5" t="s">
        <v>1239</v>
      </c>
      <c r="B1076" s="6" t="s">
        <v>36</v>
      </c>
      <c r="C1076" s="6" t="s">
        <v>45</v>
      </c>
      <c r="D1076" s="65" t="str">
        <f t="shared" si="50"/>
        <v>096_O_c</v>
      </c>
      <c r="E1076">
        <v>73</v>
      </c>
      <c r="F1076" t="s">
        <v>29</v>
      </c>
      <c r="G1076" t="s">
        <v>1246</v>
      </c>
      <c r="I1076">
        <v>4.5390242641928698</v>
      </c>
      <c r="J1076" s="82">
        <v>26.5</v>
      </c>
      <c r="K1076" s="82" t="s">
        <v>57</v>
      </c>
      <c r="L1076" s="82">
        <v>23.9</v>
      </c>
      <c r="M1076" s="82">
        <v>24.1</v>
      </c>
      <c r="N1076" s="82">
        <v>26.6</v>
      </c>
      <c r="O1076" s="44">
        <f t="shared" si="52"/>
        <v>8.4295302013422835E-2</v>
      </c>
      <c r="P1076">
        <f t="shared" si="51"/>
        <v>25.274999999999999</v>
      </c>
      <c r="Q1076" s="111">
        <v>0.28499999999999998</v>
      </c>
      <c r="R1076">
        <v>0.45200000000000001</v>
      </c>
      <c r="S1076" s="65">
        <v>15</v>
      </c>
      <c r="T1076">
        <v>20</v>
      </c>
      <c r="U1076" t="s">
        <v>51</v>
      </c>
      <c r="V1076" t="s">
        <v>32</v>
      </c>
    </row>
    <row r="1077" spans="1:23" x14ac:dyDescent="0.2">
      <c r="A1077" s="5" t="s">
        <v>1239</v>
      </c>
      <c r="B1077" s="6" t="s">
        <v>33</v>
      </c>
      <c r="C1077" s="6" t="s">
        <v>45</v>
      </c>
      <c r="D1077" s="65" t="str">
        <f t="shared" si="50"/>
        <v>096_V_c</v>
      </c>
      <c r="E1077">
        <v>75</v>
      </c>
      <c r="F1077" t="s">
        <v>43</v>
      </c>
      <c r="G1077" t="s">
        <v>1247</v>
      </c>
      <c r="I1077">
        <v>2.5298780487804899</v>
      </c>
      <c r="J1077" s="82">
        <v>27.8</v>
      </c>
      <c r="K1077" s="82">
        <v>5.3</v>
      </c>
      <c r="L1077" s="82">
        <v>5.0999999999999996</v>
      </c>
      <c r="M1077" s="82">
        <v>40</v>
      </c>
      <c r="N1077" s="82">
        <v>35.299999999999997</v>
      </c>
      <c r="O1077" s="44">
        <f t="shared" si="52"/>
        <v>15.31338448422847</v>
      </c>
      <c r="P1077">
        <f t="shared" si="51"/>
        <v>22.7</v>
      </c>
      <c r="Q1077" s="111">
        <v>0.223</v>
      </c>
      <c r="R1077">
        <v>0.48499999999999999</v>
      </c>
      <c r="S1077" s="65">
        <v>21</v>
      </c>
      <c r="T1077">
        <v>9</v>
      </c>
      <c r="U1077" t="s">
        <v>128</v>
      </c>
      <c r="V1077" t="s">
        <v>32</v>
      </c>
    </row>
    <row r="1078" spans="1:23" x14ac:dyDescent="0.2">
      <c r="A1078" s="5" t="s">
        <v>1239</v>
      </c>
      <c r="B1078" s="6" t="s">
        <v>27</v>
      </c>
      <c r="C1078" s="6" t="s">
        <v>45</v>
      </c>
      <c r="D1078" s="65" t="str">
        <f t="shared" si="50"/>
        <v>096_S_c</v>
      </c>
      <c r="E1078">
        <v>83</v>
      </c>
      <c r="F1078" t="s">
        <v>49</v>
      </c>
      <c r="G1078" t="s">
        <v>1248</v>
      </c>
      <c r="I1078">
        <v>3.8347284913144599</v>
      </c>
      <c r="J1078" s="82">
        <v>34.4</v>
      </c>
      <c r="K1078" s="82">
        <v>38.9</v>
      </c>
      <c r="L1078" s="82">
        <v>37.1</v>
      </c>
      <c r="M1078" s="82">
        <v>21.5</v>
      </c>
      <c r="N1078" s="82">
        <v>30</v>
      </c>
      <c r="O1078" s="44">
        <f t="shared" si="52"/>
        <v>1.8784685367702745</v>
      </c>
      <c r="P1078">
        <f t="shared" si="51"/>
        <v>32.380000000000003</v>
      </c>
      <c r="Q1078" s="111">
        <v>0.26400000000000001</v>
      </c>
      <c r="R1078">
        <v>0.56999999999999995</v>
      </c>
      <c r="S1078" s="65">
        <v>39</v>
      </c>
      <c r="T1078">
        <v>75</v>
      </c>
      <c r="U1078" t="s">
        <v>72</v>
      </c>
      <c r="V1078" t="s">
        <v>32</v>
      </c>
    </row>
    <row r="1079" spans="1:23" ht="16" x14ac:dyDescent="0.2">
      <c r="A1079" s="5" t="s">
        <v>1239</v>
      </c>
      <c r="B1079" s="6" t="s">
        <v>27</v>
      </c>
      <c r="C1079" s="6" t="s">
        <v>52</v>
      </c>
      <c r="D1079" s="65" t="str">
        <f t="shared" si="50"/>
        <v>096_S_d</v>
      </c>
      <c r="E1079">
        <v>123</v>
      </c>
      <c r="F1079" t="s">
        <v>29</v>
      </c>
      <c r="G1079" t="s">
        <v>1249</v>
      </c>
      <c r="I1079">
        <v>3.3121425651138701</v>
      </c>
      <c r="J1079" s="82">
        <v>37.799999999999997</v>
      </c>
      <c r="K1079" s="82">
        <v>34.299999999999997</v>
      </c>
      <c r="L1079" s="84">
        <v>20</v>
      </c>
      <c r="M1079">
        <v>25.6</v>
      </c>
      <c r="N1079" s="82">
        <v>7.6</v>
      </c>
      <c r="O1079" s="44">
        <f t="shared" si="52"/>
        <v>2.2358255451713429</v>
      </c>
      <c r="P1079">
        <f t="shared" si="51"/>
        <v>25.059999999999995</v>
      </c>
      <c r="Q1079" s="111">
        <v>0.25800000000000001</v>
      </c>
      <c r="R1079">
        <v>0.376</v>
      </c>
      <c r="S1079" s="65">
        <v>6</v>
      </c>
      <c r="T1079">
        <v>36</v>
      </c>
      <c r="U1079" t="s">
        <v>31</v>
      </c>
      <c r="V1079" t="s">
        <v>32</v>
      </c>
    </row>
    <row r="1080" spans="1:23" ht="16" x14ac:dyDescent="0.2">
      <c r="A1080" s="5" t="s">
        <v>1239</v>
      </c>
      <c r="B1080" s="6" t="s">
        <v>33</v>
      </c>
      <c r="C1080" s="6" t="s">
        <v>52</v>
      </c>
      <c r="D1080" s="65" t="str">
        <f t="shared" si="50"/>
        <v>096_V_d</v>
      </c>
      <c r="E1080">
        <v>128</v>
      </c>
      <c r="F1080" t="s">
        <v>63</v>
      </c>
      <c r="G1080" t="s">
        <v>1250</v>
      </c>
      <c r="I1080">
        <v>2.1521514090029799</v>
      </c>
      <c r="J1080" s="82">
        <v>40.799999999999997</v>
      </c>
      <c r="K1080" s="82">
        <v>15.5</v>
      </c>
      <c r="L1080" s="84">
        <v>9.6999999999999993</v>
      </c>
      <c r="M1080">
        <v>24.1</v>
      </c>
      <c r="N1080" s="82">
        <v>11.5</v>
      </c>
      <c r="O1080" s="44">
        <f t="shared" si="52"/>
        <v>8.1433592304846485</v>
      </c>
      <c r="P1080">
        <f t="shared" si="51"/>
        <v>20.32</v>
      </c>
      <c r="Q1080" s="111">
        <v>0.191</v>
      </c>
      <c r="R1080">
        <v>0.33</v>
      </c>
      <c r="S1080" s="65">
        <v>11</v>
      </c>
      <c r="T1080">
        <v>27</v>
      </c>
      <c r="U1080" t="s">
        <v>54</v>
      </c>
      <c r="V1080" t="s">
        <v>32</v>
      </c>
    </row>
    <row r="1081" spans="1:23" ht="16" x14ac:dyDescent="0.2">
      <c r="A1081" s="5" t="s">
        <v>1239</v>
      </c>
      <c r="B1081" s="6" t="s">
        <v>36</v>
      </c>
      <c r="C1081" s="6" t="s">
        <v>52</v>
      </c>
      <c r="D1081" s="65" t="str">
        <f t="shared" si="50"/>
        <v>096_O_d</v>
      </c>
      <c r="E1081">
        <v>136</v>
      </c>
      <c r="F1081" t="s">
        <v>29</v>
      </c>
      <c r="G1081" t="s">
        <v>1251</v>
      </c>
      <c r="I1081">
        <v>2.0137634034948402</v>
      </c>
      <c r="J1081" s="82">
        <v>27.3</v>
      </c>
      <c r="K1081" s="82">
        <v>14.9</v>
      </c>
      <c r="L1081" s="84">
        <v>34.9</v>
      </c>
      <c r="M1081" s="82">
        <v>30.7</v>
      </c>
      <c r="N1081" s="82">
        <v>29.1</v>
      </c>
      <c r="O1081" s="44">
        <f t="shared" si="52"/>
        <v>2.7531230674087834</v>
      </c>
      <c r="P1081">
        <f t="shared" si="51"/>
        <v>27.380000000000003</v>
      </c>
      <c r="Q1081" s="111">
        <v>0.13900000000000001</v>
      </c>
      <c r="R1081">
        <v>0.25600000000000001</v>
      </c>
      <c r="S1081" s="65">
        <v>13</v>
      </c>
      <c r="T1081">
        <v>20</v>
      </c>
      <c r="U1081" t="s">
        <v>51</v>
      </c>
      <c r="V1081" t="s">
        <v>32</v>
      </c>
    </row>
    <row r="1082" spans="1:23" x14ac:dyDescent="0.2">
      <c r="A1082" s="17" t="s">
        <v>1252</v>
      </c>
      <c r="B1082" s="18" t="s">
        <v>27</v>
      </c>
      <c r="C1082" s="18" t="s">
        <v>28</v>
      </c>
      <c r="D1082" s="66" t="str">
        <f t="shared" si="50"/>
        <v>097_S_a</v>
      </c>
      <c r="E1082" s="19">
        <v>28</v>
      </c>
      <c r="F1082" t="s">
        <v>34</v>
      </c>
      <c r="G1082" t="s">
        <v>1253</v>
      </c>
      <c r="I1082">
        <v>3.4554098360655701</v>
      </c>
      <c r="J1082" s="82">
        <v>4.5999999999999996</v>
      </c>
      <c r="K1082" t="s">
        <v>57</v>
      </c>
      <c r="L1082" s="82">
        <v>32.700000000000003</v>
      </c>
      <c r="M1082" s="82">
        <v>11.5</v>
      </c>
      <c r="N1082" s="82">
        <v>10.6</v>
      </c>
      <c r="O1082" s="44">
        <f t="shared" si="52"/>
        <v>13.182991803278689</v>
      </c>
      <c r="P1082">
        <f t="shared" si="51"/>
        <v>14.850000000000001</v>
      </c>
      <c r="Q1082" s="111">
        <v>0.20799999999999999</v>
      </c>
      <c r="R1082">
        <v>0.31900000000000001</v>
      </c>
      <c r="S1082" s="65">
        <v>10</v>
      </c>
      <c r="T1082">
        <v>31</v>
      </c>
      <c r="U1082" t="s">
        <v>31</v>
      </c>
      <c r="V1082" t="s">
        <v>1254</v>
      </c>
    </row>
    <row r="1083" spans="1:23" x14ac:dyDescent="0.2">
      <c r="A1083" s="2" t="s">
        <v>1252</v>
      </c>
      <c r="B1083" t="s">
        <v>33</v>
      </c>
      <c r="C1083" t="s">
        <v>28</v>
      </c>
      <c r="D1083" s="65" t="str">
        <f t="shared" si="50"/>
        <v>097_V_a</v>
      </c>
      <c r="E1083">
        <v>28</v>
      </c>
      <c r="F1083" t="s">
        <v>70</v>
      </c>
      <c r="G1083" t="s">
        <v>1255</v>
      </c>
      <c r="I1083">
        <v>1.6052459016393399</v>
      </c>
      <c r="J1083" s="82">
        <v>22.1</v>
      </c>
      <c r="K1083" t="s">
        <v>57</v>
      </c>
      <c r="L1083" s="82">
        <v>8</v>
      </c>
      <c r="M1083" s="82">
        <v>11.4</v>
      </c>
      <c r="N1083" s="82">
        <v>39.6</v>
      </c>
      <c r="O1083" s="44">
        <f t="shared" si="52"/>
        <v>3.9139759036144603</v>
      </c>
      <c r="P1083">
        <f t="shared" si="51"/>
        <v>20.274999999999999</v>
      </c>
      <c r="Q1083" s="111">
        <v>0.08</v>
      </c>
      <c r="R1083">
        <v>0.13900000000000001</v>
      </c>
      <c r="S1083" s="65">
        <v>6</v>
      </c>
      <c r="T1083">
        <v>9</v>
      </c>
      <c r="U1083" t="s">
        <v>31</v>
      </c>
      <c r="V1083" t="s">
        <v>1254</v>
      </c>
    </row>
    <row r="1084" spans="1:23" x14ac:dyDescent="0.2">
      <c r="A1084" s="5" t="s">
        <v>1252</v>
      </c>
      <c r="B1084" s="6" t="s">
        <v>36</v>
      </c>
      <c r="C1084" s="6" t="s">
        <v>28</v>
      </c>
      <c r="D1084" s="65" t="str">
        <f t="shared" si="50"/>
        <v>097_O_a</v>
      </c>
      <c r="E1084">
        <v>36</v>
      </c>
      <c r="F1084" t="s">
        <v>29</v>
      </c>
      <c r="G1084" t="s">
        <v>1256</v>
      </c>
      <c r="I1084">
        <v>1.3318116647037701</v>
      </c>
      <c r="J1084" s="82">
        <v>1</v>
      </c>
      <c r="K1084" s="82">
        <v>6</v>
      </c>
      <c r="L1084" s="82">
        <v>11</v>
      </c>
      <c r="M1084" s="82">
        <v>5.3</v>
      </c>
      <c r="N1084" s="82">
        <v>16.600000000000001</v>
      </c>
      <c r="O1084" s="44">
        <f t="shared" si="52"/>
        <v>2.8822603719599433</v>
      </c>
      <c r="P1084">
        <f t="shared" si="51"/>
        <v>7.9800000000000013</v>
      </c>
      <c r="Q1084" s="111">
        <v>1.6E-2</v>
      </c>
      <c r="R1084">
        <v>7.1999999999999995E-2</v>
      </c>
      <c r="S1084" s="65">
        <v>10</v>
      </c>
      <c r="T1084">
        <v>12</v>
      </c>
      <c r="U1084" t="s">
        <v>31</v>
      </c>
      <c r="V1084" t="s">
        <v>1254</v>
      </c>
    </row>
    <row r="1085" spans="1:23" x14ac:dyDescent="0.2">
      <c r="A1085" s="58" t="s">
        <v>1252</v>
      </c>
      <c r="B1085" s="59" t="s">
        <v>36</v>
      </c>
      <c r="C1085" s="59" t="s">
        <v>38</v>
      </c>
      <c r="D1085" s="68" t="str">
        <f t="shared" si="50"/>
        <v>097_O_b</v>
      </c>
      <c r="E1085" s="43">
        <v>41</v>
      </c>
      <c r="F1085" s="43" t="s">
        <v>34</v>
      </c>
      <c r="G1085" s="43" t="s">
        <v>1257</v>
      </c>
      <c r="H1085" s="43"/>
      <c r="I1085">
        <v>0.54868085744266204</v>
      </c>
      <c r="J1085" s="82">
        <v>2</v>
      </c>
      <c r="K1085" s="82">
        <v>3.4</v>
      </c>
      <c r="L1085" s="82">
        <v>6.6</v>
      </c>
      <c r="M1085" s="82">
        <v>28.8</v>
      </c>
      <c r="N1085" s="82">
        <v>34.1</v>
      </c>
      <c r="O1085" s="56">
        <f t="shared" si="52"/>
        <v>15.43790849673203</v>
      </c>
      <c r="P1085" s="43">
        <f t="shared" si="51"/>
        <v>14.98</v>
      </c>
      <c r="Q1085" s="114">
        <v>3.3000000000000002E-2</v>
      </c>
      <c r="R1085" s="43">
        <v>9.9000000000000005E-2</v>
      </c>
      <c r="S1085" s="68">
        <v>4</v>
      </c>
      <c r="T1085" s="43">
        <v>30</v>
      </c>
      <c r="U1085" s="43" t="s">
        <v>31</v>
      </c>
      <c r="V1085" t="s">
        <v>1254</v>
      </c>
      <c r="W1085" s="43"/>
    </row>
    <row r="1086" spans="1:23" x14ac:dyDescent="0.2">
      <c r="A1086" s="5" t="s">
        <v>1252</v>
      </c>
      <c r="B1086" s="6" t="s">
        <v>27</v>
      </c>
      <c r="C1086" s="6" t="s">
        <v>38</v>
      </c>
      <c r="D1086" s="65" t="str">
        <f t="shared" si="50"/>
        <v>097_S_b</v>
      </c>
      <c r="E1086">
        <v>41</v>
      </c>
      <c r="F1086" t="s">
        <v>43</v>
      </c>
      <c r="G1086" t="s">
        <v>1258</v>
      </c>
      <c r="I1086">
        <v>4.8175086193973904</v>
      </c>
      <c r="J1086" s="82">
        <v>30.1</v>
      </c>
      <c r="K1086" s="82">
        <v>31.1</v>
      </c>
      <c r="L1086" s="81">
        <v>5</v>
      </c>
      <c r="M1086" s="82">
        <v>38.6</v>
      </c>
      <c r="N1086" s="82">
        <v>43.6</v>
      </c>
      <c r="O1086" s="44">
        <f t="shared" si="52"/>
        <v>8.1732824427480857</v>
      </c>
      <c r="P1086">
        <f t="shared" si="51"/>
        <v>29.68</v>
      </c>
      <c r="Q1086" s="111">
        <v>0.33500000000000002</v>
      </c>
      <c r="R1086">
        <v>0.439</v>
      </c>
      <c r="S1086" s="65">
        <v>11</v>
      </c>
      <c r="T1086">
        <v>65</v>
      </c>
      <c r="U1086" t="s">
        <v>31</v>
      </c>
      <c r="V1086" t="s">
        <v>1254</v>
      </c>
    </row>
    <row r="1087" spans="1:23" x14ac:dyDescent="0.2">
      <c r="A1087" s="2" t="s">
        <v>1252</v>
      </c>
      <c r="B1087" t="s">
        <v>33</v>
      </c>
      <c r="C1087" t="s">
        <v>38</v>
      </c>
      <c r="D1087" s="65" t="str">
        <f t="shared" si="50"/>
        <v>097_V_b</v>
      </c>
      <c r="E1087">
        <v>44</v>
      </c>
      <c r="F1087" t="s">
        <v>63</v>
      </c>
      <c r="G1087" t="s">
        <v>1259</v>
      </c>
      <c r="I1087">
        <v>0.31023308270676703</v>
      </c>
      <c r="J1087" s="82">
        <v>9</v>
      </c>
      <c r="K1087" s="82">
        <v>9.9</v>
      </c>
      <c r="L1087" s="82">
        <v>4.3</v>
      </c>
      <c r="M1087" s="82">
        <v>21.1</v>
      </c>
      <c r="N1087" s="82">
        <v>17.600000000000001</v>
      </c>
      <c r="O1087" s="44">
        <f t="shared" si="52"/>
        <v>4.5775018811136219</v>
      </c>
      <c r="P1087">
        <f t="shared" si="51"/>
        <v>12.379999999999999</v>
      </c>
      <c r="Q1087" s="111">
        <v>7.5999999999999998E-2</v>
      </c>
      <c r="R1087">
        <v>0.11899999999999999</v>
      </c>
      <c r="S1087" s="65">
        <v>7</v>
      </c>
      <c r="T1087">
        <v>12</v>
      </c>
      <c r="U1087" t="s">
        <v>31</v>
      </c>
      <c r="V1087" t="s">
        <v>1254</v>
      </c>
    </row>
    <row r="1088" spans="1:23" x14ac:dyDescent="0.2">
      <c r="A1088" s="5" t="s">
        <v>1252</v>
      </c>
      <c r="B1088" s="6" t="s">
        <v>27</v>
      </c>
      <c r="C1088" s="6" t="s">
        <v>45</v>
      </c>
      <c r="D1088" s="65" t="str">
        <f t="shared" si="50"/>
        <v>097_S_c</v>
      </c>
      <c r="E1088">
        <v>77</v>
      </c>
      <c r="F1088" t="s">
        <v>34</v>
      </c>
      <c r="G1088" t="s">
        <v>1260</v>
      </c>
      <c r="I1088">
        <v>3.9564813043894</v>
      </c>
      <c r="J1088" s="82">
        <v>9.1</v>
      </c>
      <c r="K1088" s="82">
        <v>15.8</v>
      </c>
      <c r="L1088" s="82">
        <v>28.1</v>
      </c>
      <c r="M1088" s="82">
        <v>24.4</v>
      </c>
      <c r="N1088" s="82">
        <v>45.2</v>
      </c>
      <c r="O1088" s="44">
        <f t="shared" si="52"/>
        <v>3.7851851851851817</v>
      </c>
      <c r="P1088">
        <f t="shared" si="51"/>
        <v>24.520000000000003</v>
      </c>
      <c r="Q1088" s="111">
        <v>0.254</v>
      </c>
      <c r="R1088">
        <v>0.371</v>
      </c>
      <c r="S1088" s="65">
        <v>21</v>
      </c>
      <c r="T1088">
        <v>18</v>
      </c>
      <c r="U1088" t="s">
        <v>51</v>
      </c>
      <c r="V1088" t="s">
        <v>1254</v>
      </c>
    </row>
    <row r="1089" spans="1:23" x14ac:dyDescent="0.2">
      <c r="A1089" s="5" t="s">
        <v>1252</v>
      </c>
      <c r="B1089" s="6" t="s">
        <v>33</v>
      </c>
      <c r="C1089" s="6" t="s">
        <v>45</v>
      </c>
      <c r="D1089" s="65" t="str">
        <f t="shared" si="50"/>
        <v>097_V_c</v>
      </c>
      <c r="E1089">
        <v>96</v>
      </c>
      <c r="F1089" t="s">
        <v>29</v>
      </c>
      <c r="G1089" t="s">
        <v>1261</v>
      </c>
      <c r="I1089">
        <v>1.1411542450733401</v>
      </c>
      <c r="J1089" s="82">
        <v>8.1</v>
      </c>
      <c r="K1089" s="82">
        <v>2.1</v>
      </c>
      <c r="L1089" s="82">
        <v>2.5</v>
      </c>
      <c r="M1089">
        <v>5.4</v>
      </c>
      <c r="N1089" s="82">
        <v>15.8</v>
      </c>
      <c r="O1089" s="44">
        <f t="shared" si="52"/>
        <v>1.7331491712707174</v>
      </c>
      <c r="P1089">
        <f t="shared" si="51"/>
        <v>6.7800000000000011</v>
      </c>
      <c r="Q1089" s="111">
        <v>4.9000000000000002E-2</v>
      </c>
      <c r="R1089">
        <v>0.14199999999999999</v>
      </c>
      <c r="S1089" s="65">
        <v>8</v>
      </c>
      <c r="T1089">
        <v>15</v>
      </c>
      <c r="U1089" t="s">
        <v>31</v>
      </c>
      <c r="V1089" t="s">
        <v>1254</v>
      </c>
    </row>
    <row r="1090" spans="1:23" x14ac:dyDescent="0.2">
      <c r="A1090" s="5" t="s">
        <v>1252</v>
      </c>
      <c r="B1090" s="6" t="s">
        <v>36</v>
      </c>
      <c r="C1090" s="6" t="s">
        <v>45</v>
      </c>
      <c r="D1090" s="65" t="str">
        <f t="shared" ref="D1090:D1153" si="53">A1090&amp;"_"&amp;B1090&amp;"_"&amp;C1090</f>
        <v>097_O_c</v>
      </c>
      <c r="E1090">
        <v>100</v>
      </c>
      <c r="F1090" t="s">
        <v>49</v>
      </c>
      <c r="G1090" t="s">
        <v>1262</v>
      </c>
      <c r="I1090">
        <v>0.48886660241214902</v>
      </c>
      <c r="J1090" s="82">
        <v>6.1</v>
      </c>
      <c r="K1090" s="82">
        <v>2.2000000000000002</v>
      </c>
      <c r="L1090" s="82">
        <v>52.3</v>
      </c>
      <c r="M1090">
        <v>21.9</v>
      </c>
      <c r="N1090" s="82">
        <v>23.9</v>
      </c>
      <c r="O1090" s="44">
        <f t="shared" si="52"/>
        <v>25.137575757575757</v>
      </c>
      <c r="P1090">
        <f t="shared" ref="P1090:P1153" si="54">AVERAGE(J1090:N1090)</f>
        <v>21.28</v>
      </c>
      <c r="Q1090" s="111">
        <v>8.2000000000000003E-2</v>
      </c>
      <c r="R1090">
        <v>7.9000000000000001E-2</v>
      </c>
      <c r="S1090" s="65">
        <v>6</v>
      </c>
      <c r="T1090">
        <v>14</v>
      </c>
      <c r="U1090" t="s">
        <v>54</v>
      </c>
      <c r="V1090" t="s">
        <v>1254</v>
      </c>
    </row>
    <row r="1091" spans="1:23" x14ac:dyDescent="0.2">
      <c r="A1091" s="5" t="s">
        <v>1252</v>
      </c>
      <c r="B1091" s="6" t="s">
        <v>36</v>
      </c>
      <c r="C1091" s="6" t="s">
        <v>52</v>
      </c>
      <c r="D1091" s="65" t="str">
        <f t="shared" si="53"/>
        <v>097_O_d</v>
      </c>
      <c r="E1091">
        <v>115</v>
      </c>
      <c r="F1091" t="s">
        <v>43</v>
      </c>
      <c r="G1091" t="s">
        <v>1263</v>
      </c>
      <c r="I1091">
        <v>2.6968721949872299</v>
      </c>
      <c r="J1091" s="82">
        <v>2.9</v>
      </c>
      <c r="K1091" s="82">
        <v>25.7</v>
      </c>
      <c r="L1091" s="82">
        <v>21</v>
      </c>
      <c r="M1091">
        <v>5</v>
      </c>
      <c r="N1091" s="82">
        <v>12.4</v>
      </c>
      <c r="O1091" s="44">
        <f t="shared" si="52"/>
        <v>9.5142857142857213</v>
      </c>
      <c r="P1091">
        <f t="shared" si="54"/>
        <v>13.4</v>
      </c>
      <c r="Q1091" s="111">
        <v>0.11600000000000001</v>
      </c>
      <c r="R1091">
        <v>0.307</v>
      </c>
      <c r="S1091" s="65">
        <v>5</v>
      </c>
      <c r="T1091">
        <v>10</v>
      </c>
      <c r="U1091" t="s">
        <v>31</v>
      </c>
      <c r="V1091" t="s">
        <v>1254</v>
      </c>
    </row>
    <row r="1092" spans="1:23" ht="16" x14ac:dyDescent="0.2">
      <c r="A1092" s="5" t="s">
        <v>1252</v>
      </c>
      <c r="B1092" s="6" t="s">
        <v>33</v>
      </c>
      <c r="C1092" s="6" t="s">
        <v>52</v>
      </c>
      <c r="D1092" s="65" t="str">
        <f t="shared" si="53"/>
        <v>097_V_d</v>
      </c>
      <c r="E1092">
        <v>131</v>
      </c>
      <c r="F1092" t="s">
        <v>29</v>
      </c>
      <c r="G1092" t="s">
        <v>1264</v>
      </c>
      <c r="I1092">
        <v>0.95060846098103402</v>
      </c>
      <c r="J1092" s="82">
        <v>8</v>
      </c>
      <c r="K1092" s="82">
        <v>4</v>
      </c>
      <c r="L1092" s="84">
        <v>4.0999999999999996</v>
      </c>
      <c r="M1092">
        <v>6.3</v>
      </c>
      <c r="N1092" s="82">
        <v>29.6</v>
      </c>
      <c r="O1092" s="44">
        <f t="shared" si="52"/>
        <v>0.65833333333333177</v>
      </c>
      <c r="P1092">
        <f t="shared" si="54"/>
        <v>10.4</v>
      </c>
      <c r="Q1092" s="111">
        <v>8.5000000000000006E-2</v>
      </c>
      <c r="R1092">
        <v>0.21099999999999999</v>
      </c>
      <c r="S1092" s="65">
        <v>12</v>
      </c>
      <c r="T1092">
        <v>26</v>
      </c>
      <c r="U1092" t="s">
        <v>54</v>
      </c>
      <c r="V1092" t="s">
        <v>1254</v>
      </c>
    </row>
    <row r="1093" spans="1:23" ht="16" x14ac:dyDescent="0.2">
      <c r="A1093" s="5" t="s">
        <v>1252</v>
      </c>
      <c r="B1093" s="6" t="s">
        <v>27</v>
      </c>
      <c r="C1093" s="6" t="s">
        <v>52</v>
      </c>
      <c r="D1093" s="65" t="str">
        <f t="shared" si="53"/>
        <v>097_S_d</v>
      </c>
      <c r="E1093">
        <v>139</v>
      </c>
      <c r="F1093" t="s">
        <v>41</v>
      </c>
      <c r="G1093" t="s">
        <v>1265</v>
      </c>
      <c r="H1093" t="s">
        <v>56</v>
      </c>
      <c r="I1093">
        <v>0</v>
      </c>
      <c r="J1093" s="82">
        <v>1.1000000000000001</v>
      </c>
      <c r="K1093" s="82">
        <v>1</v>
      </c>
      <c r="L1093" s="84">
        <v>1</v>
      </c>
      <c r="M1093" s="82">
        <v>1</v>
      </c>
      <c r="N1093" s="82">
        <v>1</v>
      </c>
      <c r="O1093" s="44">
        <f t="shared" si="52"/>
        <v>2.4390243902439068E-3</v>
      </c>
      <c r="P1093">
        <f t="shared" si="54"/>
        <v>1.02</v>
      </c>
      <c r="Q1093" s="111" t="s">
        <v>57</v>
      </c>
      <c r="R1093" t="s">
        <v>57</v>
      </c>
      <c r="S1093" s="65" t="s">
        <v>57</v>
      </c>
      <c r="T1093" t="s">
        <v>57</v>
      </c>
      <c r="V1093" t="s">
        <v>1254</v>
      </c>
      <c r="W1093" t="s">
        <v>67</v>
      </c>
    </row>
    <row r="1094" spans="1:23" ht="16" x14ac:dyDescent="0.2">
      <c r="A1094" s="5" t="s">
        <v>1266</v>
      </c>
      <c r="B1094" s="6" t="s">
        <v>36</v>
      </c>
      <c r="C1094" s="6" t="s">
        <v>28</v>
      </c>
      <c r="D1094" s="65" t="str">
        <f t="shared" si="53"/>
        <v>098_O_a</v>
      </c>
      <c r="E1094">
        <v>6</v>
      </c>
      <c r="F1094" t="s">
        <v>43</v>
      </c>
      <c r="G1094" t="s">
        <v>1267</v>
      </c>
      <c r="I1094">
        <v>1.8417334762748201</v>
      </c>
      <c r="J1094" s="84">
        <v>21.8</v>
      </c>
      <c r="K1094" s="82">
        <v>9</v>
      </c>
      <c r="L1094" s="82">
        <v>22.4</v>
      </c>
      <c r="M1094" s="82">
        <v>25.7</v>
      </c>
      <c r="N1094" s="82">
        <v>28.8</v>
      </c>
      <c r="O1094" s="44">
        <f t="shared" si="52"/>
        <v>2.7408111533586776</v>
      </c>
      <c r="P1094">
        <f t="shared" si="54"/>
        <v>21.54</v>
      </c>
      <c r="Q1094" s="111">
        <v>0.16800000000000001</v>
      </c>
      <c r="R1094">
        <v>0.29499999999999998</v>
      </c>
      <c r="S1094" s="65">
        <v>9</v>
      </c>
      <c r="T1094">
        <v>38</v>
      </c>
      <c r="U1094" t="s">
        <v>54</v>
      </c>
      <c r="V1094" t="s">
        <v>1254</v>
      </c>
    </row>
    <row r="1095" spans="1:23" x14ac:dyDescent="0.2">
      <c r="A1095" s="5" t="s">
        <v>1266</v>
      </c>
      <c r="B1095" s="6" t="s">
        <v>27</v>
      </c>
      <c r="C1095" s="6" t="s">
        <v>28</v>
      </c>
      <c r="D1095" s="65" t="str">
        <f t="shared" si="53"/>
        <v>098_S_a</v>
      </c>
      <c r="E1095">
        <v>26</v>
      </c>
      <c r="F1095" t="s">
        <v>39</v>
      </c>
      <c r="G1095" t="s">
        <v>1268</v>
      </c>
      <c r="I1095">
        <v>1.13760967317394</v>
      </c>
      <c r="J1095" s="82">
        <v>2.1</v>
      </c>
      <c r="K1095" t="s">
        <v>57</v>
      </c>
      <c r="L1095" s="82">
        <v>21.9</v>
      </c>
      <c r="M1095" s="82">
        <v>5</v>
      </c>
      <c r="N1095" s="82">
        <v>18.100000000000001</v>
      </c>
      <c r="O1095" s="44">
        <f t="shared" si="52"/>
        <v>11.828620689655173</v>
      </c>
      <c r="P1095">
        <f t="shared" si="54"/>
        <v>11.775</v>
      </c>
      <c r="Q1095" s="111">
        <v>2.8000000000000001E-2</v>
      </c>
      <c r="R1095">
        <v>9.8000000000000004E-2</v>
      </c>
      <c r="S1095" s="65">
        <v>5</v>
      </c>
      <c r="T1095">
        <v>9</v>
      </c>
      <c r="U1095" t="s">
        <v>31</v>
      </c>
      <c r="V1095" t="s">
        <v>1254</v>
      </c>
    </row>
    <row r="1096" spans="1:23" x14ac:dyDescent="0.2">
      <c r="A1096" s="2" t="s">
        <v>1266</v>
      </c>
      <c r="B1096" t="s">
        <v>33</v>
      </c>
      <c r="C1096" t="s">
        <v>28</v>
      </c>
      <c r="D1096" s="65" t="str">
        <f t="shared" si="53"/>
        <v>098_V_a</v>
      </c>
      <c r="E1096">
        <v>31</v>
      </c>
      <c r="F1096" t="s">
        <v>39</v>
      </c>
      <c r="G1096" t="s">
        <v>1269</v>
      </c>
      <c r="I1096">
        <v>0.801147649525491</v>
      </c>
      <c r="J1096" s="82">
        <v>3.1</v>
      </c>
      <c r="K1096" s="82">
        <v>7.8</v>
      </c>
      <c r="L1096" s="82">
        <v>11.9</v>
      </c>
      <c r="M1096" s="82">
        <v>16.600000000000001</v>
      </c>
      <c r="N1096" s="82">
        <v>28</v>
      </c>
      <c r="O1096" s="44">
        <f t="shared" si="52"/>
        <v>3.368189509306259</v>
      </c>
      <c r="P1096">
        <f t="shared" si="54"/>
        <v>13.48</v>
      </c>
      <c r="Q1096" s="111">
        <v>4.7E-2</v>
      </c>
      <c r="R1096">
        <v>0.105</v>
      </c>
      <c r="S1096" s="65">
        <v>2</v>
      </c>
      <c r="T1096">
        <v>17</v>
      </c>
      <c r="U1096" t="s">
        <v>31</v>
      </c>
      <c r="V1096" t="s">
        <v>1254</v>
      </c>
    </row>
    <row r="1097" spans="1:23" x14ac:dyDescent="0.2">
      <c r="A1097" s="5" t="s">
        <v>1266</v>
      </c>
      <c r="B1097" s="6" t="s">
        <v>36</v>
      </c>
      <c r="C1097" s="6" t="s">
        <v>38</v>
      </c>
      <c r="D1097" s="65" t="str">
        <f t="shared" si="53"/>
        <v>098_O_b</v>
      </c>
      <c r="E1097">
        <v>51</v>
      </c>
      <c r="F1097" t="s">
        <v>39</v>
      </c>
      <c r="G1097" t="s">
        <v>1270</v>
      </c>
      <c r="I1097">
        <v>0.65952709964685996</v>
      </c>
      <c r="J1097" s="82">
        <v>1.9</v>
      </c>
      <c r="K1097" s="82">
        <v>2.2999999999999998</v>
      </c>
      <c r="L1097" s="82">
        <v>4</v>
      </c>
      <c r="M1097" s="82">
        <v>4.3</v>
      </c>
      <c r="N1097" s="82">
        <v>2.4</v>
      </c>
      <c r="O1097" s="44">
        <f t="shared" si="52"/>
        <v>0.46160000000000001</v>
      </c>
      <c r="P1097">
        <f t="shared" si="54"/>
        <v>2.98</v>
      </c>
      <c r="Q1097" s="111">
        <v>3.5999999999999997E-2</v>
      </c>
      <c r="R1097">
        <v>7.2999999999999995E-2</v>
      </c>
      <c r="S1097" s="65">
        <v>11</v>
      </c>
      <c r="T1097" s="43">
        <v>16</v>
      </c>
      <c r="U1097" t="s">
        <v>54</v>
      </c>
      <c r="V1097" t="s">
        <v>1254</v>
      </c>
    </row>
    <row r="1098" spans="1:23" x14ac:dyDescent="0.2">
      <c r="A1098" s="5" t="s">
        <v>1266</v>
      </c>
      <c r="B1098" s="6" t="s">
        <v>27</v>
      </c>
      <c r="C1098" s="6" t="s">
        <v>38</v>
      </c>
      <c r="D1098" s="65" t="str">
        <f t="shared" si="53"/>
        <v>098_S_b</v>
      </c>
      <c r="E1098">
        <v>51</v>
      </c>
      <c r="F1098" t="s">
        <v>41</v>
      </c>
      <c r="G1098" t="s">
        <v>1271</v>
      </c>
      <c r="I1098">
        <v>1.41658989712882</v>
      </c>
      <c r="J1098" s="82">
        <v>5.3</v>
      </c>
      <c r="K1098" s="82">
        <v>17.2</v>
      </c>
      <c r="L1098" s="82">
        <v>18</v>
      </c>
      <c r="M1098" s="82">
        <v>18.100000000000001</v>
      </c>
      <c r="N1098" s="82">
        <v>13.8</v>
      </c>
      <c r="O1098" s="44">
        <f t="shared" si="52"/>
        <v>2.6632536973833889</v>
      </c>
      <c r="P1098">
        <f t="shared" si="54"/>
        <v>14.48</v>
      </c>
      <c r="Q1098" s="111">
        <v>0.11600000000000001</v>
      </c>
      <c r="R1098">
        <v>0.17100000000000001</v>
      </c>
      <c r="S1098" s="65">
        <v>8</v>
      </c>
      <c r="T1098">
        <v>37</v>
      </c>
      <c r="U1098" t="s">
        <v>54</v>
      </c>
      <c r="V1098" t="s">
        <v>1254</v>
      </c>
    </row>
    <row r="1099" spans="1:23" x14ac:dyDescent="0.2">
      <c r="A1099" s="2" t="s">
        <v>1266</v>
      </c>
      <c r="B1099" t="s">
        <v>33</v>
      </c>
      <c r="C1099" t="s">
        <v>38</v>
      </c>
      <c r="D1099" s="65" t="str">
        <f t="shared" si="53"/>
        <v>098_V_b</v>
      </c>
      <c r="E1099">
        <v>58</v>
      </c>
      <c r="F1099" t="s">
        <v>39</v>
      </c>
      <c r="G1099" t="s">
        <v>1272</v>
      </c>
      <c r="I1099">
        <v>0.29968761621420598</v>
      </c>
      <c r="J1099" s="82">
        <v>1.2</v>
      </c>
      <c r="K1099" s="82">
        <v>11.4</v>
      </c>
      <c r="L1099" s="82">
        <v>5.4</v>
      </c>
      <c r="M1099" s="82">
        <v>24.5</v>
      </c>
      <c r="N1099" s="82">
        <v>8.4</v>
      </c>
      <c r="O1099" s="44">
        <f t="shared" si="52"/>
        <v>9.7018823529411744</v>
      </c>
      <c r="P1099">
        <f t="shared" si="54"/>
        <v>10.18</v>
      </c>
      <c r="Q1099" s="111">
        <v>5.2999999999999999E-2</v>
      </c>
      <c r="R1099">
        <v>0.108</v>
      </c>
      <c r="S1099" s="65">
        <v>5</v>
      </c>
      <c r="T1099">
        <v>5</v>
      </c>
      <c r="U1099" t="s">
        <v>31</v>
      </c>
      <c r="V1099" t="s">
        <v>1254</v>
      </c>
    </row>
    <row r="1100" spans="1:23" x14ac:dyDescent="0.2">
      <c r="A1100" s="5" t="s">
        <v>1266</v>
      </c>
      <c r="B1100" s="6" t="s">
        <v>33</v>
      </c>
      <c r="C1100" s="6" t="s">
        <v>45</v>
      </c>
      <c r="D1100" s="65" t="str">
        <f t="shared" si="53"/>
        <v>098_V_c</v>
      </c>
      <c r="E1100">
        <v>76</v>
      </c>
      <c r="F1100" t="s">
        <v>43</v>
      </c>
      <c r="G1100" t="s">
        <v>1273</v>
      </c>
      <c r="I1100">
        <v>1.5724290315332199</v>
      </c>
      <c r="J1100" s="82">
        <v>3.5</v>
      </c>
      <c r="K1100" s="82">
        <v>23.8</v>
      </c>
      <c r="L1100" s="82">
        <v>5.4</v>
      </c>
      <c r="M1100" s="82">
        <v>11.8</v>
      </c>
      <c r="N1100" s="82">
        <v>34.5</v>
      </c>
      <c r="O1100" s="44">
        <f t="shared" si="52"/>
        <v>7.5513857677902623</v>
      </c>
      <c r="P1100">
        <f t="shared" si="54"/>
        <v>15.8</v>
      </c>
      <c r="Q1100" s="111">
        <v>6.9000000000000006E-2</v>
      </c>
      <c r="R1100">
        <v>0.17499999999999999</v>
      </c>
      <c r="S1100" s="65">
        <v>6</v>
      </c>
      <c r="T1100">
        <v>44</v>
      </c>
      <c r="U1100" t="s">
        <v>31</v>
      </c>
      <c r="V1100" t="s">
        <v>1254</v>
      </c>
    </row>
    <row r="1101" spans="1:23" x14ac:dyDescent="0.2">
      <c r="A1101" s="5" t="s">
        <v>1266</v>
      </c>
      <c r="B1101" s="6" t="s">
        <v>36</v>
      </c>
      <c r="C1101" s="6" t="s">
        <v>45</v>
      </c>
      <c r="D1101" s="65" t="str">
        <f t="shared" si="53"/>
        <v>098_O_c</v>
      </c>
      <c r="E1101">
        <v>78</v>
      </c>
      <c r="F1101" t="s">
        <v>68</v>
      </c>
      <c r="G1101" t="s">
        <v>1274</v>
      </c>
      <c r="I1101">
        <v>0</v>
      </c>
      <c r="J1101" s="82">
        <v>1</v>
      </c>
      <c r="K1101" s="82">
        <v>1</v>
      </c>
      <c r="L1101" s="82">
        <v>1</v>
      </c>
      <c r="M1101" s="82">
        <v>1</v>
      </c>
      <c r="N1101" s="82">
        <v>1</v>
      </c>
      <c r="O1101" s="44">
        <f t="shared" si="52"/>
        <v>0</v>
      </c>
      <c r="P1101">
        <f t="shared" si="54"/>
        <v>1</v>
      </c>
      <c r="Q1101" s="111">
        <v>2E-3</v>
      </c>
      <c r="R1101">
        <v>2E-3</v>
      </c>
      <c r="S1101" s="65">
        <v>0</v>
      </c>
      <c r="T1101">
        <v>2</v>
      </c>
      <c r="U1101" t="s">
        <v>31</v>
      </c>
      <c r="V1101" t="s">
        <v>1254</v>
      </c>
    </row>
    <row r="1102" spans="1:23" x14ac:dyDescent="0.2">
      <c r="A1102" s="5" t="s">
        <v>1266</v>
      </c>
      <c r="B1102" s="6" t="s">
        <v>27</v>
      </c>
      <c r="C1102" s="6" t="s">
        <v>45</v>
      </c>
      <c r="D1102" s="65" t="str">
        <f t="shared" si="53"/>
        <v>098_S_c</v>
      </c>
      <c r="E1102">
        <v>94</v>
      </c>
      <c r="F1102" t="s">
        <v>39</v>
      </c>
      <c r="G1102" t="s">
        <v>1275</v>
      </c>
      <c r="I1102">
        <v>3.00057414010067</v>
      </c>
      <c r="J1102" s="82">
        <v>4</v>
      </c>
      <c r="K1102" s="82">
        <v>9.9</v>
      </c>
      <c r="L1102" s="82">
        <v>9</v>
      </c>
      <c r="M1102">
        <v>24.5</v>
      </c>
      <c r="N1102" s="82">
        <v>34.6</v>
      </c>
      <c r="O1102" s="44">
        <f t="shared" si="52"/>
        <v>6.5701828410689185</v>
      </c>
      <c r="P1102">
        <f t="shared" si="54"/>
        <v>16.399999999999999</v>
      </c>
      <c r="Q1102" s="111">
        <v>0.11600000000000001</v>
      </c>
      <c r="R1102">
        <v>0.25600000000000001</v>
      </c>
      <c r="S1102" s="65">
        <v>27</v>
      </c>
      <c r="T1102">
        <v>55</v>
      </c>
      <c r="U1102" t="s">
        <v>51</v>
      </c>
      <c r="V1102" t="s">
        <v>1254</v>
      </c>
    </row>
    <row r="1103" spans="1:23" x14ac:dyDescent="0.2">
      <c r="A1103" s="5" t="s">
        <v>1266</v>
      </c>
      <c r="B1103" s="6" t="s">
        <v>33</v>
      </c>
      <c r="C1103" s="6" t="s">
        <v>52</v>
      </c>
      <c r="D1103" s="65" t="str">
        <f t="shared" si="53"/>
        <v>098_V_d</v>
      </c>
      <c r="E1103">
        <v>111</v>
      </c>
      <c r="F1103" t="s">
        <v>82</v>
      </c>
      <c r="G1103" t="s">
        <v>1276</v>
      </c>
      <c r="I1103">
        <v>2.0380894153611</v>
      </c>
      <c r="J1103" s="82">
        <v>4.9000000000000004</v>
      </c>
      <c r="K1103" s="82">
        <v>3.5</v>
      </c>
      <c r="L1103" s="82">
        <v>4.0999999999999996</v>
      </c>
      <c r="M1103">
        <v>38.700000000000003</v>
      </c>
      <c r="N1103" s="82">
        <v>40.4</v>
      </c>
      <c r="O1103" s="44">
        <f t="shared" si="52"/>
        <v>23.317708333333336</v>
      </c>
      <c r="P1103">
        <f t="shared" si="54"/>
        <v>18.32</v>
      </c>
      <c r="Q1103" s="111">
        <v>0.13200000000000001</v>
      </c>
      <c r="R1103">
        <v>0.249</v>
      </c>
      <c r="S1103" s="65">
        <v>18</v>
      </c>
      <c r="T1103">
        <v>29</v>
      </c>
      <c r="U1103" t="s">
        <v>54</v>
      </c>
      <c r="V1103" t="s">
        <v>1254</v>
      </c>
    </row>
    <row r="1104" spans="1:23" x14ac:dyDescent="0.2">
      <c r="A1104" s="5" t="s">
        <v>1266</v>
      </c>
      <c r="B1104" s="6" t="s">
        <v>36</v>
      </c>
      <c r="C1104" s="6" t="s">
        <v>52</v>
      </c>
      <c r="D1104" s="65" t="str">
        <f t="shared" si="53"/>
        <v>098_O_d</v>
      </c>
      <c r="E1104">
        <v>119</v>
      </c>
      <c r="F1104" t="s">
        <v>29</v>
      </c>
      <c r="G1104" t="s">
        <v>1277</v>
      </c>
      <c r="I1104">
        <v>2.13368566846479</v>
      </c>
      <c r="J1104" s="82">
        <v>20.2</v>
      </c>
      <c r="K1104" s="82">
        <v>24.8</v>
      </c>
      <c r="L1104" s="82">
        <v>15.7</v>
      </c>
      <c r="M1104">
        <v>22.6</v>
      </c>
      <c r="N1104" s="82">
        <v>27.4</v>
      </c>
      <c r="O1104" s="44">
        <f t="shared" si="52"/>
        <v>0.73001200480191086</v>
      </c>
      <c r="P1104">
        <f t="shared" si="54"/>
        <v>22.140000000000004</v>
      </c>
      <c r="Q1104" s="111">
        <v>0.12</v>
      </c>
      <c r="R1104">
        <v>0.22900000000000001</v>
      </c>
      <c r="S1104" s="65">
        <v>10</v>
      </c>
      <c r="T1104">
        <v>33</v>
      </c>
      <c r="U1104" t="s">
        <v>54</v>
      </c>
      <c r="V1104" t="s">
        <v>1254</v>
      </c>
    </row>
    <row r="1105" spans="1:23" ht="16" x14ac:dyDescent="0.2">
      <c r="A1105" s="5" t="s">
        <v>1266</v>
      </c>
      <c r="B1105" s="6" t="s">
        <v>27</v>
      </c>
      <c r="C1105" s="6" t="s">
        <v>52</v>
      </c>
      <c r="D1105" s="65" t="str">
        <f t="shared" si="53"/>
        <v>098_S_d</v>
      </c>
      <c r="E1105">
        <v>121</v>
      </c>
      <c r="F1105" t="s">
        <v>43</v>
      </c>
      <c r="G1105" t="s">
        <v>1278</v>
      </c>
      <c r="H1105" t="s">
        <v>147</v>
      </c>
      <c r="I1105">
        <v>0</v>
      </c>
      <c r="J1105" s="82">
        <v>1.1000000000000001</v>
      </c>
      <c r="K1105" s="82">
        <v>1</v>
      </c>
      <c r="L1105" s="84">
        <v>1</v>
      </c>
      <c r="M1105">
        <v>1</v>
      </c>
      <c r="N1105" s="82">
        <v>0.9</v>
      </c>
      <c r="O1105" s="44">
        <f t="shared" si="52"/>
        <v>2.4390243902439068E-3</v>
      </c>
      <c r="P1105">
        <f t="shared" si="54"/>
        <v>1</v>
      </c>
      <c r="Q1105" s="111" t="s">
        <v>57</v>
      </c>
      <c r="R1105" t="s">
        <v>57</v>
      </c>
      <c r="S1105" s="65" t="s">
        <v>57</v>
      </c>
      <c r="T1105" t="s">
        <v>57</v>
      </c>
      <c r="V1105" t="s">
        <v>1254</v>
      </c>
      <c r="W1105" t="s">
        <v>67</v>
      </c>
    </row>
    <row r="1106" spans="1:23" ht="16" x14ac:dyDescent="0.2">
      <c r="A1106" s="52" t="s">
        <v>1279</v>
      </c>
      <c r="B1106" s="46" t="s">
        <v>27</v>
      </c>
      <c r="C1106" s="46" t="s">
        <v>28</v>
      </c>
      <c r="D1106" s="67" t="str">
        <f t="shared" si="53"/>
        <v>099_S_a</v>
      </c>
      <c r="E1106" s="47">
        <v>10</v>
      </c>
      <c r="F1106" s="47" t="s">
        <v>68</v>
      </c>
      <c r="G1106" s="47" t="s">
        <v>1280</v>
      </c>
      <c r="H1106" s="47"/>
      <c r="I1106">
        <v>5.1935668229777203</v>
      </c>
      <c r="J1106" s="84">
        <v>22.8</v>
      </c>
      <c r="K1106" s="82">
        <v>14.7</v>
      </c>
      <c r="L1106" s="82">
        <v>40.6</v>
      </c>
      <c r="M1106" s="82">
        <v>8.1999999999999993</v>
      </c>
      <c r="N1106" s="82">
        <v>27.1</v>
      </c>
      <c r="O1106" s="48">
        <f t="shared" si="52"/>
        <v>9.1094244882193873</v>
      </c>
      <c r="P1106">
        <f t="shared" si="54"/>
        <v>22.68</v>
      </c>
      <c r="Q1106" s="113">
        <v>0.33900000000000002</v>
      </c>
      <c r="R1106" s="47">
        <v>0.503</v>
      </c>
      <c r="S1106" s="67">
        <v>18</v>
      </c>
      <c r="T1106" s="47">
        <v>26</v>
      </c>
      <c r="U1106" s="47" t="s">
        <v>54</v>
      </c>
      <c r="V1106" t="s">
        <v>1254</v>
      </c>
      <c r="W1106" s="47"/>
    </row>
    <row r="1107" spans="1:23" x14ac:dyDescent="0.2">
      <c r="A1107" s="5" t="s">
        <v>1279</v>
      </c>
      <c r="B1107" s="6" t="s">
        <v>36</v>
      </c>
      <c r="C1107" s="6" t="s">
        <v>28</v>
      </c>
      <c r="D1107" s="65" t="str">
        <f t="shared" si="53"/>
        <v>099_O_a</v>
      </c>
      <c r="E1107">
        <v>26</v>
      </c>
      <c r="F1107" t="s">
        <v>49</v>
      </c>
      <c r="G1107" t="s">
        <v>1281</v>
      </c>
      <c r="I1107">
        <v>4.6987360166703196</v>
      </c>
      <c r="J1107" s="82">
        <v>7.4</v>
      </c>
      <c r="K1107" t="s">
        <v>57</v>
      </c>
      <c r="L1107" s="82">
        <v>40.6</v>
      </c>
      <c r="M1107" s="82">
        <v>39.5</v>
      </c>
      <c r="N1107" s="82">
        <v>16.3</v>
      </c>
      <c r="O1107" s="44">
        <f t="shared" si="52"/>
        <v>12.193485714285709</v>
      </c>
      <c r="P1107">
        <f t="shared" si="54"/>
        <v>25.95</v>
      </c>
      <c r="Q1107" s="111">
        <v>0.153</v>
      </c>
      <c r="R1107">
        <v>0.33300000000000002</v>
      </c>
      <c r="S1107" s="65">
        <v>12</v>
      </c>
      <c r="T1107">
        <v>23</v>
      </c>
      <c r="U1107" t="s">
        <v>31</v>
      </c>
      <c r="V1107" t="s">
        <v>1254</v>
      </c>
    </row>
    <row r="1108" spans="1:23" x14ac:dyDescent="0.2">
      <c r="A1108" s="2" t="s">
        <v>1279</v>
      </c>
      <c r="B1108" t="s">
        <v>33</v>
      </c>
      <c r="C1108" t="s">
        <v>28</v>
      </c>
      <c r="D1108" s="65" t="str">
        <f t="shared" si="53"/>
        <v>099_V_a</v>
      </c>
      <c r="E1108">
        <v>32</v>
      </c>
      <c r="F1108" t="s">
        <v>49</v>
      </c>
      <c r="G1108" t="s">
        <v>1282</v>
      </c>
      <c r="I1108">
        <v>2.1153023636549699</v>
      </c>
      <c r="J1108" s="82">
        <v>25.4</v>
      </c>
      <c r="K1108" s="82">
        <v>26.6</v>
      </c>
      <c r="L1108" s="82">
        <v>21.4</v>
      </c>
      <c r="M1108" s="82">
        <v>24.2</v>
      </c>
      <c r="N1108" s="82">
        <v>28.3</v>
      </c>
      <c r="O1108" s="44">
        <f t="shared" si="52"/>
        <v>0.2032786885245903</v>
      </c>
      <c r="P1108">
        <f t="shared" si="54"/>
        <v>25.18</v>
      </c>
      <c r="Q1108" s="111">
        <v>0.14599999999999999</v>
      </c>
      <c r="R1108">
        <v>0.34300000000000003</v>
      </c>
      <c r="S1108" s="65">
        <v>10</v>
      </c>
      <c r="T1108">
        <v>15</v>
      </c>
      <c r="U1108" t="s">
        <v>31</v>
      </c>
      <c r="V1108" t="s">
        <v>1254</v>
      </c>
    </row>
    <row r="1109" spans="1:23" x14ac:dyDescent="0.2">
      <c r="A1109" s="2" t="s">
        <v>1279</v>
      </c>
      <c r="B1109" t="s">
        <v>33</v>
      </c>
      <c r="C1109" t="s">
        <v>38</v>
      </c>
      <c r="D1109" s="65" t="str">
        <f t="shared" si="53"/>
        <v>099_V_b</v>
      </c>
      <c r="E1109">
        <v>38</v>
      </c>
      <c r="F1109" t="s">
        <v>41</v>
      </c>
      <c r="G1109" t="s">
        <v>1283</v>
      </c>
      <c r="I1109">
        <v>0.95539369755937598</v>
      </c>
      <c r="J1109" s="82">
        <v>2.7</v>
      </c>
      <c r="K1109" s="82">
        <v>2.5</v>
      </c>
      <c r="L1109" s="82">
        <v>21.9</v>
      </c>
      <c r="M1109" s="82">
        <v>18.7</v>
      </c>
      <c r="N1109" s="82">
        <v>30.4</v>
      </c>
      <c r="O1109" s="44">
        <f t="shared" si="52"/>
        <v>9.2701601164483254</v>
      </c>
      <c r="P1109">
        <f t="shared" si="54"/>
        <v>15.239999999999998</v>
      </c>
      <c r="Q1109" s="111">
        <v>8.2000000000000007E-3</v>
      </c>
      <c r="R1109">
        <v>0.16400000000000001</v>
      </c>
      <c r="S1109" s="65">
        <v>8</v>
      </c>
      <c r="T1109">
        <v>10</v>
      </c>
      <c r="U1109" t="s">
        <v>31</v>
      </c>
      <c r="V1109" t="s">
        <v>1254</v>
      </c>
    </row>
    <row r="1110" spans="1:23" x14ac:dyDescent="0.2">
      <c r="A1110" s="5" t="s">
        <v>1279</v>
      </c>
      <c r="B1110" s="6" t="s">
        <v>27</v>
      </c>
      <c r="C1110" s="6" t="s">
        <v>38</v>
      </c>
      <c r="D1110" s="65" t="str">
        <f t="shared" si="53"/>
        <v>099_S_b</v>
      </c>
      <c r="E1110">
        <v>46</v>
      </c>
      <c r="F1110" t="s">
        <v>34</v>
      </c>
      <c r="G1110" t="s">
        <v>1284</v>
      </c>
      <c r="I1110">
        <v>2.32901198711517</v>
      </c>
      <c r="J1110" s="82">
        <v>22.6</v>
      </c>
      <c r="K1110" s="82">
        <v>22.3</v>
      </c>
      <c r="L1110" s="82">
        <v>16.399999999999999</v>
      </c>
      <c r="M1110" s="82">
        <v>26.1</v>
      </c>
      <c r="N1110" s="82">
        <v>33</v>
      </c>
      <c r="O1110" s="44">
        <f t="shared" si="52"/>
        <v>0.74035087719297843</v>
      </c>
      <c r="P1110">
        <f t="shared" si="54"/>
        <v>24.080000000000002</v>
      </c>
      <c r="Q1110" s="111">
        <v>0.19900000000000001</v>
      </c>
      <c r="R1110">
        <v>0.39100000000000001</v>
      </c>
      <c r="S1110" s="65">
        <v>4</v>
      </c>
      <c r="T1110" s="43">
        <v>47</v>
      </c>
      <c r="U1110" t="s">
        <v>31</v>
      </c>
      <c r="V1110" t="s">
        <v>1254</v>
      </c>
    </row>
    <row r="1111" spans="1:23" x14ac:dyDescent="0.2">
      <c r="A1111" s="5" t="s">
        <v>1279</v>
      </c>
      <c r="B1111" s="6" t="s">
        <v>36</v>
      </c>
      <c r="C1111" s="6" t="s">
        <v>38</v>
      </c>
      <c r="D1111" s="65" t="str">
        <f t="shared" si="53"/>
        <v>099_O_b</v>
      </c>
      <c r="E1111">
        <v>46</v>
      </c>
      <c r="F1111" t="s">
        <v>43</v>
      </c>
      <c r="G1111" t="s">
        <v>1285</v>
      </c>
      <c r="I1111">
        <v>1.91113164704019</v>
      </c>
      <c r="J1111" s="82">
        <v>38.1</v>
      </c>
      <c r="K1111" s="82">
        <v>8.6999999999999993</v>
      </c>
      <c r="L1111" s="82">
        <v>29</v>
      </c>
      <c r="M1111" s="82">
        <v>30.7</v>
      </c>
      <c r="N1111" s="82">
        <v>36.700000000000003</v>
      </c>
      <c r="O1111" s="44">
        <f t="shared" si="52"/>
        <v>5.9496400625978092</v>
      </c>
      <c r="P1111">
        <f t="shared" si="54"/>
        <v>28.639999999999997</v>
      </c>
      <c r="Q1111" s="111">
        <v>0.23599999999999999</v>
      </c>
      <c r="R1111">
        <v>0.34899999999999998</v>
      </c>
      <c r="S1111" s="65">
        <v>20</v>
      </c>
      <c r="T1111" s="43">
        <v>3</v>
      </c>
      <c r="U1111" t="s">
        <v>31</v>
      </c>
      <c r="V1111" t="s">
        <v>1254</v>
      </c>
    </row>
    <row r="1112" spans="1:23" x14ac:dyDescent="0.2">
      <c r="A1112" s="5" t="s">
        <v>1279</v>
      </c>
      <c r="B1112" s="6" t="s">
        <v>36</v>
      </c>
      <c r="C1112" s="6" t="s">
        <v>45</v>
      </c>
      <c r="D1112" s="65" t="str">
        <f t="shared" si="53"/>
        <v>099_O_c</v>
      </c>
      <c r="E1112">
        <v>73</v>
      </c>
      <c r="F1112" t="s">
        <v>34</v>
      </c>
      <c r="G1112" t="s">
        <v>1286</v>
      </c>
      <c r="I1112">
        <v>4.4855577663505501</v>
      </c>
      <c r="J1112" s="82">
        <v>27</v>
      </c>
      <c r="K1112" s="82" t="s">
        <v>57</v>
      </c>
      <c r="L1112" s="82">
        <v>29.6</v>
      </c>
      <c r="M1112" s="82">
        <v>30.2</v>
      </c>
      <c r="N1112" s="82">
        <v>32</v>
      </c>
      <c r="O1112" s="44">
        <f t="shared" si="52"/>
        <v>0.1</v>
      </c>
      <c r="P1112">
        <f t="shared" si="54"/>
        <v>29.7</v>
      </c>
      <c r="Q1112" s="111">
        <v>0.23799999999999999</v>
      </c>
      <c r="R1112">
        <v>0.34200000000000003</v>
      </c>
      <c r="S1112" s="65">
        <v>13</v>
      </c>
      <c r="T1112">
        <v>33</v>
      </c>
      <c r="U1112" t="s">
        <v>51</v>
      </c>
      <c r="V1112" t="s">
        <v>1254</v>
      </c>
    </row>
    <row r="1113" spans="1:23" x14ac:dyDescent="0.2">
      <c r="A1113" s="5" t="s">
        <v>1279</v>
      </c>
      <c r="B1113" s="6" t="s">
        <v>33</v>
      </c>
      <c r="C1113" s="6" t="s">
        <v>45</v>
      </c>
      <c r="D1113" s="65" t="str">
        <f t="shared" si="53"/>
        <v>099_V_c</v>
      </c>
      <c r="E1113">
        <v>79</v>
      </c>
      <c r="F1113" t="s">
        <v>41</v>
      </c>
      <c r="G1113" t="s">
        <v>1287</v>
      </c>
      <c r="I1113">
        <v>0.60384533823425401</v>
      </c>
      <c r="J1113" s="82">
        <v>4</v>
      </c>
      <c r="K1113" s="82">
        <v>1.8</v>
      </c>
      <c r="L1113" s="82">
        <v>19.399999999999999</v>
      </c>
      <c r="M1113" s="70" t="s">
        <v>57</v>
      </c>
      <c r="N1113" s="82">
        <v>21.8</v>
      </c>
      <c r="O1113" s="44">
        <f t="shared" si="52"/>
        <v>10.947619047619046</v>
      </c>
      <c r="P1113">
        <f t="shared" si="54"/>
        <v>11.75</v>
      </c>
      <c r="Q1113" s="111">
        <v>3.2000000000000001E-2</v>
      </c>
      <c r="R1113">
        <v>0.157</v>
      </c>
      <c r="S1113" s="65">
        <v>14</v>
      </c>
      <c r="T1113">
        <v>24</v>
      </c>
      <c r="U1113" t="s">
        <v>51</v>
      </c>
      <c r="V1113" t="s">
        <v>1254</v>
      </c>
    </row>
    <row r="1114" spans="1:23" x14ac:dyDescent="0.2">
      <c r="A1114" s="5" t="s">
        <v>1279</v>
      </c>
      <c r="B1114" s="6" t="s">
        <v>27</v>
      </c>
      <c r="C1114" s="6" t="s">
        <v>45</v>
      </c>
      <c r="D1114" s="65" t="str">
        <f t="shared" si="53"/>
        <v>099_S_c</v>
      </c>
      <c r="E1114">
        <v>89</v>
      </c>
      <c r="F1114" t="s">
        <v>39</v>
      </c>
      <c r="G1114" t="s">
        <v>1288</v>
      </c>
      <c r="H1114" t="s">
        <v>56</v>
      </c>
      <c r="I1114">
        <v>0</v>
      </c>
      <c r="J1114" s="82">
        <v>1.1000000000000001</v>
      </c>
      <c r="K1114" s="82">
        <v>1</v>
      </c>
      <c r="L1114" s="82">
        <v>0.9</v>
      </c>
      <c r="M1114" s="82">
        <v>1</v>
      </c>
      <c r="N1114" s="82">
        <v>0.9</v>
      </c>
      <c r="O1114" s="44">
        <f t="shared" si="52"/>
        <v>6.6666666666666706E-3</v>
      </c>
      <c r="P1114">
        <f t="shared" si="54"/>
        <v>0.98000000000000009</v>
      </c>
      <c r="Q1114" s="111" t="s">
        <v>57</v>
      </c>
      <c r="R1114" s="6" t="s">
        <v>57</v>
      </c>
      <c r="S1114" s="65" t="s">
        <v>57</v>
      </c>
      <c r="T1114" s="6" t="s">
        <v>57</v>
      </c>
      <c r="U1114" s="6" t="s">
        <v>57</v>
      </c>
      <c r="V1114" t="s">
        <v>1254</v>
      </c>
      <c r="W1114" t="s">
        <v>517</v>
      </c>
    </row>
    <row r="1115" spans="1:23" x14ac:dyDescent="0.2">
      <c r="A1115" s="5" t="s">
        <v>1279</v>
      </c>
      <c r="B1115" s="6" t="s">
        <v>36</v>
      </c>
      <c r="C1115" s="6" t="s">
        <v>52</v>
      </c>
      <c r="D1115" s="65" t="str">
        <f t="shared" si="53"/>
        <v>099_O_d</v>
      </c>
      <c r="E1115">
        <v>109</v>
      </c>
      <c r="F1115" t="s">
        <v>63</v>
      </c>
      <c r="G1115" t="s">
        <v>1289</v>
      </c>
      <c r="I1115">
        <v>0.78120747356989295</v>
      </c>
      <c r="J1115" s="82">
        <v>3.7</v>
      </c>
      <c r="K1115" s="82">
        <v>9</v>
      </c>
      <c r="L1115" s="82">
        <v>31.2</v>
      </c>
      <c r="M1115">
        <v>27.8</v>
      </c>
      <c r="N1115" s="82">
        <v>38.9</v>
      </c>
      <c r="O1115" s="44">
        <f t="shared" si="52"/>
        <v>10.334681543468148</v>
      </c>
      <c r="P1115">
        <f t="shared" si="54"/>
        <v>22.119999999999997</v>
      </c>
      <c r="Q1115" s="111">
        <v>0.11799999999999999</v>
      </c>
      <c r="R1115">
        <v>0.193</v>
      </c>
      <c r="S1115" s="65">
        <v>7</v>
      </c>
      <c r="T1115">
        <v>50</v>
      </c>
      <c r="U1115" t="s">
        <v>54</v>
      </c>
      <c r="V1115" t="s">
        <v>1254</v>
      </c>
    </row>
    <row r="1116" spans="1:23" ht="16" x14ac:dyDescent="0.2">
      <c r="A1116" s="5" t="s">
        <v>1279</v>
      </c>
      <c r="B1116" s="6" t="s">
        <v>33</v>
      </c>
      <c r="C1116" s="6" t="s">
        <v>52</v>
      </c>
      <c r="D1116" s="65" t="str">
        <f t="shared" si="53"/>
        <v>099_V_d</v>
      </c>
      <c r="E1116">
        <v>134</v>
      </c>
      <c r="F1116" t="s">
        <v>49</v>
      </c>
      <c r="G1116" t="s">
        <v>1290</v>
      </c>
      <c r="I1116">
        <v>2.99665166919387</v>
      </c>
      <c r="J1116" s="82">
        <v>26.6</v>
      </c>
      <c r="K1116" s="82">
        <v>1.2</v>
      </c>
      <c r="L1116" s="98">
        <v>1.9</v>
      </c>
      <c r="M1116" s="82">
        <v>3.3</v>
      </c>
      <c r="N1116" s="82">
        <v>44.4</v>
      </c>
      <c r="O1116" s="44">
        <f t="shared" si="52"/>
        <v>18.232323232323239</v>
      </c>
      <c r="P1116">
        <f t="shared" si="54"/>
        <v>15.48</v>
      </c>
      <c r="Q1116" s="111">
        <v>0.215</v>
      </c>
      <c r="R1116">
        <v>0.38</v>
      </c>
      <c r="S1116" s="65">
        <v>9</v>
      </c>
      <c r="T1116">
        <v>16</v>
      </c>
      <c r="U1116" t="s">
        <v>54</v>
      </c>
      <c r="V1116" t="s">
        <v>1254</v>
      </c>
    </row>
    <row r="1117" spans="1:23" ht="16" x14ac:dyDescent="0.2">
      <c r="A1117" s="5" t="s">
        <v>1279</v>
      </c>
      <c r="B1117" s="6" t="s">
        <v>27</v>
      </c>
      <c r="C1117" s="6" t="s">
        <v>52</v>
      </c>
      <c r="D1117" s="65" t="str">
        <f t="shared" si="53"/>
        <v>099_S_d</v>
      </c>
      <c r="E1117">
        <v>136</v>
      </c>
      <c r="F1117" t="s">
        <v>68</v>
      </c>
      <c r="G1117" t="s">
        <v>1291</v>
      </c>
      <c r="H1117" t="s">
        <v>56</v>
      </c>
      <c r="I1117">
        <v>0</v>
      </c>
      <c r="J1117" s="82">
        <v>1.1000000000000001</v>
      </c>
      <c r="K1117" s="82">
        <v>1</v>
      </c>
      <c r="L1117" s="84">
        <v>1</v>
      </c>
      <c r="M1117" s="82">
        <v>1</v>
      </c>
      <c r="N1117" s="82">
        <v>0.9</v>
      </c>
      <c r="O1117" s="44">
        <f t="shared" si="52"/>
        <v>2.4390243902439068E-3</v>
      </c>
      <c r="P1117">
        <f t="shared" si="54"/>
        <v>1</v>
      </c>
      <c r="Q1117" s="111" t="s">
        <v>57</v>
      </c>
      <c r="R1117" t="s">
        <v>57</v>
      </c>
      <c r="S1117" s="65" t="s">
        <v>57</v>
      </c>
      <c r="T1117" t="s">
        <v>57</v>
      </c>
      <c r="V1117" t="s">
        <v>1254</v>
      </c>
      <c r="W1117" t="s">
        <v>67</v>
      </c>
    </row>
    <row r="1118" spans="1:23" ht="16" x14ac:dyDescent="0.2">
      <c r="A1118" s="7" t="s">
        <v>1292</v>
      </c>
      <c r="B1118" s="6" t="s">
        <v>27</v>
      </c>
      <c r="C1118" s="6" t="s">
        <v>28</v>
      </c>
      <c r="D1118" s="65" t="str">
        <f t="shared" si="53"/>
        <v>100_S_a</v>
      </c>
      <c r="E1118">
        <v>3</v>
      </c>
      <c r="F1118" t="s">
        <v>68</v>
      </c>
      <c r="G1118" t="s">
        <v>1293</v>
      </c>
      <c r="H1118" t="s">
        <v>56</v>
      </c>
      <c r="I1118">
        <v>0</v>
      </c>
      <c r="J1118" s="84">
        <v>0.9</v>
      </c>
      <c r="K1118" s="82">
        <v>1</v>
      </c>
      <c r="L1118" s="82">
        <v>1</v>
      </c>
      <c r="M1118" s="82">
        <v>1</v>
      </c>
      <c r="N1118" s="82">
        <v>0.9</v>
      </c>
      <c r="O1118" s="44">
        <f t="shared" si="52"/>
        <v>2.5641025641025632E-3</v>
      </c>
      <c r="P1118">
        <f t="shared" si="54"/>
        <v>0.96</v>
      </c>
      <c r="Q1118" s="111" t="s">
        <v>57</v>
      </c>
      <c r="R1118" t="s">
        <v>57</v>
      </c>
      <c r="S1118" s="65" t="s">
        <v>57</v>
      </c>
      <c r="T1118" t="s">
        <v>57</v>
      </c>
      <c r="U1118" t="s">
        <v>57</v>
      </c>
      <c r="V1118" t="s">
        <v>1254</v>
      </c>
      <c r="W1118" t="s">
        <v>67</v>
      </c>
    </row>
    <row r="1119" spans="1:23" ht="16" x14ac:dyDescent="0.2">
      <c r="A1119" s="3" t="s">
        <v>1292</v>
      </c>
      <c r="B1119" t="s">
        <v>33</v>
      </c>
      <c r="C1119" t="s">
        <v>28</v>
      </c>
      <c r="D1119" s="65" t="str">
        <f t="shared" si="53"/>
        <v>100_V_a</v>
      </c>
      <c r="E1119">
        <v>17</v>
      </c>
      <c r="F1119" t="s">
        <v>82</v>
      </c>
      <c r="G1119" t="s">
        <v>1294</v>
      </c>
      <c r="I1119">
        <v>1.3200646061229</v>
      </c>
      <c r="J1119" s="84">
        <v>1</v>
      </c>
      <c r="K1119" s="97">
        <v>13.5</v>
      </c>
      <c r="L1119" s="82">
        <v>19.2</v>
      </c>
      <c r="M1119" s="82">
        <v>20.7</v>
      </c>
      <c r="N1119" s="82">
        <v>23</v>
      </c>
      <c r="O1119" s="44">
        <f t="shared" si="52"/>
        <v>5.8955882352941105</v>
      </c>
      <c r="P1119">
        <f t="shared" si="54"/>
        <v>15.48</v>
      </c>
      <c r="Q1119" s="111">
        <v>6.6000000000000003E-2</v>
      </c>
      <c r="R1119">
        <v>0.19900000000000001</v>
      </c>
      <c r="S1119" s="65">
        <v>19</v>
      </c>
      <c r="T1119">
        <v>42</v>
      </c>
      <c r="U1119" s="47" t="s">
        <v>31</v>
      </c>
      <c r="V1119" t="s">
        <v>1254</v>
      </c>
    </row>
    <row r="1120" spans="1:23" x14ac:dyDescent="0.2">
      <c r="A1120" s="7" t="s">
        <v>1292</v>
      </c>
      <c r="B1120" s="6" t="s">
        <v>36</v>
      </c>
      <c r="C1120" s="6" t="s">
        <v>28</v>
      </c>
      <c r="D1120" s="65" t="str">
        <f t="shared" si="53"/>
        <v>100_O_a</v>
      </c>
      <c r="E1120">
        <v>22</v>
      </c>
      <c r="F1120" t="s">
        <v>34</v>
      </c>
      <c r="G1120" t="s">
        <v>1295</v>
      </c>
      <c r="I1120">
        <v>3.20643078934466</v>
      </c>
      <c r="J1120" s="82">
        <v>1.6</v>
      </c>
      <c r="K1120" s="82">
        <v>2.2999999999999998</v>
      </c>
      <c r="L1120" s="82">
        <v>1.8</v>
      </c>
      <c r="M1120" s="82">
        <v>7.3</v>
      </c>
      <c r="N1120" s="82">
        <v>21.8</v>
      </c>
      <c r="O1120" s="44">
        <f t="shared" ref="O1120:O1146" si="55">VAR(J1120:M1120)/AVERAGE(J1120:M1120)</f>
        <v>2.2697435897435891</v>
      </c>
      <c r="P1120">
        <f t="shared" si="54"/>
        <v>6.9599999999999991</v>
      </c>
      <c r="Q1120" s="111">
        <v>4.2999999999999997E-2</v>
      </c>
      <c r="R1120">
        <v>7.4999999999999997E-2</v>
      </c>
      <c r="S1120" s="65">
        <v>4</v>
      </c>
      <c r="T1120">
        <v>51</v>
      </c>
      <c r="U1120" t="s">
        <v>31</v>
      </c>
      <c r="V1120" t="s">
        <v>1254</v>
      </c>
    </row>
    <row r="1121" spans="1:23" x14ac:dyDescent="0.2">
      <c r="A1121" s="7" t="s">
        <v>1292</v>
      </c>
      <c r="B1121" s="6" t="s">
        <v>36</v>
      </c>
      <c r="C1121" s="6" t="s">
        <v>38</v>
      </c>
      <c r="D1121" s="65" t="str">
        <f t="shared" si="53"/>
        <v>100_O_b</v>
      </c>
      <c r="E1121">
        <v>41</v>
      </c>
      <c r="F1121" t="s">
        <v>63</v>
      </c>
      <c r="G1121" t="s">
        <v>1296</v>
      </c>
      <c r="I1121">
        <v>2.6191575475940598</v>
      </c>
      <c r="J1121" s="82">
        <v>7.7</v>
      </c>
      <c r="K1121" s="82">
        <v>33</v>
      </c>
      <c r="L1121" s="82">
        <v>25</v>
      </c>
      <c r="M1121" s="82">
        <v>13.2</v>
      </c>
      <c r="N1121" s="82">
        <v>33.200000000000003</v>
      </c>
      <c r="O1121" s="44">
        <f t="shared" si="55"/>
        <v>6.6113645965356946</v>
      </c>
      <c r="P1121">
        <f t="shared" si="54"/>
        <v>22.42</v>
      </c>
      <c r="Q1121" s="111">
        <v>0.14399999999999999</v>
      </c>
      <c r="R1121">
        <v>0.29499999999999998</v>
      </c>
      <c r="S1121" s="65">
        <v>11</v>
      </c>
      <c r="T1121">
        <v>29</v>
      </c>
      <c r="U1121" t="s">
        <v>31</v>
      </c>
      <c r="V1121" t="s">
        <v>1254</v>
      </c>
    </row>
    <row r="1122" spans="1:23" x14ac:dyDescent="0.2">
      <c r="A1122" s="7" t="s">
        <v>1292</v>
      </c>
      <c r="B1122" s="6" t="s">
        <v>27</v>
      </c>
      <c r="C1122" s="6" t="s">
        <v>38</v>
      </c>
      <c r="D1122" s="65" t="str">
        <f t="shared" si="53"/>
        <v>100_S_b</v>
      </c>
      <c r="E1122">
        <v>54</v>
      </c>
      <c r="F1122" t="s">
        <v>63</v>
      </c>
      <c r="G1122" t="s">
        <v>1297</v>
      </c>
      <c r="H1122" t="s">
        <v>56</v>
      </c>
      <c r="I1122">
        <v>0</v>
      </c>
      <c r="J1122" s="82">
        <v>1</v>
      </c>
      <c r="K1122" s="82">
        <v>1</v>
      </c>
      <c r="L1122" s="82">
        <v>1</v>
      </c>
      <c r="M1122" s="82">
        <v>0.9</v>
      </c>
      <c r="N1122" s="82">
        <v>1</v>
      </c>
      <c r="O1122" s="44">
        <f t="shared" si="55"/>
        <v>2.5641025641025632E-3</v>
      </c>
      <c r="P1122">
        <f t="shared" si="54"/>
        <v>0.98000000000000009</v>
      </c>
      <c r="Q1122" s="111" t="s">
        <v>57</v>
      </c>
      <c r="R1122" t="s">
        <v>57</v>
      </c>
      <c r="S1122" s="65" t="s">
        <v>57</v>
      </c>
      <c r="T1122" t="s">
        <v>57</v>
      </c>
      <c r="U1122" t="s">
        <v>57</v>
      </c>
      <c r="V1122" t="s">
        <v>1254</v>
      </c>
      <c r="W1122" t="s">
        <v>67</v>
      </c>
    </row>
    <row r="1123" spans="1:23" x14ac:dyDescent="0.2">
      <c r="A1123" s="3" t="s">
        <v>1292</v>
      </c>
      <c r="B1123" t="s">
        <v>33</v>
      </c>
      <c r="C1123" t="s">
        <v>38</v>
      </c>
      <c r="D1123" s="65" t="str">
        <f t="shared" si="53"/>
        <v>100_V_b</v>
      </c>
      <c r="E1123">
        <v>62</v>
      </c>
      <c r="F1123" t="s">
        <v>68</v>
      </c>
      <c r="G1123" t="s">
        <v>1298</v>
      </c>
      <c r="I1123">
        <v>1.7540386466276701</v>
      </c>
      <c r="J1123" s="82">
        <v>1.8</v>
      </c>
      <c r="K1123" s="82">
        <v>4.3</v>
      </c>
      <c r="L1123" s="82">
        <v>47</v>
      </c>
      <c r="M1123" s="82">
        <v>33.4</v>
      </c>
      <c r="N1123" s="82">
        <v>34</v>
      </c>
      <c r="O1123" s="44">
        <f t="shared" si="55"/>
        <v>22.747244701348745</v>
      </c>
      <c r="P1123">
        <f t="shared" si="54"/>
        <v>24.1</v>
      </c>
      <c r="Q1123" s="111">
        <v>7.5999999999999998E-2</v>
      </c>
      <c r="R1123">
        <v>0.33900000000000002</v>
      </c>
      <c r="S1123" s="65">
        <v>11</v>
      </c>
      <c r="T1123">
        <v>24</v>
      </c>
      <c r="U1123" t="s">
        <v>31</v>
      </c>
      <c r="V1123" t="s">
        <v>1254</v>
      </c>
    </row>
    <row r="1124" spans="1:23" x14ac:dyDescent="0.2">
      <c r="A1124" s="7" t="s">
        <v>1292</v>
      </c>
      <c r="B1124" s="6" t="s">
        <v>33</v>
      </c>
      <c r="C1124" s="6" t="s">
        <v>45</v>
      </c>
      <c r="D1124" s="65" t="str">
        <f t="shared" si="53"/>
        <v>100_V_c</v>
      </c>
      <c r="E1124">
        <v>79</v>
      </c>
      <c r="F1124" t="s">
        <v>43</v>
      </c>
      <c r="G1124" t="s">
        <v>1299</v>
      </c>
      <c r="I1124">
        <v>0</v>
      </c>
      <c r="J1124" s="82">
        <v>1.8</v>
      </c>
      <c r="K1124" s="82">
        <v>1.1000000000000001</v>
      </c>
      <c r="L1124" s="82">
        <v>1.7</v>
      </c>
      <c r="M1124" s="70" t="s">
        <v>57</v>
      </c>
      <c r="N1124" s="82">
        <v>4.0999999999999996</v>
      </c>
      <c r="O1124" s="44">
        <f t="shared" si="55"/>
        <v>9.3478260869564761E-2</v>
      </c>
      <c r="P1124">
        <f t="shared" si="54"/>
        <v>2.1749999999999998</v>
      </c>
      <c r="Q1124" s="111">
        <v>5.0000000000000001E-3</v>
      </c>
      <c r="R1124">
        <v>2.5000000000000001E-2</v>
      </c>
      <c r="S1124" s="65">
        <v>6</v>
      </c>
      <c r="T1124">
        <v>3</v>
      </c>
      <c r="U1124" t="s">
        <v>51</v>
      </c>
      <c r="V1124" t="s">
        <v>1254</v>
      </c>
    </row>
    <row r="1125" spans="1:23" x14ac:dyDescent="0.2">
      <c r="A1125" s="7" t="s">
        <v>1292</v>
      </c>
      <c r="B1125" s="6" t="s">
        <v>27</v>
      </c>
      <c r="C1125" s="6" t="s">
        <v>45</v>
      </c>
      <c r="D1125" s="65" t="str">
        <f t="shared" si="53"/>
        <v>100_S_c</v>
      </c>
      <c r="E1125">
        <v>93</v>
      </c>
      <c r="F1125" t="s">
        <v>41</v>
      </c>
      <c r="G1125" t="s">
        <v>1300</v>
      </c>
      <c r="I1125">
        <v>6.8858114099911303</v>
      </c>
      <c r="J1125" s="82">
        <v>14.2</v>
      </c>
      <c r="K1125" s="82">
        <v>22.9</v>
      </c>
      <c r="L1125" s="82">
        <v>32.299999999999997</v>
      </c>
      <c r="M1125">
        <v>20.7</v>
      </c>
      <c r="N1125" s="82">
        <v>37</v>
      </c>
      <c r="O1125" s="44">
        <f t="shared" si="55"/>
        <v>2.490972992970768</v>
      </c>
      <c r="P1125">
        <f t="shared" si="54"/>
        <v>25.419999999999998</v>
      </c>
      <c r="Q1125" s="111">
        <v>0.29899999999999999</v>
      </c>
      <c r="R1125">
        <v>0.58199999999999996</v>
      </c>
      <c r="S1125" s="65">
        <v>21</v>
      </c>
      <c r="T1125">
        <v>15</v>
      </c>
      <c r="U1125" t="s">
        <v>31</v>
      </c>
      <c r="V1125" t="s">
        <v>1254</v>
      </c>
    </row>
    <row r="1126" spans="1:23" x14ac:dyDescent="0.2">
      <c r="A1126" s="7" t="s">
        <v>1292</v>
      </c>
      <c r="B1126" s="6" t="s">
        <v>36</v>
      </c>
      <c r="C1126" s="6" t="s">
        <v>45</v>
      </c>
      <c r="D1126" s="65" t="str">
        <f t="shared" si="53"/>
        <v>100_O_c</v>
      </c>
      <c r="E1126">
        <v>106</v>
      </c>
      <c r="F1126" t="s">
        <v>82</v>
      </c>
      <c r="G1126" t="s">
        <v>1301</v>
      </c>
      <c r="I1126">
        <v>3.24724553364568</v>
      </c>
      <c r="J1126" s="82">
        <v>20.2</v>
      </c>
      <c r="K1126" s="82">
        <v>19.3</v>
      </c>
      <c r="L1126" s="82">
        <v>26.2</v>
      </c>
      <c r="M1126">
        <v>16.8</v>
      </c>
      <c r="N1126" s="82">
        <v>24.7</v>
      </c>
      <c r="O1126" s="44">
        <f t="shared" si="55"/>
        <v>0.770060606060603</v>
      </c>
      <c r="P1126">
        <f t="shared" si="54"/>
        <v>21.44</v>
      </c>
      <c r="Q1126" s="111">
        <v>0.17599999999999999</v>
      </c>
      <c r="R1126">
        <v>0.33800000000000002</v>
      </c>
      <c r="S1126" s="65">
        <v>34</v>
      </c>
      <c r="T1126">
        <v>89</v>
      </c>
      <c r="U1126" t="s">
        <v>72</v>
      </c>
      <c r="V1126" t="s">
        <v>1254</v>
      </c>
    </row>
    <row r="1127" spans="1:23" x14ac:dyDescent="0.2">
      <c r="A1127" s="7" t="s">
        <v>1292</v>
      </c>
      <c r="B1127" s="6" t="s">
        <v>33</v>
      </c>
      <c r="C1127" s="6" t="s">
        <v>52</v>
      </c>
      <c r="D1127" s="65" t="str">
        <f t="shared" si="53"/>
        <v>100_V_d</v>
      </c>
      <c r="E1127">
        <v>111</v>
      </c>
      <c r="F1127" t="s">
        <v>63</v>
      </c>
      <c r="G1127" t="s">
        <v>1302</v>
      </c>
      <c r="I1127">
        <v>0.65008024455483404</v>
      </c>
      <c r="J1127" s="82">
        <v>2.4</v>
      </c>
      <c r="K1127" s="82">
        <v>1.6</v>
      </c>
      <c r="L1127" s="82">
        <v>4.5</v>
      </c>
      <c r="M1127">
        <v>1.9</v>
      </c>
      <c r="N1127" s="82">
        <v>11.4</v>
      </c>
      <c r="O1127" s="44">
        <f t="shared" si="55"/>
        <v>0.65897435897435852</v>
      </c>
      <c r="P1127">
        <f t="shared" si="54"/>
        <v>4.3600000000000003</v>
      </c>
      <c r="Q1127" s="111">
        <v>0.03</v>
      </c>
      <c r="R1127">
        <v>5.6000000000000001E-2</v>
      </c>
      <c r="S1127" s="65">
        <v>25</v>
      </c>
      <c r="T1127">
        <v>7</v>
      </c>
      <c r="U1127" t="s">
        <v>54</v>
      </c>
      <c r="V1127" t="s">
        <v>1254</v>
      </c>
    </row>
    <row r="1128" spans="1:23" ht="16" x14ac:dyDescent="0.2">
      <c r="A1128" s="7" t="s">
        <v>1292</v>
      </c>
      <c r="B1128" s="6" t="s">
        <v>36</v>
      </c>
      <c r="C1128" s="6" t="s">
        <v>52</v>
      </c>
      <c r="D1128" s="65" t="str">
        <f t="shared" si="53"/>
        <v>100_O_d</v>
      </c>
      <c r="E1128">
        <v>121</v>
      </c>
      <c r="F1128" t="s">
        <v>39</v>
      </c>
      <c r="G1128" t="s">
        <v>1303</v>
      </c>
      <c r="I1128">
        <v>5.2544042975936396</v>
      </c>
      <c r="J1128" s="82">
        <v>17.7</v>
      </c>
      <c r="K1128" s="82">
        <v>2.4</v>
      </c>
      <c r="L1128" s="84">
        <v>22.3</v>
      </c>
      <c r="M1128">
        <v>16.899999999999999</v>
      </c>
      <c r="N1128" s="82">
        <v>27.7</v>
      </c>
      <c r="O1128" s="44">
        <f t="shared" si="55"/>
        <v>5.0101742551995478</v>
      </c>
      <c r="P1128">
        <f t="shared" si="54"/>
        <v>17.399999999999999</v>
      </c>
      <c r="Q1128" s="111">
        <v>0.13100000000000001</v>
      </c>
      <c r="R1128">
        <v>0.312</v>
      </c>
      <c r="S1128" s="65">
        <v>4</v>
      </c>
      <c r="T1128">
        <v>32</v>
      </c>
      <c r="U1128" t="s">
        <v>54</v>
      </c>
      <c r="V1128" t="s">
        <v>1254</v>
      </c>
    </row>
    <row r="1129" spans="1:23" ht="16" x14ac:dyDescent="0.2">
      <c r="A1129" s="7" t="s">
        <v>1292</v>
      </c>
      <c r="B1129" s="6" t="s">
        <v>27</v>
      </c>
      <c r="C1129" s="6" t="s">
        <v>52</v>
      </c>
      <c r="D1129" s="65" t="str">
        <f t="shared" si="53"/>
        <v>100_S_d</v>
      </c>
      <c r="E1129">
        <v>133</v>
      </c>
      <c r="F1129" t="s">
        <v>43</v>
      </c>
      <c r="G1129" t="s">
        <v>1304</v>
      </c>
      <c r="I1129">
        <v>4.3141273193543501</v>
      </c>
      <c r="J1129" s="82">
        <v>25.5</v>
      </c>
      <c r="K1129" s="82">
        <v>2.7</v>
      </c>
      <c r="L1129" s="84">
        <v>9.3000000000000007</v>
      </c>
      <c r="M1129">
        <v>25.2</v>
      </c>
      <c r="N1129" s="82">
        <v>12.1</v>
      </c>
      <c r="O1129" s="44">
        <f t="shared" si="55"/>
        <v>8.42631578947368</v>
      </c>
      <c r="P1129">
        <f t="shared" si="54"/>
        <v>14.959999999999999</v>
      </c>
      <c r="Q1129" s="111">
        <v>0.38900000000000001</v>
      </c>
      <c r="R1129">
        <v>0.65400000000000003</v>
      </c>
      <c r="S1129" s="65">
        <v>31</v>
      </c>
      <c r="T1129">
        <v>41</v>
      </c>
      <c r="U1129" t="s">
        <v>51</v>
      </c>
      <c r="V1129" t="s">
        <v>1254</v>
      </c>
    </row>
    <row r="1130" spans="1:23" ht="16" x14ac:dyDescent="0.2">
      <c r="A1130" s="3" t="s">
        <v>1305</v>
      </c>
      <c r="B1130" t="s">
        <v>33</v>
      </c>
      <c r="C1130" t="s">
        <v>28</v>
      </c>
      <c r="D1130" s="65" t="str">
        <f t="shared" si="53"/>
        <v>101_V_a</v>
      </c>
      <c r="E1130">
        <v>1</v>
      </c>
      <c r="F1130" t="s">
        <v>70</v>
      </c>
      <c r="G1130" t="s">
        <v>1306</v>
      </c>
      <c r="I1130">
        <v>1.10245686999384</v>
      </c>
      <c r="J1130" s="108">
        <v>1.4</v>
      </c>
      <c r="K1130" s="82">
        <v>7.8</v>
      </c>
      <c r="L1130" s="82">
        <v>13.7</v>
      </c>
      <c r="M1130" s="82">
        <v>2</v>
      </c>
      <c r="N1130" s="82">
        <v>25.1</v>
      </c>
      <c r="O1130" s="44">
        <f t="shared" si="55"/>
        <v>5.3273092369477908</v>
      </c>
      <c r="P1130">
        <f t="shared" si="54"/>
        <v>10</v>
      </c>
      <c r="Q1130" s="111">
        <v>6.7000000000000004E-2</v>
      </c>
      <c r="R1130">
        <v>0.17399999999999999</v>
      </c>
      <c r="S1130" s="65">
        <v>6</v>
      </c>
      <c r="T1130">
        <v>13</v>
      </c>
      <c r="U1130" t="s">
        <v>31</v>
      </c>
      <c r="V1130" t="s">
        <v>1254</v>
      </c>
    </row>
    <row r="1131" spans="1:23" x14ac:dyDescent="0.2">
      <c r="A1131" s="7" t="s">
        <v>1305</v>
      </c>
      <c r="B1131" s="6" t="s">
        <v>36</v>
      </c>
      <c r="C1131" s="6" t="s">
        <v>28</v>
      </c>
      <c r="D1131" s="65" t="str">
        <f t="shared" si="53"/>
        <v>101_O_a</v>
      </c>
      <c r="E1131">
        <v>30</v>
      </c>
      <c r="F1131" t="s">
        <v>49</v>
      </c>
      <c r="G1131" t="s">
        <v>1307</v>
      </c>
      <c r="I1131">
        <v>0.54286632750041897</v>
      </c>
      <c r="J1131" s="82">
        <v>14.3</v>
      </c>
      <c r="K1131" s="82">
        <v>16.899999999999999</v>
      </c>
      <c r="L1131" s="82">
        <v>25.4</v>
      </c>
      <c r="M1131" s="82">
        <v>26.4</v>
      </c>
      <c r="N1131" s="82">
        <v>31.2</v>
      </c>
      <c r="O1131" s="44">
        <f t="shared" si="55"/>
        <v>1.7665863453815229</v>
      </c>
      <c r="P1131">
        <f t="shared" si="54"/>
        <v>22.84</v>
      </c>
      <c r="Q1131" s="111">
        <v>9.8000000000000004E-2</v>
      </c>
      <c r="R1131">
        <v>0.24099999999999999</v>
      </c>
      <c r="S1131" s="65">
        <v>17</v>
      </c>
      <c r="T1131">
        <v>38</v>
      </c>
      <c r="U1131" t="s">
        <v>72</v>
      </c>
      <c r="V1131" t="s">
        <v>1254</v>
      </c>
    </row>
    <row r="1132" spans="1:23" x14ac:dyDescent="0.2">
      <c r="A1132" s="7" t="s">
        <v>1305</v>
      </c>
      <c r="B1132" s="6" t="s">
        <v>27</v>
      </c>
      <c r="C1132" s="6" t="s">
        <v>28</v>
      </c>
      <c r="D1132" s="65" t="str">
        <f t="shared" si="53"/>
        <v>101_S_a</v>
      </c>
      <c r="E1132">
        <v>35</v>
      </c>
      <c r="F1132" t="s">
        <v>43</v>
      </c>
      <c r="G1132" t="s">
        <v>1308</v>
      </c>
      <c r="I1132">
        <v>2.9532973480403699</v>
      </c>
      <c r="J1132" s="82">
        <v>15.3</v>
      </c>
      <c r="K1132" t="s">
        <v>57</v>
      </c>
      <c r="L1132" s="82">
        <v>21.2</v>
      </c>
      <c r="M1132" s="82">
        <v>26</v>
      </c>
      <c r="N1132" s="82">
        <v>36</v>
      </c>
      <c r="O1132" s="44">
        <f t="shared" si="55"/>
        <v>1.3787200000000013</v>
      </c>
      <c r="P1132">
        <f t="shared" si="54"/>
        <v>24.625</v>
      </c>
      <c r="Q1132" s="111">
        <v>0.183</v>
      </c>
      <c r="R1132">
        <v>0.36899999999999999</v>
      </c>
      <c r="S1132" s="65">
        <v>11</v>
      </c>
      <c r="T1132">
        <v>31</v>
      </c>
      <c r="U1132" t="s">
        <v>31</v>
      </c>
      <c r="V1132" t="s">
        <v>1254</v>
      </c>
    </row>
    <row r="1133" spans="1:23" x14ac:dyDescent="0.2">
      <c r="A1133" s="7" t="s">
        <v>1305</v>
      </c>
      <c r="B1133" s="6" t="s">
        <v>27</v>
      </c>
      <c r="C1133" s="6" t="s">
        <v>38</v>
      </c>
      <c r="D1133" s="65" t="str">
        <f t="shared" si="53"/>
        <v>101_S_b</v>
      </c>
      <c r="E1133">
        <v>52</v>
      </c>
      <c r="F1133" t="s">
        <v>68</v>
      </c>
      <c r="G1133" t="s">
        <v>1309</v>
      </c>
      <c r="I1133">
        <v>1.0839188483627999</v>
      </c>
      <c r="J1133" s="82">
        <v>5.3</v>
      </c>
      <c r="K1133" s="82">
        <v>5.4</v>
      </c>
      <c r="L1133" s="82">
        <v>22.9</v>
      </c>
      <c r="M1133" s="82">
        <v>12.2</v>
      </c>
      <c r="N1133" s="82">
        <v>31.5</v>
      </c>
      <c r="O1133" s="44">
        <f t="shared" si="55"/>
        <v>5.9997088791848627</v>
      </c>
      <c r="P1133">
        <f t="shared" si="54"/>
        <v>15.459999999999999</v>
      </c>
      <c r="Q1133" s="111">
        <v>9.6000000000000002E-2</v>
      </c>
      <c r="R1133">
        <v>0.13500000000000001</v>
      </c>
      <c r="S1133" s="65">
        <v>6</v>
      </c>
      <c r="T1133" s="43">
        <v>49</v>
      </c>
      <c r="U1133" t="s">
        <v>31</v>
      </c>
      <c r="V1133" t="s">
        <v>1254</v>
      </c>
    </row>
    <row r="1134" spans="1:23" x14ac:dyDescent="0.2">
      <c r="A1134" s="7" t="s">
        <v>1305</v>
      </c>
      <c r="B1134" s="6" t="s">
        <v>36</v>
      </c>
      <c r="C1134" s="6" t="s">
        <v>38</v>
      </c>
      <c r="D1134" s="65" t="str">
        <f t="shared" si="53"/>
        <v>101_O_b</v>
      </c>
      <c r="E1134">
        <v>53</v>
      </c>
      <c r="F1134" t="s">
        <v>82</v>
      </c>
      <c r="G1134" t="s">
        <v>1310</v>
      </c>
      <c r="I1134">
        <v>1.28953846153846</v>
      </c>
      <c r="J1134" s="82">
        <v>23.8</v>
      </c>
      <c r="K1134" s="82">
        <v>25.7</v>
      </c>
      <c r="L1134" s="82">
        <v>29.1</v>
      </c>
      <c r="M1134" s="82">
        <v>29.7</v>
      </c>
      <c r="N1134" s="82">
        <v>34</v>
      </c>
      <c r="O1134" s="44">
        <f t="shared" si="55"/>
        <v>0.29064327485380115</v>
      </c>
      <c r="P1134">
        <f t="shared" si="54"/>
        <v>28.46</v>
      </c>
      <c r="Q1134" s="111">
        <v>0.151</v>
      </c>
      <c r="R1134">
        <v>0.28299999999999997</v>
      </c>
      <c r="S1134" s="65">
        <v>3</v>
      </c>
      <c r="T1134">
        <v>123</v>
      </c>
      <c r="U1134" t="s">
        <v>31</v>
      </c>
      <c r="V1134" t="s">
        <v>1254</v>
      </c>
    </row>
    <row r="1135" spans="1:23" x14ac:dyDescent="0.2">
      <c r="A1135" s="3" t="s">
        <v>1305</v>
      </c>
      <c r="B1135" t="s">
        <v>33</v>
      </c>
      <c r="C1135" t="s">
        <v>38</v>
      </c>
      <c r="D1135" s="65" t="str">
        <f t="shared" si="53"/>
        <v>101_V_b</v>
      </c>
      <c r="E1135">
        <v>71</v>
      </c>
      <c r="F1135" t="s">
        <v>82</v>
      </c>
      <c r="G1135" t="s">
        <v>1311</v>
      </c>
      <c r="I1135">
        <v>2.9156884021398999</v>
      </c>
      <c r="J1135" s="82">
        <v>24.8</v>
      </c>
      <c r="K1135" s="82">
        <v>20</v>
      </c>
      <c r="L1135" s="82">
        <v>15.7</v>
      </c>
      <c r="M1135" s="82">
        <v>27.1</v>
      </c>
      <c r="N1135" s="82">
        <v>24.5</v>
      </c>
      <c r="O1135" s="44">
        <f t="shared" si="55"/>
        <v>1.1796042617960463</v>
      </c>
      <c r="P1135">
        <f t="shared" si="54"/>
        <v>22.419999999999998</v>
      </c>
      <c r="Q1135" s="111">
        <v>0.255</v>
      </c>
      <c r="R1135">
        <v>0.38200000000000001</v>
      </c>
      <c r="S1135" s="65">
        <v>11</v>
      </c>
      <c r="T1135">
        <v>15</v>
      </c>
      <c r="U1135" t="s">
        <v>31</v>
      </c>
      <c r="V1135" t="s">
        <v>1254</v>
      </c>
    </row>
    <row r="1136" spans="1:23" x14ac:dyDescent="0.2">
      <c r="A1136" s="7" t="s">
        <v>1305</v>
      </c>
      <c r="B1136" s="6" t="s">
        <v>33</v>
      </c>
      <c r="C1136" s="6" t="s">
        <v>45</v>
      </c>
      <c r="D1136" s="65" t="str">
        <f t="shared" si="53"/>
        <v>101_V_c</v>
      </c>
      <c r="E1136">
        <v>78</v>
      </c>
      <c r="F1136" t="s">
        <v>29</v>
      </c>
      <c r="G1136" t="s">
        <v>1312</v>
      </c>
      <c r="I1136">
        <v>4.2199482480296302</v>
      </c>
      <c r="J1136" s="82">
        <v>3.4</v>
      </c>
      <c r="K1136" s="82">
        <v>33.6</v>
      </c>
      <c r="L1136" s="82">
        <v>28.6</v>
      </c>
      <c r="M1136" s="82">
        <v>24.6</v>
      </c>
      <c r="N1136" s="82">
        <v>29</v>
      </c>
      <c r="O1136" s="44">
        <f t="shared" si="55"/>
        <v>7.8289726533629107</v>
      </c>
      <c r="P1136">
        <f t="shared" si="54"/>
        <v>23.839999999999996</v>
      </c>
      <c r="Q1136" s="111">
        <v>0.17</v>
      </c>
      <c r="R1136">
        <v>0.439</v>
      </c>
      <c r="S1136" s="65">
        <v>4</v>
      </c>
      <c r="T1136">
        <v>9</v>
      </c>
      <c r="U1136" t="s">
        <v>31</v>
      </c>
      <c r="V1136" t="s">
        <v>1254</v>
      </c>
    </row>
    <row r="1137" spans="1:23" x14ac:dyDescent="0.2">
      <c r="A1137" s="7" t="s">
        <v>1305</v>
      </c>
      <c r="B1137" s="6" t="s">
        <v>36</v>
      </c>
      <c r="C1137" s="6" t="s">
        <v>45</v>
      </c>
      <c r="D1137" s="65" t="str">
        <f t="shared" si="53"/>
        <v>101_O_c</v>
      </c>
      <c r="E1137">
        <v>81</v>
      </c>
      <c r="F1137" t="s">
        <v>41</v>
      </c>
      <c r="G1137" t="s">
        <v>1313</v>
      </c>
      <c r="I1137">
        <v>1.4553621604745499</v>
      </c>
      <c r="J1137" s="82">
        <v>10.199999999999999</v>
      </c>
      <c r="K1137" s="82">
        <v>5.6</v>
      </c>
      <c r="L1137" s="82">
        <v>20.9</v>
      </c>
      <c r="M1137" s="82">
        <v>21.7</v>
      </c>
      <c r="N1137" s="82">
        <v>27.4</v>
      </c>
      <c r="O1137" s="44">
        <f t="shared" si="55"/>
        <v>4.3484018264840225</v>
      </c>
      <c r="P1137">
        <f t="shared" si="54"/>
        <v>17.159999999999997</v>
      </c>
      <c r="Q1137" s="111">
        <v>6.4000000000000001E-2</v>
      </c>
      <c r="R1137">
        <v>0.17</v>
      </c>
      <c r="S1137" s="65">
        <v>22</v>
      </c>
      <c r="T1137">
        <v>30</v>
      </c>
      <c r="U1137" t="s">
        <v>72</v>
      </c>
      <c r="V1137" t="s">
        <v>1254</v>
      </c>
    </row>
    <row r="1138" spans="1:23" x14ac:dyDescent="0.2">
      <c r="A1138" s="7" t="s">
        <v>1305</v>
      </c>
      <c r="B1138" s="6" t="s">
        <v>27</v>
      </c>
      <c r="C1138" s="6" t="s">
        <v>45</v>
      </c>
      <c r="D1138" s="65" t="str">
        <f t="shared" si="53"/>
        <v>101_S_c</v>
      </c>
      <c r="E1138">
        <v>82</v>
      </c>
      <c r="F1138" t="s">
        <v>49</v>
      </c>
      <c r="G1138" t="s">
        <v>1314</v>
      </c>
      <c r="I1138">
        <v>0</v>
      </c>
      <c r="J1138" s="82">
        <v>1</v>
      </c>
      <c r="K1138" s="82">
        <v>1.1000000000000001</v>
      </c>
      <c r="L1138" s="82">
        <v>1</v>
      </c>
      <c r="M1138" s="82">
        <v>1</v>
      </c>
      <c r="N1138" s="82">
        <v>0.9</v>
      </c>
      <c r="O1138" s="44">
        <f t="shared" si="55"/>
        <v>2.4390243902439068E-3</v>
      </c>
      <c r="P1138">
        <f t="shared" si="54"/>
        <v>1</v>
      </c>
      <c r="Q1138" s="111" t="s">
        <v>57</v>
      </c>
      <c r="R1138" t="s">
        <v>57</v>
      </c>
      <c r="S1138" s="65" t="s">
        <v>57</v>
      </c>
      <c r="T1138" t="s">
        <v>57</v>
      </c>
      <c r="U1138" t="s">
        <v>57</v>
      </c>
      <c r="V1138" t="s">
        <v>1254</v>
      </c>
      <c r="W1138" t="s">
        <v>517</v>
      </c>
    </row>
    <row r="1139" spans="1:23" x14ac:dyDescent="0.2">
      <c r="A1139" s="7" t="s">
        <v>1305</v>
      </c>
      <c r="B1139" s="6" t="s">
        <v>27</v>
      </c>
      <c r="C1139" s="6" t="s">
        <v>52</v>
      </c>
      <c r="D1139" s="65" t="str">
        <f t="shared" si="53"/>
        <v>101_S_d</v>
      </c>
      <c r="E1139">
        <v>115</v>
      </c>
      <c r="F1139" t="s">
        <v>68</v>
      </c>
      <c r="G1139" t="s">
        <v>1315</v>
      </c>
      <c r="H1139" t="s">
        <v>56</v>
      </c>
      <c r="I1139">
        <v>0</v>
      </c>
      <c r="J1139" s="82">
        <v>1.1000000000000001</v>
      </c>
      <c r="K1139" s="82">
        <v>1</v>
      </c>
      <c r="L1139" s="82">
        <v>0.9</v>
      </c>
      <c r="M1139">
        <v>1</v>
      </c>
      <c r="N1139" s="82">
        <v>0.9</v>
      </c>
      <c r="O1139" s="44">
        <f t="shared" si="55"/>
        <v>6.6666666666666706E-3</v>
      </c>
      <c r="P1139">
        <f t="shared" si="54"/>
        <v>0.98000000000000009</v>
      </c>
      <c r="Q1139" s="111" t="s">
        <v>57</v>
      </c>
      <c r="R1139" t="s">
        <v>57</v>
      </c>
      <c r="S1139" s="65" t="s">
        <v>57</v>
      </c>
      <c r="T1139" t="s">
        <v>57</v>
      </c>
      <c r="V1139" t="s">
        <v>1254</v>
      </c>
    </row>
    <row r="1140" spans="1:23" x14ac:dyDescent="0.2">
      <c r="A1140" s="7" t="s">
        <v>1305</v>
      </c>
      <c r="B1140" s="6" t="s">
        <v>36</v>
      </c>
      <c r="C1140" s="6" t="s">
        <v>52</v>
      </c>
      <c r="D1140" s="65" t="str">
        <f t="shared" si="53"/>
        <v>101_O_d</v>
      </c>
      <c r="E1140">
        <v>117</v>
      </c>
      <c r="F1140" t="s">
        <v>29</v>
      </c>
      <c r="G1140" t="s">
        <v>1316</v>
      </c>
      <c r="I1140">
        <v>3.0853809389935298</v>
      </c>
      <c r="J1140" s="82">
        <v>12.7</v>
      </c>
      <c r="K1140" s="82">
        <v>9</v>
      </c>
      <c r="L1140" s="82">
        <v>19.3</v>
      </c>
      <c r="M1140">
        <v>6</v>
      </c>
      <c r="N1140" s="82">
        <v>14.2</v>
      </c>
      <c r="O1140" s="44">
        <f t="shared" si="55"/>
        <v>2.7951773049645383</v>
      </c>
      <c r="P1140">
        <f t="shared" si="54"/>
        <v>12.24</v>
      </c>
      <c r="Q1140" s="111">
        <v>0.32700000000000001</v>
      </c>
      <c r="R1140">
        <v>0.39900000000000002</v>
      </c>
      <c r="S1140" s="65">
        <v>17</v>
      </c>
      <c r="T1140">
        <v>34</v>
      </c>
      <c r="U1140" t="s">
        <v>72</v>
      </c>
      <c r="V1140" t="s">
        <v>1254</v>
      </c>
    </row>
    <row r="1141" spans="1:23" ht="16" x14ac:dyDescent="0.2">
      <c r="A1141" s="7" t="s">
        <v>1305</v>
      </c>
      <c r="B1141" s="6" t="s">
        <v>33</v>
      </c>
      <c r="C1141" s="6" t="s">
        <v>52</v>
      </c>
      <c r="D1141" s="65" t="str">
        <f t="shared" si="53"/>
        <v>101_V_d</v>
      </c>
      <c r="E1141">
        <v>135</v>
      </c>
      <c r="F1141" t="s">
        <v>29</v>
      </c>
      <c r="G1141" t="s">
        <v>1317</v>
      </c>
      <c r="I1141">
        <v>1.25494043447793</v>
      </c>
      <c r="J1141" s="82">
        <v>16.2</v>
      </c>
      <c r="K1141" s="82">
        <v>9</v>
      </c>
      <c r="L1141" s="84">
        <v>20</v>
      </c>
      <c r="M1141" s="82">
        <v>19.2</v>
      </c>
      <c r="N1141" s="82">
        <v>24.2</v>
      </c>
      <c r="O1141" s="44">
        <f t="shared" si="55"/>
        <v>1.5577639751552748</v>
      </c>
      <c r="P1141">
        <f t="shared" si="54"/>
        <v>17.720000000000002</v>
      </c>
      <c r="Q1141" s="111">
        <v>0.09</v>
      </c>
      <c r="R1141">
        <v>0.20200000000000001</v>
      </c>
      <c r="S1141" s="65">
        <v>5</v>
      </c>
      <c r="T1141">
        <v>40</v>
      </c>
      <c r="U1141" t="s">
        <v>47</v>
      </c>
      <c r="V1141" t="s">
        <v>1254</v>
      </c>
    </row>
    <row r="1142" spans="1:23" ht="16" x14ac:dyDescent="0.2">
      <c r="A1142" s="4" t="s">
        <v>1318</v>
      </c>
      <c r="B1142" s="6" t="s">
        <v>36</v>
      </c>
      <c r="C1142" s="6" t="s">
        <v>28</v>
      </c>
      <c r="D1142" s="65" t="str">
        <f t="shared" si="53"/>
        <v>102_O_a</v>
      </c>
      <c r="E1142">
        <v>4</v>
      </c>
      <c r="F1142" t="s">
        <v>29</v>
      </c>
      <c r="G1142" t="s">
        <v>1319</v>
      </c>
      <c r="I1142">
        <v>1.2565530184547999</v>
      </c>
      <c r="J1142" s="84">
        <v>1.1000000000000001</v>
      </c>
      <c r="K1142" s="82">
        <v>4.9000000000000004</v>
      </c>
      <c r="L1142" s="82">
        <v>14.8</v>
      </c>
      <c r="M1142" s="82">
        <v>17.5</v>
      </c>
      <c r="N1142" s="82">
        <v>14.3</v>
      </c>
      <c r="O1142" s="44">
        <f t="shared" si="55"/>
        <v>6.3981723237597929</v>
      </c>
      <c r="P1142">
        <f t="shared" si="54"/>
        <v>10.52</v>
      </c>
      <c r="Q1142" s="111">
        <v>6.3E-2</v>
      </c>
      <c r="R1142">
        <v>6.8000000000000005E-2</v>
      </c>
      <c r="S1142" s="65">
        <v>2</v>
      </c>
      <c r="T1142">
        <v>71</v>
      </c>
      <c r="U1142" t="s">
        <v>61</v>
      </c>
      <c r="V1142" t="s">
        <v>1254</v>
      </c>
    </row>
    <row r="1143" spans="1:23" ht="16" x14ac:dyDescent="0.2">
      <c r="A1143" s="4" t="s">
        <v>1318</v>
      </c>
      <c r="B1143" s="6" t="s">
        <v>27</v>
      </c>
      <c r="C1143" s="6" t="s">
        <v>28</v>
      </c>
      <c r="D1143" s="65" t="str">
        <f t="shared" si="53"/>
        <v>102_S_a</v>
      </c>
      <c r="E1143">
        <v>4</v>
      </c>
      <c r="F1143" t="s">
        <v>68</v>
      </c>
      <c r="G1143" t="s">
        <v>1320</v>
      </c>
      <c r="I1143">
        <v>2.25668595558336</v>
      </c>
      <c r="J1143" s="84">
        <v>31.1</v>
      </c>
      <c r="K1143" s="82">
        <v>27.9</v>
      </c>
      <c r="L1143" s="82">
        <v>37.5</v>
      </c>
      <c r="M1143" s="82">
        <v>43.5</v>
      </c>
      <c r="N1143" s="82">
        <v>54.8</v>
      </c>
      <c r="O1143" s="44">
        <f t="shared" si="55"/>
        <v>1.3725714285714274</v>
      </c>
      <c r="P1143">
        <f t="shared" si="54"/>
        <v>38.96</v>
      </c>
      <c r="Q1143" s="111">
        <v>0.193</v>
      </c>
      <c r="R1143">
        <v>0.308</v>
      </c>
      <c r="S1143" s="65">
        <v>13</v>
      </c>
      <c r="T1143">
        <v>35</v>
      </c>
      <c r="U1143" t="s">
        <v>61</v>
      </c>
      <c r="V1143" t="s">
        <v>1254</v>
      </c>
    </row>
    <row r="1144" spans="1:23" x14ac:dyDescent="0.2">
      <c r="A1144" s="57" t="s">
        <v>1318</v>
      </c>
      <c r="B1144" s="43" t="s">
        <v>33</v>
      </c>
      <c r="C1144" s="43" t="s">
        <v>28</v>
      </c>
      <c r="D1144" s="68" t="str">
        <f t="shared" si="53"/>
        <v>102_V_a</v>
      </c>
      <c r="E1144" s="43">
        <v>21</v>
      </c>
      <c r="F1144" s="43" t="s">
        <v>68</v>
      </c>
      <c r="G1144" s="43" t="s">
        <v>1321</v>
      </c>
      <c r="H1144" s="43"/>
      <c r="I1144">
        <v>1.8900352950833099</v>
      </c>
      <c r="J1144" s="82">
        <v>4.9000000000000004</v>
      </c>
      <c r="K1144" s="82">
        <v>11.3</v>
      </c>
      <c r="L1144" s="82">
        <v>21.2</v>
      </c>
      <c r="M1144" s="82">
        <v>5.5</v>
      </c>
      <c r="N1144" s="82">
        <v>2.9</v>
      </c>
      <c r="O1144" s="56">
        <f t="shared" si="55"/>
        <v>5.3236208236208178</v>
      </c>
      <c r="P1144" s="43">
        <f t="shared" si="54"/>
        <v>9.16</v>
      </c>
      <c r="Q1144" s="114">
        <v>9.0999999999999998E-2</v>
      </c>
      <c r="R1144" s="43">
        <v>0.128</v>
      </c>
      <c r="S1144" s="68">
        <v>7</v>
      </c>
      <c r="T1144" s="43">
        <v>34</v>
      </c>
      <c r="U1144" t="s">
        <v>72</v>
      </c>
      <c r="V1144" t="s">
        <v>1254</v>
      </c>
      <c r="W1144" s="43"/>
    </row>
    <row r="1145" spans="1:23" x14ac:dyDescent="0.2">
      <c r="A1145" s="4" t="s">
        <v>1318</v>
      </c>
      <c r="B1145" s="6" t="s">
        <v>27</v>
      </c>
      <c r="C1145" s="6" t="s">
        <v>38</v>
      </c>
      <c r="D1145" s="65" t="str">
        <f t="shared" si="53"/>
        <v>102_S_b</v>
      </c>
      <c r="E1145">
        <v>41</v>
      </c>
      <c r="F1145" t="s">
        <v>39</v>
      </c>
      <c r="G1145" t="s">
        <v>1322</v>
      </c>
      <c r="I1145">
        <v>4.1509293958926703</v>
      </c>
      <c r="J1145" s="82">
        <v>4.7</v>
      </c>
      <c r="K1145" s="82">
        <v>15.2</v>
      </c>
      <c r="L1145" s="82">
        <v>37.9</v>
      </c>
      <c r="M1145" s="82">
        <v>39</v>
      </c>
      <c r="N1145" s="82">
        <v>37</v>
      </c>
      <c r="O1145" s="44">
        <f t="shared" si="55"/>
        <v>11.955647382920111</v>
      </c>
      <c r="P1145">
        <f t="shared" si="54"/>
        <v>26.76</v>
      </c>
      <c r="Q1145" s="111">
        <v>0.26100000000000001</v>
      </c>
      <c r="R1145">
        <v>0.47099999999999997</v>
      </c>
      <c r="S1145" s="65">
        <v>16</v>
      </c>
      <c r="T1145">
        <v>62</v>
      </c>
      <c r="U1145" t="s">
        <v>31</v>
      </c>
      <c r="V1145" t="s">
        <v>1254</v>
      </c>
    </row>
    <row r="1146" spans="1:23" x14ac:dyDescent="0.2">
      <c r="A1146" s="4" t="s">
        <v>1318</v>
      </c>
      <c r="B1146" t="s">
        <v>33</v>
      </c>
      <c r="C1146" t="s">
        <v>38</v>
      </c>
      <c r="D1146" s="65" t="str">
        <f t="shared" si="53"/>
        <v>102_V_b</v>
      </c>
      <c r="E1146">
        <v>49</v>
      </c>
      <c r="F1146" t="s">
        <v>34</v>
      </c>
      <c r="G1146" t="s">
        <v>1323</v>
      </c>
      <c r="I1146">
        <v>4.1781376820615002</v>
      </c>
      <c r="J1146" s="82">
        <v>36.799999999999997</v>
      </c>
      <c r="K1146" s="82">
        <v>39.299999999999997</v>
      </c>
      <c r="L1146" s="82">
        <v>27.1</v>
      </c>
      <c r="M1146" s="82">
        <v>26.2</v>
      </c>
      <c r="N1146" s="82">
        <v>29.2</v>
      </c>
      <c r="O1146" s="44">
        <f t="shared" si="55"/>
        <v>1.3754765584750202</v>
      </c>
      <c r="P1146">
        <f t="shared" si="54"/>
        <v>31.719999999999992</v>
      </c>
      <c r="Q1146" s="111">
        <v>0.24099999999999999</v>
      </c>
      <c r="R1146">
        <v>0.32500000000000001</v>
      </c>
      <c r="S1146" s="65">
        <v>6</v>
      </c>
      <c r="T1146" s="43">
        <v>40</v>
      </c>
      <c r="U1146" t="s">
        <v>54</v>
      </c>
      <c r="V1146" t="s">
        <v>1254</v>
      </c>
    </row>
    <row r="1147" spans="1:23" x14ac:dyDescent="0.2">
      <c r="A1147" s="4" t="s">
        <v>1318</v>
      </c>
      <c r="B1147" s="6" t="s">
        <v>36</v>
      </c>
      <c r="C1147" s="6" t="s">
        <v>38</v>
      </c>
      <c r="D1147" s="65" t="str">
        <f t="shared" si="53"/>
        <v>102_O_b</v>
      </c>
      <c r="E1147">
        <v>65</v>
      </c>
      <c r="F1147" t="s">
        <v>68</v>
      </c>
      <c r="G1147" t="s">
        <v>1324</v>
      </c>
      <c r="I1147">
        <v>4.5725571883048</v>
      </c>
      <c r="J1147" s="82" t="s">
        <v>57</v>
      </c>
      <c r="K1147" s="82" t="s">
        <v>57</v>
      </c>
      <c r="L1147" t="s">
        <v>57</v>
      </c>
      <c r="M1147" s="82">
        <v>22.2</v>
      </c>
      <c r="N1147" s="82">
        <v>44.8</v>
      </c>
      <c r="O1147" s="44" t="s">
        <v>1325</v>
      </c>
      <c r="P1147">
        <f t="shared" si="54"/>
        <v>33.5</v>
      </c>
      <c r="Q1147" s="111">
        <v>0.35399999999999998</v>
      </c>
      <c r="R1147">
        <v>0.53900000000000003</v>
      </c>
      <c r="S1147" s="65">
        <v>3</v>
      </c>
      <c r="T1147">
        <v>77</v>
      </c>
      <c r="U1147" t="s">
        <v>31</v>
      </c>
      <c r="V1147" t="s">
        <v>1254</v>
      </c>
    </row>
    <row r="1148" spans="1:23" x14ac:dyDescent="0.2">
      <c r="A1148" s="4" t="s">
        <v>1318</v>
      </c>
      <c r="B1148" s="6" t="s">
        <v>33</v>
      </c>
      <c r="C1148" s="6" t="s">
        <v>45</v>
      </c>
      <c r="D1148" s="65" t="str">
        <f t="shared" si="53"/>
        <v>102_V_c</v>
      </c>
      <c r="E1148">
        <v>73</v>
      </c>
      <c r="F1148" t="s">
        <v>68</v>
      </c>
      <c r="G1148" t="s">
        <v>1326</v>
      </c>
      <c r="I1148">
        <v>1.13217654202951</v>
      </c>
      <c r="J1148" s="82">
        <v>23</v>
      </c>
      <c r="K1148" s="82" t="s">
        <v>57</v>
      </c>
      <c r="L1148" s="82">
        <v>8.6</v>
      </c>
      <c r="M1148" s="82">
        <v>28.4</v>
      </c>
      <c r="N1148" s="82">
        <v>37.6</v>
      </c>
      <c r="O1148" s="44">
        <f t="shared" ref="O1148:O1211" si="56">VAR(J1148:M1148)/AVERAGE(J1148:M1148)</f>
        <v>5.2379999999999995</v>
      </c>
      <c r="P1148">
        <f t="shared" si="54"/>
        <v>24.4</v>
      </c>
      <c r="Q1148" s="111">
        <v>6.6000000000000003E-2</v>
      </c>
      <c r="R1148">
        <v>0.21199999999999999</v>
      </c>
      <c r="S1148" s="65">
        <v>10</v>
      </c>
      <c r="T1148">
        <v>37</v>
      </c>
      <c r="U1148" t="s">
        <v>51</v>
      </c>
      <c r="V1148" t="s">
        <v>1254</v>
      </c>
    </row>
    <row r="1149" spans="1:23" x14ac:dyDescent="0.2">
      <c r="A1149" s="4" t="s">
        <v>1318</v>
      </c>
      <c r="B1149" s="6" t="s">
        <v>36</v>
      </c>
      <c r="C1149" s="6" t="s">
        <v>45</v>
      </c>
      <c r="D1149" s="65" t="str">
        <f t="shared" si="53"/>
        <v>102_O_c</v>
      </c>
      <c r="E1149">
        <v>96</v>
      </c>
      <c r="F1149" t="s">
        <v>41</v>
      </c>
      <c r="G1149" t="s">
        <v>1327</v>
      </c>
      <c r="I1149">
        <v>4.1226774336938803</v>
      </c>
      <c r="J1149" s="82">
        <v>67.2</v>
      </c>
      <c r="K1149" s="82">
        <v>37.6</v>
      </c>
      <c r="L1149" s="82">
        <v>35.200000000000003</v>
      </c>
      <c r="M1149">
        <v>39</v>
      </c>
      <c r="N1149" s="82">
        <v>36.6</v>
      </c>
      <c r="O1149" s="44">
        <f t="shared" si="56"/>
        <v>5.0606331471135899</v>
      </c>
      <c r="P1149">
        <f t="shared" si="54"/>
        <v>43.12</v>
      </c>
      <c r="Q1149" s="111">
        <v>0.25700000000000001</v>
      </c>
      <c r="R1149">
        <v>0.47899999999999998</v>
      </c>
      <c r="S1149" s="65">
        <v>17</v>
      </c>
      <c r="T1149">
        <v>44</v>
      </c>
      <c r="U1149" t="s">
        <v>47</v>
      </c>
      <c r="V1149" t="s">
        <v>1254</v>
      </c>
    </row>
    <row r="1150" spans="1:23" x14ac:dyDescent="0.2">
      <c r="A1150" s="4" t="s">
        <v>1318</v>
      </c>
      <c r="B1150" s="6" t="s">
        <v>27</v>
      </c>
      <c r="C1150" s="6" t="s">
        <v>45</v>
      </c>
      <c r="D1150" s="65" t="str">
        <f t="shared" si="53"/>
        <v>102_S_c</v>
      </c>
      <c r="E1150">
        <v>102</v>
      </c>
      <c r="F1150" t="s">
        <v>82</v>
      </c>
      <c r="G1150" t="s">
        <v>1328</v>
      </c>
      <c r="H1150" t="s">
        <v>56</v>
      </c>
      <c r="I1150">
        <v>0</v>
      </c>
      <c r="J1150" s="82">
        <v>1</v>
      </c>
      <c r="K1150" s="82">
        <v>1</v>
      </c>
      <c r="L1150" s="82">
        <v>0.9</v>
      </c>
      <c r="M1150">
        <v>1</v>
      </c>
      <c r="N1150" s="82">
        <v>1</v>
      </c>
      <c r="O1150" s="44">
        <f t="shared" si="56"/>
        <v>2.5641025641025632E-3</v>
      </c>
      <c r="P1150">
        <f t="shared" si="54"/>
        <v>0.98000000000000009</v>
      </c>
      <c r="Q1150" s="111" t="s">
        <v>57</v>
      </c>
      <c r="R1150" t="s">
        <v>57</v>
      </c>
      <c r="S1150" s="65" t="s">
        <v>57</v>
      </c>
      <c r="T1150" t="s">
        <v>57</v>
      </c>
      <c r="U1150" t="s">
        <v>57</v>
      </c>
      <c r="V1150" t="s">
        <v>1254</v>
      </c>
      <c r="W1150" t="s">
        <v>67</v>
      </c>
    </row>
    <row r="1151" spans="1:23" x14ac:dyDescent="0.2">
      <c r="A1151" s="4" t="s">
        <v>1318</v>
      </c>
      <c r="B1151" s="6" t="s">
        <v>36</v>
      </c>
      <c r="C1151" s="6" t="s">
        <v>52</v>
      </c>
      <c r="D1151" s="65" t="str">
        <f t="shared" si="53"/>
        <v>102_O_d</v>
      </c>
      <c r="E1151">
        <v>110</v>
      </c>
      <c r="F1151" t="s">
        <v>70</v>
      </c>
      <c r="G1151" t="s">
        <v>1329</v>
      </c>
      <c r="I1151">
        <v>2.0320787160871201</v>
      </c>
      <c r="J1151" s="82">
        <v>15.4</v>
      </c>
      <c r="K1151" s="82">
        <v>25.4</v>
      </c>
      <c r="L1151" s="82">
        <v>7.4</v>
      </c>
      <c r="M1151">
        <v>14.5</v>
      </c>
      <c r="N1151" s="82">
        <v>32</v>
      </c>
      <c r="O1151" s="44">
        <f t="shared" si="56"/>
        <v>3.4982987772461467</v>
      </c>
      <c r="P1151">
        <f t="shared" si="54"/>
        <v>18.939999999999998</v>
      </c>
      <c r="Q1151" s="111">
        <v>0.104</v>
      </c>
      <c r="R1151">
        <v>0.23300000000000001</v>
      </c>
      <c r="S1151" s="65">
        <v>10</v>
      </c>
      <c r="T1151">
        <v>11</v>
      </c>
      <c r="U1151" t="s">
        <v>31</v>
      </c>
      <c r="V1151" t="s">
        <v>1254</v>
      </c>
    </row>
    <row r="1152" spans="1:23" x14ac:dyDescent="0.2">
      <c r="A1152" s="4" t="s">
        <v>1318</v>
      </c>
      <c r="B1152" s="6" t="s">
        <v>27</v>
      </c>
      <c r="C1152" s="6" t="s">
        <v>52</v>
      </c>
      <c r="D1152" s="65" t="str">
        <f t="shared" si="53"/>
        <v>102_S_d</v>
      </c>
      <c r="E1152">
        <v>117</v>
      </c>
      <c r="F1152" t="s">
        <v>82</v>
      </c>
      <c r="G1152" t="s">
        <v>1330</v>
      </c>
      <c r="H1152" t="s">
        <v>56</v>
      </c>
      <c r="I1152">
        <v>0</v>
      </c>
      <c r="J1152" s="82">
        <v>1.1000000000000001</v>
      </c>
      <c r="K1152" s="82">
        <v>1</v>
      </c>
      <c r="L1152" s="82">
        <v>1</v>
      </c>
      <c r="M1152">
        <v>1</v>
      </c>
      <c r="N1152" s="82">
        <v>1</v>
      </c>
      <c r="O1152" s="44">
        <f t="shared" si="56"/>
        <v>2.4390243902439068E-3</v>
      </c>
      <c r="P1152">
        <f t="shared" si="54"/>
        <v>1.02</v>
      </c>
      <c r="Q1152" s="111" t="s">
        <v>57</v>
      </c>
      <c r="R1152" t="s">
        <v>57</v>
      </c>
      <c r="S1152" s="65" t="s">
        <v>57</v>
      </c>
      <c r="T1152" t="s">
        <v>57</v>
      </c>
      <c r="V1152" t="s">
        <v>1254</v>
      </c>
    </row>
    <row r="1153" spans="1:23" ht="16" x14ac:dyDescent="0.2">
      <c r="A1153" s="4" t="s">
        <v>1318</v>
      </c>
      <c r="B1153" s="6" t="s">
        <v>33</v>
      </c>
      <c r="C1153" s="6" t="s">
        <v>52</v>
      </c>
      <c r="D1153" s="65" t="str">
        <f t="shared" si="53"/>
        <v>102_V_d</v>
      </c>
      <c r="E1153">
        <v>128</v>
      </c>
      <c r="F1153" t="s">
        <v>29</v>
      </c>
      <c r="G1153" t="s">
        <v>1331</v>
      </c>
      <c r="I1153">
        <v>4.2435719140482</v>
      </c>
      <c r="J1153" s="82">
        <v>39.4</v>
      </c>
      <c r="K1153" s="82">
        <v>38.200000000000003</v>
      </c>
      <c r="L1153" s="84">
        <v>5.6</v>
      </c>
      <c r="M1153">
        <v>24.6</v>
      </c>
      <c r="N1153" s="82">
        <v>46.1</v>
      </c>
      <c r="O1153" s="44">
        <f t="shared" si="56"/>
        <v>9.1887445887446102</v>
      </c>
      <c r="P1153">
        <f t="shared" si="54"/>
        <v>30.779999999999994</v>
      </c>
      <c r="Q1153" s="111">
        <v>0.33700000000000002</v>
      </c>
      <c r="R1153">
        <v>0.376</v>
      </c>
      <c r="S1153" s="65">
        <v>14</v>
      </c>
      <c r="T1153">
        <v>39</v>
      </c>
      <c r="U1153" t="s">
        <v>54</v>
      </c>
      <c r="V1153" t="s">
        <v>1254</v>
      </c>
    </row>
    <row r="1154" spans="1:23" ht="16" x14ac:dyDescent="0.2">
      <c r="A1154" s="1" t="s">
        <v>1332</v>
      </c>
      <c r="B1154" t="s">
        <v>27</v>
      </c>
      <c r="C1154" t="s">
        <v>28</v>
      </c>
      <c r="D1154" s="65" t="str">
        <f t="shared" ref="D1154:D1217" si="57">A1154&amp;"_"&amp;B1154&amp;"_"&amp;C1154</f>
        <v>103_S_a</v>
      </c>
      <c r="E1154">
        <v>11</v>
      </c>
      <c r="F1154" t="s">
        <v>43</v>
      </c>
      <c r="G1154" t="s">
        <v>1333</v>
      </c>
      <c r="I1154">
        <v>4.2265560165975096</v>
      </c>
      <c r="J1154" s="84">
        <v>39</v>
      </c>
      <c r="K1154" s="82">
        <v>35.9</v>
      </c>
      <c r="L1154" s="82">
        <v>37.299999999999997</v>
      </c>
      <c r="M1154" s="82">
        <v>16.899999999999999</v>
      </c>
      <c r="N1154" s="82">
        <v>41.2</v>
      </c>
      <c r="O1154" s="44">
        <f t="shared" si="56"/>
        <v>3.3050090369222795</v>
      </c>
      <c r="P1154">
        <f t="shared" ref="P1154:P1217" si="58">AVERAGE(J1154:N1154)</f>
        <v>34.06</v>
      </c>
      <c r="Q1154" s="111">
        <v>0.55700000000000005</v>
      </c>
      <c r="R1154">
        <v>0.441</v>
      </c>
      <c r="S1154" s="65">
        <v>17</v>
      </c>
      <c r="T1154" s="47">
        <v>16</v>
      </c>
      <c r="U1154" s="47" t="s">
        <v>54</v>
      </c>
      <c r="V1154" t="s">
        <v>1254</v>
      </c>
    </row>
    <row r="1155" spans="1:23" ht="16" x14ac:dyDescent="0.2">
      <c r="A1155" s="7" t="s">
        <v>1332</v>
      </c>
      <c r="B1155" s="6" t="s">
        <v>36</v>
      </c>
      <c r="C1155" s="6" t="s">
        <v>28</v>
      </c>
      <c r="D1155" s="65" t="str">
        <f t="shared" si="57"/>
        <v>103_O_a</v>
      </c>
      <c r="E1155">
        <v>16</v>
      </c>
      <c r="F1155" t="s">
        <v>63</v>
      </c>
      <c r="G1155" t="s">
        <v>1334</v>
      </c>
      <c r="I1155">
        <v>1.2139900580765799</v>
      </c>
      <c r="J1155" s="84">
        <v>31.5</v>
      </c>
      <c r="K1155" s="82">
        <v>8</v>
      </c>
      <c r="L1155" s="82">
        <v>25.5</v>
      </c>
      <c r="M1155" s="82">
        <v>28.5</v>
      </c>
      <c r="N1155" s="82">
        <v>33.299999999999997</v>
      </c>
      <c r="O1155" s="44">
        <f t="shared" si="56"/>
        <v>4.7513368983957216</v>
      </c>
      <c r="P1155">
        <f t="shared" si="58"/>
        <v>25.36</v>
      </c>
      <c r="Q1155" s="111">
        <v>6.6000000000000003E-2</v>
      </c>
      <c r="R1155">
        <v>0.14899999999999999</v>
      </c>
      <c r="S1155" s="65">
        <v>8</v>
      </c>
      <c r="T1155">
        <v>6</v>
      </c>
      <c r="U1155" s="47" t="s">
        <v>31</v>
      </c>
      <c r="V1155" t="s">
        <v>1254</v>
      </c>
    </row>
    <row r="1156" spans="1:23" x14ac:dyDescent="0.2">
      <c r="A1156" s="3" t="s">
        <v>1332</v>
      </c>
      <c r="B1156" t="s">
        <v>33</v>
      </c>
      <c r="C1156" t="s">
        <v>28</v>
      </c>
      <c r="D1156" s="65" t="str">
        <f t="shared" si="57"/>
        <v>103_V_a</v>
      </c>
      <c r="E1156">
        <v>32</v>
      </c>
      <c r="F1156" t="s">
        <v>34</v>
      </c>
      <c r="G1156" t="s">
        <v>1335</v>
      </c>
      <c r="I1156">
        <v>0.67414816330707095</v>
      </c>
      <c r="J1156" s="82">
        <v>5.4</v>
      </c>
      <c r="K1156" s="82">
        <v>1.8</v>
      </c>
      <c r="L1156" s="82">
        <v>8.8000000000000007</v>
      </c>
      <c r="M1156" s="82">
        <v>20.2</v>
      </c>
      <c r="N1156" s="82">
        <v>4.5999999999999996</v>
      </c>
      <c r="O1156" s="44">
        <f t="shared" si="56"/>
        <v>7.0081031307550612</v>
      </c>
      <c r="P1156">
        <f t="shared" si="58"/>
        <v>8.16</v>
      </c>
      <c r="Q1156" s="111">
        <v>4.1000000000000002E-2</v>
      </c>
      <c r="R1156">
        <v>0.08</v>
      </c>
      <c r="S1156" s="65">
        <v>6</v>
      </c>
      <c r="T1156">
        <v>14</v>
      </c>
      <c r="U1156" t="s">
        <v>31</v>
      </c>
      <c r="V1156" t="s">
        <v>1254</v>
      </c>
    </row>
    <row r="1157" spans="1:23" x14ac:dyDescent="0.2">
      <c r="A1157" s="7" t="s">
        <v>1332</v>
      </c>
      <c r="B1157" s="6" t="s">
        <v>27</v>
      </c>
      <c r="C1157" s="6" t="s">
        <v>38</v>
      </c>
      <c r="D1157" s="65" t="str">
        <f t="shared" si="57"/>
        <v>103_S_b</v>
      </c>
      <c r="E1157">
        <v>40</v>
      </c>
      <c r="F1157" t="s">
        <v>70</v>
      </c>
      <c r="G1157" t="s">
        <v>1336</v>
      </c>
      <c r="I1157">
        <v>2.9300827087102599</v>
      </c>
      <c r="J1157" s="82">
        <v>27.3</v>
      </c>
      <c r="K1157" s="82">
        <v>29.7</v>
      </c>
      <c r="L1157" s="82">
        <v>33.6</v>
      </c>
      <c r="M1157" s="82">
        <v>28.3</v>
      </c>
      <c r="N1157" s="82">
        <v>39.9</v>
      </c>
      <c r="O1157" s="44">
        <f t="shared" si="56"/>
        <v>0.25710681244743494</v>
      </c>
      <c r="P1157">
        <f t="shared" si="58"/>
        <v>31.759999999999998</v>
      </c>
      <c r="Q1157" s="111">
        <v>0.29299999999999998</v>
      </c>
      <c r="R1157">
        <v>0.45400000000000001</v>
      </c>
      <c r="S1157" s="65">
        <v>25</v>
      </c>
      <c r="T1157">
        <v>37</v>
      </c>
      <c r="U1157" t="s">
        <v>31</v>
      </c>
      <c r="V1157" t="s">
        <v>1254</v>
      </c>
    </row>
    <row r="1158" spans="1:23" x14ac:dyDescent="0.2">
      <c r="A1158" s="3" t="s">
        <v>1332</v>
      </c>
      <c r="B1158" t="s">
        <v>33</v>
      </c>
      <c r="C1158" t="s">
        <v>38</v>
      </c>
      <c r="D1158" s="65" t="str">
        <f t="shared" si="57"/>
        <v>103_V_b</v>
      </c>
      <c r="E1158">
        <v>48</v>
      </c>
      <c r="F1158" t="s">
        <v>49</v>
      </c>
      <c r="G1158" t="s">
        <v>1337</v>
      </c>
      <c r="I1158">
        <v>0.309701645039338</v>
      </c>
      <c r="J1158" s="82">
        <v>2.8</v>
      </c>
      <c r="K1158" s="82">
        <v>3.6</v>
      </c>
      <c r="L1158" s="82">
        <v>5.2</v>
      </c>
      <c r="M1158" s="82">
        <v>21</v>
      </c>
      <c r="N1158" s="82">
        <v>8.5</v>
      </c>
      <c r="O1158" s="44">
        <f t="shared" si="56"/>
        <v>9.1267893660531705</v>
      </c>
      <c r="P1158">
        <f t="shared" si="58"/>
        <v>8.2200000000000006</v>
      </c>
      <c r="Q1158" s="111">
        <v>8.0000000000000002E-3</v>
      </c>
      <c r="R1158">
        <v>0.13200000000000001</v>
      </c>
      <c r="S1158" s="65">
        <v>4</v>
      </c>
      <c r="T1158" s="43">
        <v>4</v>
      </c>
      <c r="U1158" t="s">
        <v>31</v>
      </c>
      <c r="V1158" t="s">
        <v>1254</v>
      </c>
    </row>
    <row r="1159" spans="1:23" x14ac:dyDescent="0.2">
      <c r="A1159" s="7" t="s">
        <v>1332</v>
      </c>
      <c r="B1159" s="6" t="s">
        <v>36</v>
      </c>
      <c r="C1159" s="6" t="s">
        <v>38</v>
      </c>
      <c r="D1159" s="65" t="str">
        <f t="shared" si="57"/>
        <v>103_O_b</v>
      </c>
      <c r="E1159">
        <v>71</v>
      </c>
      <c r="F1159" t="s">
        <v>43</v>
      </c>
      <c r="G1159" t="s">
        <v>1338</v>
      </c>
      <c r="I1159">
        <v>1.7074593721611</v>
      </c>
      <c r="J1159" s="82">
        <v>31.9</v>
      </c>
      <c r="K1159" s="82">
        <v>16.600000000000001</v>
      </c>
      <c r="L1159" s="82">
        <v>35</v>
      </c>
      <c r="M1159" s="82">
        <v>30.7</v>
      </c>
      <c r="N1159" s="82">
        <v>45</v>
      </c>
      <c r="O1159" s="44">
        <f t="shared" si="56"/>
        <v>2.3380035026269645</v>
      </c>
      <c r="P1159">
        <f t="shared" si="58"/>
        <v>31.839999999999996</v>
      </c>
      <c r="Q1159" s="111">
        <v>0.127</v>
      </c>
      <c r="R1159">
        <v>0.28599999999999998</v>
      </c>
      <c r="S1159" s="65">
        <v>4</v>
      </c>
      <c r="T1159">
        <v>3</v>
      </c>
      <c r="U1159" t="s">
        <v>31</v>
      </c>
      <c r="V1159" t="s">
        <v>1254</v>
      </c>
    </row>
    <row r="1160" spans="1:23" x14ac:dyDescent="0.2">
      <c r="A1160" s="7" t="s">
        <v>1332</v>
      </c>
      <c r="B1160" s="6" t="s">
        <v>27</v>
      </c>
      <c r="C1160" s="6" t="s">
        <v>45</v>
      </c>
      <c r="D1160" s="65" t="str">
        <f t="shared" si="57"/>
        <v>103_S_c</v>
      </c>
      <c r="E1160">
        <v>80</v>
      </c>
      <c r="F1160" t="s">
        <v>68</v>
      </c>
      <c r="G1160" t="s">
        <v>1339</v>
      </c>
      <c r="H1160" t="s">
        <v>56</v>
      </c>
      <c r="I1160">
        <v>0</v>
      </c>
      <c r="J1160" s="82">
        <v>1</v>
      </c>
      <c r="K1160" s="82">
        <v>1</v>
      </c>
      <c r="L1160" s="82">
        <v>1</v>
      </c>
      <c r="M1160" s="82">
        <v>1</v>
      </c>
      <c r="N1160" s="82">
        <v>1</v>
      </c>
      <c r="O1160" s="44">
        <f t="shared" si="56"/>
        <v>0</v>
      </c>
      <c r="P1160">
        <f t="shared" si="58"/>
        <v>1</v>
      </c>
      <c r="Q1160" s="111" t="s">
        <v>57</v>
      </c>
      <c r="R1160" s="6" t="s">
        <v>57</v>
      </c>
      <c r="S1160" s="65" t="s">
        <v>57</v>
      </c>
      <c r="T1160" s="6" t="s">
        <v>57</v>
      </c>
      <c r="V1160" t="s">
        <v>1254</v>
      </c>
    </row>
    <row r="1161" spans="1:23" x14ac:dyDescent="0.2">
      <c r="A1161" s="7" t="s">
        <v>1332</v>
      </c>
      <c r="B1161" s="6" t="s">
        <v>33</v>
      </c>
      <c r="C1161" s="6" t="s">
        <v>45</v>
      </c>
      <c r="D1161" s="65" t="str">
        <f t="shared" si="57"/>
        <v>103_V_c</v>
      </c>
      <c r="E1161">
        <v>92</v>
      </c>
      <c r="F1161" t="s">
        <v>41</v>
      </c>
      <c r="G1161" t="s">
        <v>1340</v>
      </c>
      <c r="I1161">
        <v>0.61043911137528795</v>
      </c>
      <c r="J1161" s="82">
        <v>5.7</v>
      </c>
      <c r="K1161" s="82">
        <v>12.7</v>
      </c>
      <c r="L1161" s="82">
        <v>16.399999999999999</v>
      </c>
      <c r="M1161">
        <v>20.5</v>
      </c>
      <c r="N1161" s="82">
        <v>17.7</v>
      </c>
      <c r="O1161" s="44">
        <f t="shared" si="56"/>
        <v>2.8563592525617865</v>
      </c>
      <c r="P1161">
        <f t="shared" si="58"/>
        <v>14.6</v>
      </c>
      <c r="Q1161" s="111">
        <v>3.4000000000000002E-2</v>
      </c>
      <c r="R1161">
        <v>0.123</v>
      </c>
      <c r="S1161" s="65">
        <v>2</v>
      </c>
      <c r="T1161">
        <v>23</v>
      </c>
      <c r="U1161" t="s">
        <v>54</v>
      </c>
      <c r="V1161" t="s">
        <v>1254</v>
      </c>
    </row>
    <row r="1162" spans="1:23" x14ac:dyDescent="0.2">
      <c r="A1162" s="7" t="s">
        <v>1332</v>
      </c>
      <c r="B1162" s="6" t="s">
        <v>36</v>
      </c>
      <c r="C1162" s="6" t="s">
        <v>45</v>
      </c>
      <c r="D1162" s="65" t="str">
        <f t="shared" si="57"/>
        <v>103_O_c</v>
      </c>
      <c r="E1162">
        <v>98</v>
      </c>
      <c r="F1162" t="s">
        <v>63</v>
      </c>
      <c r="G1162" t="s">
        <v>1341</v>
      </c>
      <c r="I1162">
        <v>0.434182626961572</v>
      </c>
      <c r="J1162" s="82">
        <v>16.5</v>
      </c>
      <c r="K1162" s="82">
        <v>3.8</v>
      </c>
      <c r="L1162" s="82">
        <v>26.6</v>
      </c>
      <c r="M1162">
        <v>14.1</v>
      </c>
      <c r="N1162" s="82">
        <v>27</v>
      </c>
      <c r="O1162" s="44">
        <f t="shared" si="56"/>
        <v>5.7444808743169329</v>
      </c>
      <c r="P1162">
        <f t="shared" si="58"/>
        <v>17.600000000000001</v>
      </c>
      <c r="Q1162" s="111">
        <v>7.5999999999999998E-2</v>
      </c>
      <c r="R1162">
        <v>0.16800000000000001</v>
      </c>
      <c r="S1162" s="65">
        <v>9</v>
      </c>
      <c r="T1162">
        <v>14</v>
      </c>
      <c r="U1162" t="s">
        <v>31</v>
      </c>
      <c r="V1162" t="s">
        <v>1254</v>
      </c>
    </row>
    <row r="1163" spans="1:23" x14ac:dyDescent="0.2">
      <c r="A1163" s="7" t="s">
        <v>1332</v>
      </c>
      <c r="B1163" s="6" t="s">
        <v>27</v>
      </c>
      <c r="C1163" s="6" t="s">
        <v>52</v>
      </c>
      <c r="D1163" s="65" t="str">
        <f t="shared" si="57"/>
        <v>103_S_d</v>
      </c>
      <c r="E1163">
        <v>111</v>
      </c>
      <c r="F1163" t="s">
        <v>34</v>
      </c>
      <c r="G1163" t="s">
        <v>1342</v>
      </c>
      <c r="H1163" t="s">
        <v>56</v>
      </c>
      <c r="I1163">
        <v>0</v>
      </c>
      <c r="J1163" s="82">
        <v>1.1000000000000001</v>
      </c>
      <c r="K1163" s="82">
        <v>1</v>
      </c>
      <c r="L1163" s="82">
        <v>1</v>
      </c>
      <c r="M1163">
        <v>1</v>
      </c>
      <c r="N1163" s="82">
        <v>1</v>
      </c>
      <c r="O1163" s="44">
        <f t="shared" si="56"/>
        <v>2.4390243902439068E-3</v>
      </c>
      <c r="P1163">
        <f t="shared" si="58"/>
        <v>1.02</v>
      </c>
      <c r="R1163" t="s">
        <v>57</v>
      </c>
      <c r="S1163" s="65" t="s">
        <v>57</v>
      </c>
      <c r="T1163" t="s">
        <v>57</v>
      </c>
      <c r="U1163" t="s">
        <v>57</v>
      </c>
      <c r="V1163" t="s">
        <v>1254</v>
      </c>
      <c r="W1163" t="s">
        <v>67</v>
      </c>
    </row>
    <row r="1164" spans="1:23" x14ac:dyDescent="0.2">
      <c r="A1164" s="7" t="s">
        <v>1332</v>
      </c>
      <c r="B1164" s="6" t="s">
        <v>33</v>
      </c>
      <c r="C1164" s="6" t="s">
        <v>52</v>
      </c>
      <c r="D1164" s="65" t="str">
        <f t="shared" si="57"/>
        <v>103_V_d</v>
      </c>
      <c r="E1164">
        <v>112</v>
      </c>
      <c r="F1164" t="s">
        <v>82</v>
      </c>
      <c r="G1164" t="s">
        <v>1343</v>
      </c>
      <c r="I1164">
        <v>0.28219951078927602</v>
      </c>
      <c r="J1164" s="82">
        <v>2.2999999999999998</v>
      </c>
      <c r="K1164" s="82">
        <v>10.5</v>
      </c>
      <c r="L1164" s="82">
        <v>27</v>
      </c>
      <c r="M1164">
        <v>20.6</v>
      </c>
      <c r="N1164" s="82">
        <v>33.6</v>
      </c>
      <c r="O1164" s="44">
        <f t="shared" si="56"/>
        <v>7.8777041942604891</v>
      </c>
      <c r="P1164">
        <f t="shared" si="58"/>
        <v>18.8</v>
      </c>
      <c r="Q1164" s="111">
        <v>4.4999999999999998E-2</v>
      </c>
      <c r="R1164">
        <v>9.2999999999999999E-2</v>
      </c>
      <c r="S1164" s="65">
        <v>5</v>
      </c>
      <c r="T1164">
        <v>30</v>
      </c>
      <c r="U1164" t="s">
        <v>54</v>
      </c>
      <c r="V1164" t="s">
        <v>1254</v>
      </c>
    </row>
    <row r="1165" spans="1:23" ht="16" x14ac:dyDescent="0.2">
      <c r="A1165" s="7" t="s">
        <v>1332</v>
      </c>
      <c r="B1165" s="6" t="s">
        <v>36</v>
      </c>
      <c r="C1165" s="6" t="s">
        <v>52</v>
      </c>
      <c r="D1165" s="65" t="str">
        <f t="shared" si="57"/>
        <v>103_O_d</v>
      </c>
      <c r="E1165">
        <v>142</v>
      </c>
      <c r="F1165" t="s">
        <v>82</v>
      </c>
      <c r="G1165" t="s">
        <v>1344</v>
      </c>
      <c r="I1165">
        <v>2.43258285166208</v>
      </c>
      <c r="J1165" s="82">
        <v>31.4</v>
      </c>
      <c r="K1165" s="82">
        <v>30.9</v>
      </c>
      <c r="L1165" s="84">
        <v>25.3</v>
      </c>
      <c r="M1165" s="82">
        <v>9.1</v>
      </c>
      <c r="N1165" s="82">
        <v>29.5</v>
      </c>
      <c r="O1165" s="44">
        <f t="shared" si="56"/>
        <v>4.4942778352292407</v>
      </c>
      <c r="P1165">
        <f t="shared" si="58"/>
        <v>25.24</v>
      </c>
      <c r="Q1165" s="111">
        <v>0.34499999999999997</v>
      </c>
      <c r="R1165">
        <v>0.54600000000000004</v>
      </c>
      <c r="S1165" s="65">
        <v>16</v>
      </c>
      <c r="T1165">
        <v>54</v>
      </c>
      <c r="U1165" t="s">
        <v>51</v>
      </c>
      <c r="V1165" t="s">
        <v>1254</v>
      </c>
    </row>
    <row r="1166" spans="1:23" ht="16" x14ac:dyDescent="0.2">
      <c r="A1166" s="4" t="s">
        <v>1345</v>
      </c>
      <c r="B1166" s="6" t="s">
        <v>27</v>
      </c>
      <c r="C1166" s="6" t="s">
        <v>28</v>
      </c>
      <c r="D1166" s="65" t="str">
        <f t="shared" si="57"/>
        <v>104_S_a</v>
      </c>
      <c r="E1166">
        <v>3</v>
      </c>
      <c r="F1166" t="s">
        <v>49</v>
      </c>
      <c r="G1166" t="s">
        <v>1346</v>
      </c>
      <c r="I1166">
        <v>6.1657537417065296</v>
      </c>
      <c r="J1166" s="84">
        <v>32.6</v>
      </c>
      <c r="K1166" s="82">
        <v>25.4</v>
      </c>
      <c r="L1166" s="82">
        <v>25.5</v>
      </c>
      <c r="M1166" s="82">
        <v>44.7</v>
      </c>
      <c r="N1166" s="82">
        <v>42.8</v>
      </c>
      <c r="O1166" s="44">
        <f t="shared" si="56"/>
        <v>2.5735829433177404</v>
      </c>
      <c r="P1166">
        <f t="shared" si="58"/>
        <v>34.200000000000003</v>
      </c>
      <c r="Q1166" s="111">
        <v>0.57799999999999996</v>
      </c>
      <c r="R1166">
        <v>0.63700000000000001</v>
      </c>
      <c r="S1166" s="65">
        <v>10</v>
      </c>
      <c r="T1166">
        <v>44</v>
      </c>
      <c r="U1166" t="s">
        <v>260</v>
      </c>
      <c r="V1166" t="s">
        <v>1254</v>
      </c>
    </row>
    <row r="1167" spans="1:23" ht="16" x14ac:dyDescent="0.2">
      <c r="A1167" s="4" t="s">
        <v>1345</v>
      </c>
      <c r="B1167" t="s">
        <v>33</v>
      </c>
      <c r="C1167" t="s">
        <v>28</v>
      </c>
      <c r="D1167" s="65" t="str">
        <f t="shared" si="57"/>
        <v>104_V_a</v>
      </c>
      <c r="E1167">
        <v>5</v>
      </c>
      <c r="F1167" t="s">
        <v>63</v>
      </c>
      <c r="G1167" t="s">
        <v>1347</v>
      </c>
      <c r="I1167">
        <v>1.2924415551944</v>
      </c>
      <c r="J1167" s="84">
        <v>39.5</v>
      </c>
      <c r="K1167" s="82">
        <v>38.1</v>
      </c>
      <c r="L1167" s="82">
        <v>4.0999999999999996</v>
      </c>
      <c r="M1167" s="82">
        <v>4.3</v>
      </c>
      <c r="N1167" s="82">
        <v>35.200000000000003</v>
      </c>
      <c r="O1167" s="44">
        <f t="shared" si="56"/>
        <v>18.576124031007762</v>
      </c>
      <c r="P1167">
        <f t="shared" si="58"/>
        <v>24.24</v>
      </c>
      <c r="Q1167" s="111">
        <v>0.11600000000000001</v>
      </c>
      <c r="R1167">
        <v>0.26500000000000001</v>
      </c>
      <c r="S1167" s="65">
        <v>7</v>
      </c>
      <c r="T1167">
        <v>3</v>
      </c>
      <c r="U1167" t="s">
        <v>31</v>
      </c>
      <c r="V1167" t="s">
        <v>1254</v>
      </c>
    </row>
    <row r="1168" spans="1:23" x14ac:dyDescent="0.2">
      <c r="A1168" s="4" t="s">
        <v>1345</v>
      </c>
      <c r="B1168" s="6" t="s">
        <v>36</v>
      </c>
      <c r="C1168" s="6" t="s">
        <v>28</v>
      </c>
      <c r="D1168" s="65" t="str">
        <f t="shared" si="57"/>
        <v>104_O_a</v>
      </c>
      <c r="E1168">
        <v>27</v>
      </c>
      <c r="F1168" t="s">
        <v>49</v>
      </c>
      <c r="G1168" t="s">
        <v>1348</v>
      </c>
      <c r="I1168">
        <v>4.3311453520976304</v>
      </c>
      <c r="J1168" s="82">
        <v>18.8</v>
      </c>
      <c r="K1168" t="s">
        <v>57</v>
      </c>
      <c r="L1168" s="82">
        <v>36.200000000000003</v>
      </c>
      <c r="M1168" s="82">
        <v>45.2</v>
      </c>
      <c r="N1168" s="82">
        <v>52.7</v>
      </c>
      <c r="O1168" s="44">
        <f t="shared" si="56"/>
        <v>5.3928143712574892</v>
      </c>
      <c r="P1168">
        <f t="shared" si="58"/>
        <v>38.225000000000001</v>
      </c>
      <c r="Q1168" s="111">
        <v>0.28999999999999998</v>
      </c>
      <c r="R1168">
        <v>0.39900000000000002</v>
      </c>
      <c r="S1168" s="65">
        <v>17</v>
      </c>
      <c r="T1168">
        <v>13</v>
      </c>
      <c r="U1168" t="s">
        <v>31</v>
      </c>
      <c r="V1168" t="s">
        <v>1254</v>
      </c>
    </row>
    <row r="1169" spans="1:23" x14ac:dyDescent="0.2">
      <c r="A1169" s="4" t="s">
        <v>1345</v>
      </c>
      <c r="B1169" s="6" t="s">
        <v>36</v>
      </c>
      <c r="C1169" s="6" t="s">
        <v>38</v>
      </c>
      <c r="D1169" s="65" t="str">
        <f t="shared" si="57"/>
        <v>104_O_b</v>
      </c>
      <c r="E1169">
        <v>37</v>
      </c>
      <c r="F1169" t="s">
        <v>43</v>
      </c>
      <c r="G1169" t="s">
        <v>1349</v>
      </c>
      <c r="I1169">
        <v>4.4538243922883503</v>
      </c>
      <c r="J1169" s="82">
        <v>34.4</v>
      </c>
      <c r="K1169" s="82">
        <v>43</v>
      </c>
      <c r="L1169" s="82">
        <v>40.1</v>
      </c>
      <c r="M1169" s="82">
        <v>49.6</v>
      </c>
      <c r="N1169" s="82">
        <v>36.700000000000003</v>
      </c>
      <c r="O1169" s="44">
        <f t="shared" si="56"/>
        <v>0.95693197686016906</v>
      </c>
      <c r="P1169">
        <f t="shared" si="58"/>
        <v>40.760000000000005</v>
      </c>
      <c r="Q1169" s="111">
        <v>0.31</v>
      </c>
      <c r="R1169">
        <v>0.628</v>
      </c>
      <c r="S1169" s="65">
        <v>18</v>
      </c>
      <c r="T1169">
        <v>40</v>
      </c>
      <c r="U1169" t="s">
        <v>31</v>
      </c>
      <c r="V1169" t="s">
        <v>1254</v>
      </c>
    </row>
    <row r="1170" spans="1:23" x14ac:dyDescent="0.2">
      <c r="A1170" s="4" t="s">
        <v>1345</v>
      </c>
      <c r="B1170" t="s">
        <v>33</v>
      </c>
      <c r="C1170" t="s">
        <v>38</v>
      </c>
      <c r="D1170" s="65" t="str">
        <f t="shared" si="57"/>
        <v>104_V_b</v>
      </c>
      <c r="E1170">
        <v>63</v>
      </c>
      <c r="F1170" t="s">
        <v>63</v>
      </c>
      <c r="G1170" t="s">
        <v>1350</v>
      </c>
      <c r="I1170">
        <v>2.4762391108441002</v>
      </c>
      <c r="J1170" s="82">
        <v>11.9</v>
      </c>
      <c r="K1170" s="82">
        <v>19.3</v>
      </c>
      <c r="L1170" s="81">
        <v>1.2</v>
      </c>
      <c r="M1170" s="82">
        <v>3.9</v>
      </c>
      <c r="N1170" s="82">
        <v>16.3</v>
      </c>
      <c r="O1170" s="44">
        <f t="shared" si="56"/>
        <v>7.394949494949496</v>
      </c>
      <c r="P1170">
        <f t="shared" si="58"/>
        <v>10.520000000000001</v>
      </c>
      <c r="Q1170" s="111">
        <v>0.34899999999999998</v>
      </c>
      <c r="R1170">
        <v>0.39700000000000002</v>
      </c>
      <c r="S1170" s="65">
        <v>9</v>
      </c>
      <c r="T1170">
        <v>13</v>
      </c>
      <c r="U1170" t="s">
        <v>31</v>
      </c>
      <c r="V1170" t="s">
        <v>1254</v>
      </c>
    </row>
    <row r="1171" spans="1:23" x14ac:dyDescent="0.2">
      <c r="A1171" s="4" t="s">
        <v>1345</v>
      </c>
      <c r="B1171" s="6" t="s">
        <v>27</v>
      </c>
      <c r="C1171" s="6" t="s">
        <v>38</v>
      </c>
      <c r="D1171" s="65" t="str">
        <f t="shared" si="57"/>
        <v>104_S_b</v>
      </c>
      <c r="E1171">
        <v>63</v>
      </c>
      <c r="F1171" t="s">
        <v>68</v>
      </c>
      <c r="G1171" t="s">
        <v>1351</v>
      </c>
      <c r="I1171">
        <v>3.7312105737458698</v>
      </c>
      <c r="J1171" s="82">
        <v>35.1</v>
      </c>
      <c r="K1171" s="82">
        <v>13.9</v>
      </c>
      <c r="L1171" s="82">
        <v>26.9</v>
      </c>
      <c r="M1171" s="82">
        <v>22</v>
      </c>
      <c r="N1171" s="82">
        <v>49.6</v>
      </c>
      <c r="O1171" s="44">
        <f t="shared" si="56"/>
        <v>3.2240721824991421</v>
      </c>
      <c r="P1171">
        <f t="shared" si="58"/>
        <v>29.5</v>
      </c>
      <c r="Q1171" s="111">
        <v>0.17299999999999999</v>
      </c>
      <c r="R1171">
        <v>0.48899999999999999</v>
      </c>
      <c r="S1171" s="65">
        <v>14</v>
      </c>
      <c r="T1171">
        <v>27</v>
      </c>
      <c r="U1171" t="s">
        <v>31</v>
      </c>
      <c r="V1171" t="s">
        <v>1254</v>
      </c>
    </row>
    <row r="1172" spans="1:23" x14ac:dyDescent="0.2">
      <c r="A1172" s="4" t="s">
        <v>1345</v>
      </c>
      <c r="B1172" s="6" t="s">
        <v>33</v>
      </c>
      <c r="C1172" s="6" t="s">
        <v>45</v>
      </c>
      <c r="D1172" s="65" t="str">
        <f t="shared" si="57"/>
        <v>104_V_c</v>
      </c>
      <c r="E1172">
        <v>88</v>
      </c>
      <c r="F1172" t="s">
        <v>49</v>
      </c>
      <c r="G1172" t="s">
        <v>1352</v>
      </c>
      <c r="H1172" t="s">
        <v>56</v>
      </c>
      <c r="I1172">
        <v>0</v>
      </c>
      <c r="J1172" s="82">
        <v>1.1000000000000001</v>
      </c>
      <c r="L1172" s="82">
        <v>0.9</v>
      </c>
      <c r="M1172" s="82">
        <v>1</v>
      </c>
      <c r="N1172" s="82">
        <v>0.9</v>
      </c>
      <c r="O1172" s="44">
        <f t="shared" si="56"/>
        <v>1.0000000000000005E-2</v>
      </c>
      <c r="P1172">
        <f t="shared" si="58"/>
        <v>0.97499999999999998</v>
      </c>
      <c r="Q1172" s="111" t="s">
        <v>57</v>
      </c>
      <c r="R1172" s="6" t="s">
        <v>57</v>
      </c>
      <c r="S1172" s="65" t="s">
        <v>57</v>
      </c>
      <c r="T1172" s="6" t="s">
        <v>57</v>
      </c>
      <c r="U1172" s="6" t="s">
        <v>57</v>
      </c>
      <c r="V1172" t="s">
        <v>1254</v>
      </c>
      <c r="W1172" t="s">
        <v>517</v>
      </c>
    </row>
    <row r="1173" spans="1:23" x14ac:dyDescent="0.2">
      <c r="A1173" s="4" t="s">
        <v>1345</v>
      </c>
      <c r="B1173" s="6" t="s">
        <v>27</v>
      </c>
      <c r="C1173" s="6" t="s">
        <v>45</v>
      </c>
      <c r="D1173" s="65" t="str">
        <f t="shared" si="57"/>
        <v>104_S_c</v>
      </c>
      <c r="E1173">
        <v>99</v>
      </c>
      <c r="F1173" t="s">
        <v>68</v>
      </c>
      <c r="G1173" t="s">
        <v>1353</v>
      </c>
      <c r="I1173">
        <v>1.10760742870464</v>
      </c>
      <c r="J1173" s="82">
        <v>6</v>
      </c>
      <c r="K1173" s="82">
        <v>6.1</v>
      </c>
      <c r="L1173" s="82">
        <v>33.9</v>
      </c>
      <c r="M1173">
        <v>5.8</v>
      </c>
      <c r="N1173" s="82">
        <v>32.799999999999997</v>
      </c>
      <c r="O1173" s="44">
        <f t="shared" si="56"/>
        <v>15.064350064350066</v>
      </c>
      <c r="P1173">
        <f t="shared" si="58"/>
        <v>16.919999999999998</v>
      </c>
      <c r="Q1173" s="111">
        <v>0.121</v>
      </c>
      <c r="R1173">
        <v>0.29099999999999998</v>
      </c>
      <c r="S1173" s="65">
        <v>4</v>
      </c>
      <c r="T1173">
        <v>18</v>
      </c>
      <c r="U1173" t="s">
        <v>54</v>
      </c>
      <c r="V1173" t="s">
        <v>1254</v>
      </c>
    </row>
    <row r="1174" spans="1:23" x14ac:dyDescent="0.2">
      <c r="A1174" s="4" t="s">
        <v>1345</v>
      </c>
      <c r="B1174" s="6" t="s">
        <v>36</v>
      </c>
      <c r="C1174" s="6" t="s">
        <v>45</v>
      </c>
      <c r="D1174" s="65" t="str">
        <f t="shared" si="57"/>
        <v>104_O_c</v>
      </c>
      <c r="E1174">
        <v>101</v>
      </c>
      <c r="F1174" t="s">
        <v>43</v>
      </c>
      <c r="G1174" t="s">
        <v>1354</v>
      </c>
      <c r="I1174">
        <v>5.96678506650544</v>
      </c>
      <c r="J1174" s="82">
        <v>21.4</v>
      </c>
      <c r="K1174" t="s">
        <v>57</v>
      </c>
      <c r="L1174" s="82">
        <v>72.2</v>
      </c>
      <c r="M1174">
        <v>53.7</v>
      </c>
      <c r="N1174" s="82">
        <v>19.600000000000001</v>
      </c>
      <c r="O1174" s="44">
        <f t="shared" si="56"/>
        <v>13.462932790224036</v>
      </c>
      <c r="P1174">
        <f t="shared" si="58"/>
        <v>41.725000000000001</v>
      </c>
      <c r="Q1174" s="111">
        <v>0.64200000000000002</v>
      </c>
      <c r="R1174">
        <v>0.71899999999999997</v>
      </c>
      <c r="S1174" s="65">
        <v>22</v>
      </c>
      <c r="T1174">
        <v>10</v>
      </c>
      <c r="U1174" t="s">
        <v>72</v>
      </c>
      <c r="V1174" t="s">
        <v>1254</v>
      </c>
    </row>
    <row r="1175" spans="1:23" x14ac:dyDescent="0.2">
      <c r="A1175" s="4" t="s">
        <v>1345</v>
      </c>
      <c r="B1175" s="6" t="s">
        <v>27</v>
      </c>
      <c r="C1175" s="6" t="s">
        <v>52</v>
      </c>
      <c r="D1175" s="65" t="str">
        <f t="shared" si="57"/>
        <v>104_S_d</v>
      </c>
      <c r="E1175">
        <v>112</v>
      </c>
      <c r="F1175" t="s">
        <v>70</v>
      </c>
      <c r="G1175" t="s">
        <v>1355</v>
      </c>
      <c r="H1175" t="s">
        <v>56</v>
      </c>
      <c r="I1175">
        <v>0</v>
      </c>
      <c r="J1175" s="82">
        <v>1.1000000000000001</v>
      </c>
      <c r="K1175" s="82">
        <v>1</v>
      </c>
      <c r="L1175" s="82">
        <v>0.9</v>
      </c>
      <c r="M1175">
        <v>1</v>
      </c>
      <c r="N1175" s="82">
        <v>1</v>
      </c>
      <c r="O1175" s="44">
        <f t="shared" si="56"/>
        <v>6.6666666666666706E-3</v>
      </c>
      <c r="P1175">
        <f t="shared" si="58"/>
        <v>1</v>
      </c>
      <c r="R1175" t="s">
        <v>57</v>
      </c>
      <c r="S1175" s="65" t="s">
        <v>57</v>
      </c>
      <c r="T1175" t="s">
        <v>57</v>
      </c>
      <c r="U1175" t="s">
        <v>57</v>
      </c>
      <c r="V1175" t="s">
        <v>1254</v>
      </c>
      <c r="W1175" t="s">
        <v>67</v>
      </c>
    </row>
    <row r="1176" spans="1:23" x14ac:dyDescent="0.2">
      <c r="A1176" s="4" t="s">
        <v>1345</v>
      </c>
      <c r="B1176" s="6" t="s">
        <v>33</v>
      </c>
      <c r="C1176" s="6" t="s">
        <v>52</v>
      </c>
      <c r="D1176" s="65" t="str">
        <f t="shared" si="57"/>
        <v>104_V_d</v>
      </c>
      <c r="E1176">
        <v>113</v>
      </c>
      <c r="F1176" t="s">
        <v>49</v>
      </c>
      <c r="G1176" t="s">
        <v>1356</v>
      </c>
      <c r="H1176" t="s">
        <v>56</v>
      </c>
      <c r="I1176">
        <v>0</v>
      </c>
      <c r="J1176" s="82">
        <v>1.1000000000000001</v>
      </c>
      <c r="K1176" s="82">
        <v>1</v>
      </c>
      <c r="L1176" s="82">
        <v>1</v>
      </c>
      <c r="M1176">
        <v>1</v>
      </c>
      <c r="N1176" s="82">
        <v>23.5</v>
      </c>
      <c r="O1176" s="44">
        <f t="shared" si="56"/>
        <v>2.4390243902439068E-3</v>
      </c>
      <c r="P1176">
        <f t="shared" si="58"/>
        <v>5.5200000000000005</v>
      </c>
      <c r="Q1176" s="111" t="s">
        <v>57</v>
      </c>
      <c r="R1176" t="s">
        <v>57</v>
      </c>
      <c r="S1176" s="65" t="s">
        <v>57</v>
      </c>
      <c r="T1176" t="s">
        <v>57</v>
      </c>
      <c r="U1176" t="s">
        <v>57</v>
      </c>
      <c r="V1176" t="s">
        <v>1254</v>
      </c>
      <c r="W1176" t="s">
        <v>67</v>
      </c>
    </row>
    <row r="1177" spans="1:23" ht="16" x14ac:dyDescent="0.2">
      <c r="A1177" s="4" t="s">
        <v>1345</v>
      </c>
      <c r="B1177" s="6" t="s">
        <v>36</v>
      </c>
      <c r="C1177" s="6" t="s">
        <v>52</v>
      </c>
      <c r="D1177" s="65" t="str">
        <f t="shared" si="57"/>
        <v>104_O_d</v>
      </c>
      <c r="E1177">
        <v>129</v>
      </c>
      <c r="F1177" t="s">
        <v>29</v>
      </c>
      <c r="G1177" t="s">
        <v>1357</v>
      </c>
      <c r="I1177">
        <v>3.9098569234894098</v>
      </c>
      <c r="J1177" s="82">
        <v>31.2</v>
      </c>
      <c r="K1177" s="82">
        <v>32.799999999999997</v>
      </c>
      <c r="L1177" s="84">
        <v>33.799999999999997</v>
      </c>
      <c r="M1177">
        <v>29.9</v>
      </c>
      <c r="N1177" s="82">
        <v>42.8</v>
      </c>
      <c r="O1177" s="44">
        <f t="shared" si="56"/>
        <v>9.3004437483685642E-2</v>
      </c>
      <c r="P1177">
        <f t="shared" si="58"/>
        <v>34.1</v>
      </c>
      <c r="Q1177" s="111">
        <v>0.84799999999999998</v>
      </c>
      <c r="R1177">
        <v>0.60399999999999998</v>
      </c>
      <c r="S1177" s="65">
        <v>13</v>
      </c>
      <c r="T1177">
        <v>5</v>
      </c>
      <c r="U1177" t="s">
        <v>47</v>
      </c>
      <c r="V1177" t="s">
        <v>1254</v>
      </c>
    </row>
    <row r="1178" spans="1:23" ht="16" x14ac:dyDescent="0.2">
      <c r="A1178" s="5" t="s">
        <v>1358</v>
      </c>
      <c r="B1178" s="6" t="s">
        <v>33</v>
      </c>
      <c r="C1178" s="6" t="s">
        <v>28</v>
      </c>
      <c r="D1178" s="65" t="str">
        <f t="shared" si="57"/>
        <v>105_V_a</v>
      </c>
      <c r="E1178">
        <v>8</v>
      </c>
      <c r="F1178" t="s">
        <v>34</v>
      </c>
      <c r="G1178" t="s">
        <v>1359</v>
      </c>
      <c r="I1178">
        <v>2.9608215862167202</v>
      </c>
      <c r="J1178" s="84">
        <v>37.6</v>
      </c>
      <c r="K1178" s="82">
        <v>24.4</v>
      </c>
      <c r="L1178" s="82">
        <v>30.6</v>
      </c>
      <c r="M1178" s="82">
        <v>22.6</v>
      </c>
      <c r="N1178" s="82">
        <v>29.3</v>
      </c>
      <c r="O1178" s="44">
        <f t="shared" si="56"/>
        <v>1.6027777777777938</v>
      </c>
      <c r="P1178">
        <f t="shared" si="58"/>
        <v>28.9</v>
      </c>
      <c r="Q1178" s="111">
        <v>0.24199999999999999</v>
      </c>
      <c r="R1178">
        <v>0.54400000000000004</v>
      </c>
      <c r="S1178" s="65">
        <v>8</v>
      </c>
      <c r="T1178">
        <v>10</v>
      </c>
      <c r="U1178" t="s">
        <v>31</v>
      </c>
      <c r="V1178" t="s">
        <v>1254</v>
      </c>
    </row>
    <row r="1179" spans="1:23" ht="16" x14ac:dyDescent="0.2">
      <c r="A1179" s="52" t="s">
        <v>1358</v>
      </c>
      <c r="B1179" s="46" t="s">
        <v>27</v>
      </c>
      <c r="C1179" s="46" t="s">
        <v>28</v>
      </c>
      <c r="D1179" s="67" t="str">
        <f t="shared" si="57"/>
        <v>105_S_a</v>
      </c>
      <c r="E1179" s="47">
        <v>15</v>
      </c>
      <c r="F1179" s="47" t="s">
        <v>70</v>
      </c>
      <c r="G1179" s="47" t="s">
        <v>1360</v>
      </c>
      <c r="H1179" s="47"/>
      <c r="I1179">
        <v>3.7364541929229298</v>
      </c>
      <c r="J1179" s="84">
        <v>15.3</v>
      </c>
      <c r="K1179" s="82">
        <v>29.2</v>
      </c>
      <c r="L1179" s="43">
        <v>1.7</v>
      </c>
      <c r="M1179" s="82">
        <v>3.7</v>
      </c>
      <c r="N1179" s="82">
        <v>39.1</v>
      </c>
      <c r="O1179" s="48">
        <f t="shared" si="56"/>
        <v>12.847227788911155</v>
      </c>
      <c r="P1179">
        <f t="shared" si="58"/>
        <v>17.8</v>
      </c>
      <c r="Q1179" s="113">
        <v>0.39800000000000002</v>
      </c>
      <c r="R1179" s="47">
        <v>0.47499999999999998</v>
      </c>
      <c r="S1179" s="67">
        <v>20</v>
      </c>
      <c r="T1179" s="47">
        <v>72</v>
      </c>
      <c r="U1179" s="47" t="s">
        <v>51</v>
      </c>
      <c r="V1179" t="s">
        <v>1254</v>
      </c>
      <c r="W1179" s="47"/>
    </row>
    <row r="1180" spans="1:23" ht="16" x14ac:dyDescent="0.2">
      <c r="A1180" s="7" t="s">
        <v>1358</v>
      </c>
      <c r="B1180" s="6" t="s">
        <v>36</v>
      </c>
      <c r="C1180" s="6" t="s">
        <v>28</v>
      </c>
      <c r="D1180" s="65" t="str">
        <f t="shared" si="57"/>
        <v>105_O_a</v>
      </c>
      <c r="E1180">
        <v>15</v>
      </c>
      <c r="F1180" t="s">
        <v>41</v>
      </c>
      <c r="G1180" t="s">
        <v>1361</v>
      </c>
      <c r="I1180">
        <v>1.67599369849733</v>
      </c>
      <c r="J1180" s="84">
        <v>35.200000000000003</v>
      </c>
      <c r="K1180" s="82">
        <v>19.100000000000001</v>
      </c>
      <c r="L1180" s="82">
        <v>33.799999999999997</v>
      </c>
      <c r="M1180" s="82">
        <v>35.9</v>
      </c>
      <c r="N1180" s="82">
        <v>39.700000000000003</v>
      </c>
      <c r="O1180" s="44">
        <f t="shared" si="56"/>
        <v>2.0548387096774183</v>
      </c>
      <c r="P1180">
        <f t="shared" si="58"/>
        <v>32.739999999999995</v>
      </c>
      <c r="Q1180" s="111">
        <v>8.5000000000000006E-2</v>
      </c>
      <c r="R1180">
        <v>0.191</v>
      </c>
      <c r="S1180" s="65">
        <v>9</v>
      </c>
      <c r="T1180">
        <v>17</v>
      </c>
      <c r="U1180" s="47" t="s">
        <v>51</v>
      </c>
      <c r="V1180" t="s">
        <v>1254</v>
      </c>
    </row>
    <row r="1181" spans="1:23" x14ac:dyDescent="0.2">
      <c r="A1181" s="7" t="s">
        <v>1358</v>
      </c>
      <c r="B1181" s="6" t="s">
        <v>36</v>
      </c>
      <c r="C1181" s="6" t="s">
        <v>38</v>
      </c>
      <c r="D1181" s="65" t="str">
        <f t="shared" si="57"/>
        <v>105_O_b</v>
      </c>
      <c r="E1181">
        <v>41</v>
      </c>
      <c r="F1181" t="s">
        <v>29</v>
      </c>
      <c r="G1181" t="s">
        <v>1362</v>
      </c>
      <c r="I1181">
        <v>2.7542872133113501</v>
      </c>
      <c r="J1181" s="82">
        <v>22.2</v>
      </c>
      <c r="K1181" s="82">
        <v>48.1</v>
      </c>
      <c r="L1181" s="82">
        <v>53.2</v>
      </c>
      <c r="M1181" s="82">
        <v>50.4</v>
      </c>
      <c r="N1181" s="82">
        <v>64.599999999999994</v>
      </c>
      <c r="O1181" s="44">
        <f t="shared" si="56"/>
        <v>4.7272187080697696</v>
      </c>
      <c r="P1181">
        <f t="shared" si="58"/>
        <v>47.7</v>
      </c>
      <c r="Q1181" s="111">
        <v>0.17899999999999999</v>
      </c>
      <c r="R1181">
        <v>0.36499999999999999</v>
      </c>
      <c r="S1181" s="65">
        <v>11</v>
      </c>
      <c r="T1181">
        <v>42</v>
      </c>
      <c r="U1181" t="s">
        <v>31</v>
      </c>
      <c r="V1181" t="s">
        <v>1254</v>
      </c>
    </row>
    <row r="1182" spans="1:23" x14ac:dyDescent="0.2">
      <c r="A1182" s="7" t="s">
        <v>1358</v>
      </c>
      <c r="B1182" s="6" t="s">
        <v>27</v>
      </c>
      <c r="C1182" s="6" t="s">
        <v>38</v>
      </c>
      <c r="D1182" s="65" t="str">
        <f t="shared" si="57"/>
        <v>105_S_b</v>
      </c>
      <c r="E1182">
        <v>43</v>
      </c>
      <c r="F1182" t="s">
        <v>70</v>
      </c>
      <c r="G1182" t="s">
        <v>1363</v>
      </c>
      <c r="I1182">
        <v>2.5459911894273102</v>
      </c>
      <c r="J1182" s="82">
        <v>5.3</v>
      </c>
      <c r="K1182" s="82">
        <v>23.7</v>
      </c>
      <c r="L1182" s="82">
        <v>29.1</v>
      </c>
      <c r="M1182" s="82">
        <v>29.5</v>
      </c>
      <c r="N1182" s="82">
        <v>24.5</v>
      </c>
      <c r="O1182" s="44">
        <f t="shared" si="56"/>
        <v>5.9117199391172051</v>
      </c>
      <c r="P1182">
        <f t="shared" si="58"/>
        <v>22.419999999999998</v>
      </c>
      <c r="Q1182" s="111">
        <v>0.30599999999999999</v>
      </c>
      <c r="R1182">
        <v>0.42199999999999999</v>
      </c>
      <c r="S1182" s="65">
        <v>14</v>
      </c>
      <c r="T1182">
        <v>19</v>
      </c>
      <c r="U1182" t="s">
        <v>54</v>
      </c>
      <c r="V1182" t="s">
        <v>1254</v>
      </c>
    </row>
    <row r="1183" spans="1:23" x14ac:dyDescent="0.2">
      <c r="A1183" s="3" t="s">
        <v>1358</v>
      </c>
      <c r="B1183" t="s">
        <v>33</v>
      </c>
      <c r="C1183" t="s">
        <v>38</v>
      </c>
      <c r="D1183" s="65" t="str">
        <f t="shared" si="57"/>
        <v>105_V_b</v>
      </c>
      <c r="E1183">
        <v>72</v>
      </c>
      <c r="F1183" t="s">
        <v>34</v>
      </c>
      <c r="G1183" t="s">
        <v>1364</v>
      </c>
      <c r="I1183">
        <v>3.6730715361644801</v>
      </c>
      <c r="J1183" s="82">
        <v>21.7</v>
      </c>
      <c r="K1183" s="82">
        <v>25.2</v>
      </c>
      <c r="L1183" s="82">
        <v>39.200000000000003</v>
      </c>
      <c r="M1183" s="82">
        <v>2.4</v>
      </c>
      <c r="N1183" s="82">
        <v>15.8</v>
      </c>
      <c r="O1183" s="44">
        <f t="shared" si="56"/>
        <v>10.399510357815448</v>
      </c>
      <c r="P1183">
        <f t="shared" si="58"/>
        <v>20.86</v>
      </c>
      <c r="Q1183" s="111">
        <v>0.189</v>
      </c>
      <c r="R1183">
        <v>0.436</v>
      </c>
      <c r="S1183" s="65">
        <v>10</v>
      </c>
      <c r="T1183">
        <v>24</v>
      </c>
      <c r="U1183" t="s">
        <v>31</v>
      </c>
      <c r="V1183" t="s">
        <v>1254</v>
      </c>
    </row>
    <row r="1184" spans="1:23" x14ac:dyDescent="0.2">
      <c r="A1184" s="7" t="s">
        <v>1358</v>
      </c>
      <c r="B1184" s="6" t="s">
        <v>36</v>
      </c>
      <c r="C1184" s="6" t="s">
        <v>45</v>
      </c>
      <c r="D1184" s="65" t="str">
        <f t="shared" si="57"/>
        <v>105_O_c</v>
      </c>
      <c r="E1184">
        <v>83</v>
      </c>
      <c r="F1184" t="s">
        <v>70</v>
      </c>
      <c r="G1184" t="s">
        <v>1365</v>
      </c>
      <c r="I1184">
        <v>4.0556763780604603</v>
      </c>
      <c r="J1184" s="82">
        <v>32.6</v>
      </c>
      <c r="K1184" s="82">
        <v>8.4</v>
      </c>
      <c r="L1184" s="82">
        <v>27</v>
      </c>
      <c r="M1184" s="82">
        <v>24.4</v>
      </c>
      <c r="N1184" s="82">
        <v>46</v>
      </c>
      <c r="O1184" s="44">
        <f t="shared" si="56"/>
        <v>4.6643578643578607</v>
      </c>
      <c r="P1184">
        <f t="shared" si="58"/>
        <v>27.68</v>
      </c>
      <c r="Q1184" s="111">
        <v>0.22700000000000001</v>
      </c>
      <c r="R1184">
        <v>0.52600000000000002</v>
      </c>
      <c r="S1184" s="65">
        <v>19</v>
      </c>
      <c r="T1184">
        <v>25</v>
      </c>
      <c r="U1184" t="s">
        <v>72</v>
      </c>
      <c r="V1184" t="s">
        <v>1254</v>
      </c>
    </row>
    <row r="1185" spans="1:23" x14ac:dyDescent="0.2">
      <c r="A1185" s="7" t="s">
        <v>1358</v>
      </c>
      <c r="B1185" s="6" t="s">
        <v>33</v>
      </c>
      <c r="C1185" s="6" t="s">
        <v>45</v>
      </c>
      <c r="D1185" s="65" t="str">
        <f t="shared" si="57"/>
        <v>105_V_c</v>
      </c>
      <c r="E1185">
        <v>83</v>
      </c>
      <c r="F1185" t="s">
        <v>43</v>
      </c>
      <c r="G1185" t="s">
        <v>1366</v>
      </c>
      <c r="I1185">
        <v>1.6153193817535201</v>
      </c>
      <c r="J1185" s="82">
        <v>3</v>
      </c>
      <c r="K1185" s="82">
        <v>6.2</v>
      </c>
      <c r="L1185" s="82">
        <v>11</v>
      </c>
      <c r="M1185" s="82">
        <v>10.7</v>
      </c>
      <c r="N1185" s="82">
        <v>15.3</v>
      </c>
      <c r="O1185" s="44">
        <f t="shared" si="56"/>
        <v>1.908414239482199</v>
      </c>
      <c r="P1185">
        <f t="shared" si="58"/>
        <v>9.24</v>
      </c>
      <c r="Q1185" s="111">
        <v>6.6000000000000003E-2</v>
      </c>
      <c r="R1185">
        <v>0.17199999999999999</v>
      </c>
      <c r="S1185" s="65">
        <v>9</v>
      </c>
      <c r="T1185">
        <v>4</v>
      </c>
      <c r="U1185" t="s">
        <v>72</v>
      </c>
      <c r="V1185" t="s">
        <v>1254</v>
      </c>
    </row>
    <row r="1186" spans="1:23" x14ac:dyDescent="0.2">
      <c r="A1186" s="7" t="s">
        <v>1358</v>
      </c>
      <c r="B1186" s="6" t="s">
        <v>27</v>
      </c>
      <c r="C1186" s="6" t="s">
        <v>45</v>
      </c>
      <c r="D1186" s="65" t="str">
        <f t="shared" si="57"/>
        <v>105_S_c</v>
      </c>
      <c r="E1186">
        <v>101</v>
      </c>
      <c r="F1186" t="s">
        <v>39</v>
      </c>
      <c r="G1186" t="s">
        <v>1367</v>
      </c>
      <c r="H1186" t="s">
        <v>56</v>
      </c>
      <c r="I1186">
        <v>0</v>
      </c>
      <c r="J1186" s="82">
        <v>1</v>
      </c>
      <c r="K1186" t="s">
        <v>57</v>
      </c>
      <c r="L1186" s="82">
        <v>1</v>
      </c>
      <c r="M1186">
        <v>1</v>
      </c>
      <c r="N1186" s="82">
        <v>1</v>
      </c>
      <c r="O1186" s="44">
        <f t="shared" si="56"/>
        <v>0</v>
      </c>
      <c r="P1186">
        <f t="shared" si="58"/>
        <v>1</v>
      </c>
      <c r="Q1186" s="111" t="s">
        <v>57</v>
      </c>
      <c r="R1186" t="s">
        <v>57</v>
      </c>
      <c r="S1186" s="65" t="s">
        <v>57</v>
      </c>
      <c r="T1186" t="s">
        <v>57</v>
      </c>
      <c r="U1186" t="s">
        <v>57</v>
      </c>
      <c r="V1186" t="s">
        <v>1254</v>
      </c>
      <c r="W1186" t="s">
        <v>67</v>
      </c>
    </row>
    <row r="1187" spans="1:23" ht="16" x14ac:dyDescent="0.2">
      <c r="A1187" s="7" t="s">
        <v>1358</v>
      </c>
      <c r="B1187" s="6" t="s">
        <v>27</v>
      </c>
      <c r="C1187" s="6" t="s">
        <v>52</v>
      </c>
      <c r="D1187" s="65" t="str">
        <f t="shared" si="57"/>
        <v>105_S_d</v>
      </c>
      <c r="E1187">
        <v>126</v>
      </c>
      <c r="F1187" t="s">
        <v>34</v>
      </c>
      <c r="G1187" t="s">
        <v>1368</v>
      </c>
      <c r="H1187" t="s">
        <v>56</v>
      </c>
      <c r="I1187">
        <v>0</v>
      </c>
      <c r="J1187" s="82">
        <v>1.1000000000000001</v>
      </c>
      <c r="K1187" s="82">
        <v>1</v>
      </c>
      <c r="L1187" s="84">
        <v>1</v>
      </c>
      <c r="M1187">
        <v>0.4</v>
      </c>
      <c r="N1187" s="82">
        <v>0.8</v>
      </c>
      <c r="O1187" s="44">
        <f t="shared" si="56"/>
        <v>0.11714285714285719</v>
      </c>
      <c r="P1187">
        <f t="shared" si="58"/>
        <v>0.86</v>
      </c>
      <c r="Q1187" s="111" t="s">
        <v>57</v>
      </c>
      <c r="R1187" t="s">
        <v>57</v>
      </c>
      <c r="S1187" s="65" t="s">
        <v>57</v>
      </c>
      <c r="T1187" t="s">
        <v>57</v>
      </c>
      <c r="V1187" t="s">
        <v>1254</v>
      </c>
      <c r="W1187" t="s">
        <v>67</v>
      </c>
    </row>
    <row r="1188" spans="1:23" ht="16" x14ac:dyDescent="0.2">
      <c r="A1188" s="7" t="s">
        <v>1358</v>
      </c>
      <c r="B1188" s="6" t="s">
        <v>36</v>
      </c>
      <c r="C1188" s="6" t="s">
        <v>52</v>
      </c>
      <c r="D1188" s="65" t="str">
        <f t="shared" si="57"/>
        <v>105_O_d</v>
      </c>
      <c r="E1188">
        <v>127</v>
      </c>
      <c r="F1188" t="s">
        <v>70</v>
      </c>
      <c r="G1188" t="s">
        <v>1369</v>
      </c>
      <c r="H1188" t="s">
        <v>56</v>
      </c>
      <c r="I1188">
        <v>0</v>
      </c>
      <c r="J1188" s="82">
        <v>1.1000000000000001</v>
      </c>
      <c r="K1188" s="82">
        <v>1</v>
      </c>
      <c r="L1188" s="84">
        <v>1</v>
      </c>
      <c r="M1188">
        <v>1</v>
      </c>
      <c r="N1188" s="82">
        <v>1</v>
      </c>
      <c r="O1188" s="44">
        <f t="shared" si="56"/>
        <v>2.4390243902439068E-3</v>
      </c>
      <c r="P1188">
        <f t="shared" si="58"/>
        <v>1.02</v>
      </c>
      <c r="Q1188" s="111" t="s">
        <v>57</v>
      </c>
      <c r="R1188" t="s">
        <v>57</v>
      </c>
      <c r="S1188" s="65" t="s">
        <v>57</v>
      </c>
      <c r="T1188" t="s">
        <v>57</v>
      </c>
      <c r="V1188" t="s">
        <v>1254</v>
      </c>
      <c r="W1188" t="s">
        <v>67</v>
      </c>
    </row>
    <row r="1189" spans="1:23" ht="16" x14ac:dyDescent="0.2">
      <c r="A1189" s="7" t="s">
        <v>1358</v>
      </c>
      <c r="B1189" s="6" t="s">
        <v>33</v>
      </c>
      <c r="C1189" s="6" t="s">
        <v>52</v>
      </c>
      <c r="D1189" s="65" t="str">
        <f t="shared" si="57"/>
        <v>105_V_d</v>
      </c>
      <c r="E1189">
        <v>140</v>
      </c>
      <c r="F1189" t="s">
        <v>70</v>
      </c>
      <c r="G1189" t="s">
        <v>1370</v>
      </c>
      <c r="I1189">
        <v>6.2142116498932598</v>
      </c>
      <c r="J1189" s="82">
        <v>34.6</v>
      </c>
      <c r="K1189" s="82">
        <v>31.4</v>
      </c>
      <c r="L1189" s="84">
        <v>40.6</v>
      </c>
      <c r="M1189" s="82">
        <v>36.4</v>
      </c>
      <c r="N1189" s="82">
        <v>31</v>
      </c>
      <c r="O1189" s="44">
        <f t="shared" si="56"/>
        <v>0.41202797202797231</v>
      </c>
      <c r="P1189">
        <f t="shared" si="58"/>
        <v>34.799999999999997</v>
      </c>
      <c r="Q1189" s="111">
        <v>0.54400000000000004</v>
      </c>
      <c r="R1189">
        <v>0.67</v>
      </c>
      <c r="S1189" s="65">
        <v>10</v>
      </c>
      <c r="T1189">
        <v>11</v>
      </c>
      <c r="U1189" t="s">
        <v>54</v>
      </c>
      <c r="V1189" t="s">
        <v>1254</v>
      </c>
    </row>
    <row r="1190" spans="1:23" ht="16" x14ac:dyDescent="0.2">
      <c r="A1190" s="5" t="s">
        <v>1371</v>
      </c>
      <c r="B1190" s="6" t="s">
        <v>27</v>
      </c>
      <c r="C1190" s="6" t="s">
        <v>28</v>
      </c>
      <c r="D1190" s="65" t="str">
        <f t="shared" si="57"/>
        <v>106_S_a</v>
      </c>
      <c r="E1190">
        <v>1</v>
      </c>
      <c r="F1190" t="s">
        <v>49</v>
      </c>
      <c r="G1190" t="s">
        <v>1372</v>
      </c>
      <c r="I1190">
        <v>3.1871534195933502</v>
      </c>
      <c r="J1190" s="84">
        <v>26</v>
      </c>
      <c r="K1190" s="82">
        <v>30.2</v>
      </c>
      <c r="L1190" s="82">
        <v>5.0999999999999996</v>
      </c>
      <c r="M1190" s="82">
        <v>28.3</v>
      </c>
      <c r="N1190" s="82">
        <v>40</v>
      </c>
      <c r="O1190" s="44">
        <f t="shared" si="56"/>
        <v>6.0699404761904709</v>
      </c>
      <c r="P1190">
        <f t="shared" si="58"/>
        <v>25.920000000000005</v>
      </c>
      <c r="Q1190" s="111">
        <v>0.25900000000000001</v>
      </c>
      <c r="R1190">
        <v>0.38</v>
      </c>
      <c r="S1190" s="65">
        <v>12</v>
      </c>
      <c r="T1190">
        <v>20</v>
      </c>
      <c r="U1190" t="s">
        <v>31</v>
      </c>
      <c r="V1190" t="s">
        <v>1254</v>
      </c>
    </row>
    <row r="1191" spans="1:23" ht="16" x14ac:dyDescent="0.2">
      <c r="A1191" s="5" t="s">
        <v>1371</v>
      </c>
      <c r="B1191" s="6" t="s">
        <v>36</v>
      </c>
      <c r="C1191" s="6" t="s">
        <v>28</v>
      </c>
      <c r="D1191" s="65" t="str">
        <f t="shared" si="57"/>
        <v>106_O_a</v>
      </c>
      <c r="E1191">
        <v>4</v>
      </c>
      <c r="F1191" t="s">
        <v>39</v>
      </c>
      <c r="G1191" t="s">
        <v>1373</v>
      </c>
      <c r="I1191">
        <v>2.2661479512042502</v>
      </c>
      <c r="J1191" s="84">
        <v>6</v>
      </c>
      <c r="K1191" s="82">
        <v>16.399999999999999</v>
      </c>
      <c r="L1191" s="82">
        <v>16.399999999999999</v>
      </c>
      <c r="M1191" s="82">
        <v>21.3</v>
      </c>
      <c r="N1191" s="82">
        <v>20.2</v>
      </c>
      <c r="O1191" s="44">
        <f t="shared" si="56"/>
        <v>2.7644481419855866</v>
      </c>
      <c r="P1191">
        <f t="shared" si="58"/>
        <v>16.059999999999999</v>
      </c>
      <c r="Q1191" s="111">
        <v>0.14899999999999999</v>
      </c>
      <c r="R1191">
        <v>0.23300000000000001</v>
      </c>
      <c r="S1191" s="65">
        <v>6</v>
      </c>
      <c r="T1191">
        <v>41</v>
      </c>
      <c r="U1191" t="s">
        <v>61</v>
      </c>
      <c r="V1191" t="s">
        <v>1254</v>
      </c>
    </row>
    <row r="1192" spans="1:23" x14ac:dyDescent="0.2">
      <c r="A1192" s="55" t="s">
        <v>1371</v>
      </c>
      <c r="B1192" s="43" t="s">
        <v>33</v>
      </c>
      <c r="C1192" s="43" t="s">
        <v>28</v>
      </c>
      <c r="D1192" s="68" t="str">
        <f t="shared" si="57"/>
        <v>106_V_a</v>
      </c>
      <c r="E1192" s="43">
        <v>21</v>
      </c>
      <c r="F1192" s="43" t="s">
        <v>63</v>
      </c>
      <c r="G1192" s="43" t="s">
        <v>1374</v>
      </c>
      <c r="H1192" s="43"/>
      <c r="I1192">
        <v>3.53574653205286</v>
      </c>
      <c r="J1192" s="82">
        <v>1.8</v>
      </c>
      <c r="K1192" s="82">
        <v>7.5</v>
      </c>
      <c r="L1192" s="82">
        <v>2.2000000000000002</v>
      </c>
      <c r="M1192" s="82">
        <v>5.7</v>
      </c>
      <c r="N1192" s="82">
        <v>3.4</v>
      </c>
      <c r="O1192" s="56">
        <f t="shared" si="56"/>
        <v>1.7720930232558141</v>
      </c>
      <c r="P1192" s="43">
        <f t="shared" si="58"/>
        <v>4.1199999999999992</v>
      </c>
      <c r="Q1192" s="114">
        <v>0.27</v>
      </c>
      <c r="R1192" s="43">
        <v>0.48299999999999998</v>
      </c>
      <c r="S1192" s="68">
        <v>10</v>
      </c>
      <c r="T1192" s="43">
        <v>13</v>
      </c>
      <c r="U1192" t="s">
        <v>72</v>
      </c>
      <c r="V1192" t="s">
        <v>1254</v>
      </c>
      <c r="W1192" s="43"/>
    </row>
    <row r="1193" spans="1:23" x14ac:dyDescent="0.2">
      <c r="A1193" s="5" t="s">
        <v>1371</v>
      </c>
      <c r="B1193" s="6" t="s">
        <v>27</v>
      </c>
      <c r="C1193" s="6" t="s">
        <v>38</v>
      </c>
      <c r="D1193" s="65" t="str">
        <f t="shared" si="57"/>
        <v>106_S_b</v>
      </c>
      <c r="E1193">
        <v>38</v>
      </c>
      <c r="F1193" t="s">
        <v>70</v>
      </c>
      <c r="G1193" t="s">
        <v>1375</v>
      </c>
      <c r="I1193">
        <v>0.43553253710131501</v>
      </c>
      <c r="J1193" s="82">
        <v>11.2</v>
      </c>
      <c r="K1193" s="82">
        <v>10.3</v>
      </c>
      <c r="L1193" s="82">
        <v>31.7</v>
      </c>
      <c r="M1193" s="82">
        <v>13.1</v>
      </c>
      <c r="N1193" s="82">
        <v>27</v>
      </c>
      <c r="O1193" s="44">
        <f t="shared" si="56"/>
        <v>6.2163398692810476</v>
      </c>
      <c r="P1193">
        <f t="shared" si="58"/>
        <v>18.66</v>
      </c>
      <c r="Q1193" s="111">
        <v>0.06</v>
      </c>
      <c r="R1193">
        <v>0.129</v>
      </c>
      <c r="S1193" s="65">
        <v>8</v>
      </c>
      <c r="T1193">
        <v>22</v>
      </c>
      <c r="U1193" t="s">
        <v>31</v>
      </c>
      <c r="V1193" t="s">
        <v>1254</v>
      </c>
    </row>
    <row r="1194" spans="1:23" x14ac:dyDescent="0.2">
      <c r="A1194" s="1" t="s">
        <v>1371</v>
      </c>
      <c r="B1194" t="s">
        <v>33</v>
      </c>
      <c r="C1194" t="s">
        <v>38</v>
      </c>
      <c r="D1194" s="65" t="str">
        <f t="shared" si="57"/>
        <v>106_V_b</v>
      </c>
      <c r="E1194">
        <v>63</v>
      </c>
      <c r="F1194" t="s">
        <v>29</v>
      </c>
      <c r="G1194" t="s">
        <v>1376</v>
      </c>
      <c r="I1194">
        <v>2.4722739561429901</v>
      </c>
      <c r="J1194" s="82">
        <v>22.5</v>
      </c>
      <c r="K1194" s="82">
        <v>8.4</v>
      </c>
      <c r="L1194" s="82">
        <v>4.8</v>
      </c>
      <c r="M1194" s="82">
        <v>31.1</v>
      </c>
      <c r="N1194" s="82">
        <v>35.1</v>
      </c>
      <c r="O1194" s="44">
        <f t="shared" si="56"/>
        <v>9.0119760479041915</v>
      </c>
      <c r="P1194">
        <f t="shared" si="58"/>
        <v>20.380000000000003</v>
      </c>
      <c r="Q1194" s="111">
        <v>0.123</v>
      </c>
      <c r="R1194">
        <v>0.34300000000000003</v>
      </c>
      <c r="S1194" s="65">
        <v>19</v>
      </c>
      <c r="T1194">
        <v>10</v>
      </c>
      <c r="U1194" t="s">
        <v>31</v>
      </c>
      <c r="V1194" t="s">
        <v>1254</v>
      </c>
    </row>
    <row r="1195" spans="1:23" x14ac:dyDescent="0.2">
      <c r="A1195" s="5" t="s">
        <v>1371</v>
      </c>
      <c r="B1195" s="6" t="s">
        <v>36</v>
      </c>
      <c r="C1195" s="6" t="s">
        <v>38</v>
      </c>
      <c r="D1195" s="65" t="str">
        <f t="shared" si="57"/>
        <v>106_O_b</v>
      </c>
      <c r="E1195">
        <v>68</v>
      </c>
      <c r="F1195" t="s">
        <v>68</v>
      </c>
      <c r="G1195" t="s">
        <v>1377</v>
      </c>
      <c r="I1195">
        <v>2.9874969373254299</v>
      </c>
      <c r="J1195" s="82">
        <v>28.1</v>
      </c>
      <c r="K1195" s="82">
        <v>20.9</v>
      </c>
      <c r="L1195" s="82">
        <v>34.6</v>
      </c>
      <c r="M1195" s="82">
        <v>28.3</v>
      </c>
      <c r="N1195" s="82">
        <v>37.1</v>
      </c>
      <c r="O1195" s="44">
        <f t="shared" si="56"/>
        <v>1.1208519511468586</v>
      </c>
      <c r="P1195">
        <f t="shared" si="58"/>
        <v>29.8</v>
      </c>
      <c r="Q1195" s="111">
        <v>0.17799999999999999</v>
      </c>
      <c r="R1195">
        <v>0.42299999999999999</v>
      </c>
      <c r="S1195" s="65">
        <v>7</v>
      </c>
      <c r="T1195">
        <v>30</v>
      </c>
      <c r="U1195" t="s">
        <v>31</v>
      </c>
      <c r="V1195" t="s">
        <v>1254</v>
      </c>
    </row>
    <row r="1196" spans="1:23" x14ac:dyDescent="0.2">
      <c r="A1196" s="5" t="s">
        <v>1371</v>
      </c>
      <c r="B1196" s="6" t="s">
        <v>33</v>
      </c>
      <c r="C1196" s="6" t="s">
        <v>45</v>
      </c>
      <c r="D1196" s="65" t="str">
        <f t="shared" si="57"/>
        <v>106_V_c</v>
      </c>
      <c r="E1196">
        <v>85</v>
      </c>
      <c r="F1196" t="s">
        <v>41</v>
      </c>
      <c r="G1196" t="s">
        <v>1378</v>
      </c>
      <c r="I1196">
        <v>1.6454470603943201</v>
      </c>
      <c r="J1196" s="82">
        <v>4.5</v>
      </c>
      <c r="K1196" s="82">
        <v>18</v>
      </c>
      <c r="L1196" s="82">
        <v>48.6</v>
      </c>
      <c r="M1196" s="82">
        <v>37.9</v>
      </c>
      <c r="N1196" s="82">
        <v>11.5</v>
      </c>
      <c r="O1196" s="44">
        <f t="shared" si="56"/>
        <v>14.340917431192659</v>
      </c>
      <c r="P1196">
        <f t="shared" si="58"/>
        <v>24.1</v>
      </c>
      <c r="Q1196" s="111">
        <v>0.111</v>
      </c>
      <c r="R1196">
        <v>0.23599999999999999</v>
      </c>
      <c r="S1196" s="65">
        <v>10</v>
      </c>
      <c r="T1196">
        <v>8</v>
      </c>
      <c r="U1196" t="s">
        <v>72</v>
      </c>
      <c r="V1196" t="s">
        <v>1254</v>
      </c>
    </row>
    <row r="1197" spans="1:23" x14ac:dyDescent="0.2">
      <c r="A1197" s="5" t="s">
        <v>1371</v>
      </c>
      <c r="B1197" s="6" t="s">
        <v>27</v>
      </c>
      <c r="C1197" s="6" t="s">
        <v>45</v>
      </c>
      <c r="D1197" s="65" t="str">
        <f t="shared" si="57"/>
        <v>106_S_c</v>
      </c>
      <c r="E1197">
        <v>86</v>
      </c>
      <c r="F1197" t="s">
        <v>41</v>
      </c>
      <c r="G1197" t="s">
        <v>1379</v>
      </c>
      <c r="I1197">
        <v>1.5065968586387399</v>
      </c>
      <c r="J1197" s="82">
        <v>20.2</v>
      </c>
      <c r="K1197" s="82">
        <v>34.200000000000003</v>
      </c>
      <c r="L1197" s="82">
        <v>27.6</v>
      </c>
      <c r="M1197" s="82">
        <v>28.2</v>
      </c>
      <c r="N1197" s="82">
        <v>35.700000000000003</v>
      </c>
      <c r="O1197" s="44">
        <f t="shared" si="56"/>
        <v>1.1938294010889299</v>
      </c>
      <c r="P1197">
        <f t="shared" si="58"/>
        <v>29.18</v>
      </c>
      <c r="Q1197" s="111">
        <v>0.189</v>
      </c>
      <c r="R1197">
        <v>0.35699999999999998</v>
      </c>
      <c r="S1197" s="65">
        <v>18</v>
      </c>
      <c r="T1197">
        <v>36</v>
      </c>
      <c r="U1197" t="s">
        <v>72</v>
      </c>
      <c r="V1197" t="s">
        <v>1254</v>
      </c>
    </row>
    <row r="1198" spans="1:23" x14ac:dyDescent="0.2">
      <c r="A1198" s="5" t="s">
        <v>1371</v>
      </c>
      <c r="B1198" s="6" t="s">
        <v>36</v>
      </c>
      <c r="C1198" s="6" t="s">
        <v>45</v>
      </c>
      <c r="D1198" s="65" t="str">
        <f t="shared" si="57"/>
        <v>106_O_c</v>
      </c>
      <c r="E1198">
        <v>103</v>
      </c>
      <c r="F1198" t="s">
        <v>70</v>
      </c>
      <c r="G1198" t="s">
        <v>1380</v>
      </c>
      <c r="I1198">
        <v>3.0904142346558299</v>
      </c>
      <c r="J1198" s="82">
        <v>32.700000000000003</v>
      </c>
      <c r="K1198" s="82">
        <v>7.3</v>
      </c>
      <c r="L1198" s="82">
        <v>34</v>
      </c>
      <c r="M1198">
        <v>32.6</v>
      </c>
      <c r="N1198" s="82">
        <v>31.8</v>
      </c>
      <c r="O1198" s="44">
        <f t="shared" si="56"/>
        <v>6.2595372107567266</v>
      </c>
      <c r="P1198">
        <f t="shared" si="58"/>
        <v>27.68</v>
      </c>
      <c r="Q1198" s="111">
        <v>0.21</v>
      </c>
      <c r="R1198">
        <v>0.39800000000000002</v>
      </c>
      <c r="S1198" s="65">
        <v>10</v>
      </c>
      <c r="T1198">
        <v>33</v>
      </c>
      <c r="U1198" t="s">
        <v>72</v>
      </c>
      <c r="V1198" t="s">
        <v>1254</v>
      </c>
    </row>
    <row r="1199" spans="1:23" ht="16" x14ac:dyDescent="0.2">
      <c r="A1199" s="5" t="s">
        <v>1371</v>
      </c>
      <c r="B1199" s="6" t="s">
        <v>36</v>
      </c>
      <c r="C1199" s="6" t="s">
        <v>52</v>
      </c>
      <c r="D1199" s="65" t="str">
        <f t="shared" si="57"/>
        <v>106_O_d</v>
      </c>
      <c r="E1199">
        <v>124</v>
      </c>
      <c r="F1199" t="s">
        <v>82</v>
      </c>
      <c r="G1199" t="s">
        <v>1381</v>
      </c>
      <c r="I1199">
        <v>3.43321691790144</v>
      </c>
      <c r="J1199" s="82">
        <v>31.2</v>
      </c>
      <c r="K1199" s="82">
        <v>31.2</v>
      </c>
      <c r="L1199" s="84">
        <v>3.3</v>
      </c>
      <c r="M1199">
        <v>5.3</v>
      </c>
      <c r="N1199" s="82">
        <v>32.700000000000003</v>
      </c>
      <c r="O1199" s="44">
        <f t="shared" si="56"/>
        <v>13.626478873239435</v>
      </c>
      <c r="P1199">
        <f t="shared" si="58"/>
        <v>20.740000000000002</v>
      </c>
      <c r="Q1199" s="111">
        <v>0.22600000000000001</v>
      </c>
      <c r="R1199">
        <v>0.44500000000000001</v>
      </c>
      <c r="S1199" s="65">
        <v>12</v>
      </c>
      <c r="T1199">
        <v>39</v>
      </c>
      <c r="U1199" t="s">
        <v>51</v>
      </c>
      <c r="V1199" t="s">
        <v>1254</v>
      </c>
    </row>
    <row r="1200" spans="1:23" ht="16" x14ac:dyDescent="0.2">
      <c r="A1200" s="5" t="s">
        <v>1371</v>
      </c>
      <c r="B1200" s="6" t="s">
        <v>33</v>
      </c>
      <c r="C1200" s="6" t="s">
        <v>52</v>
      </c>
      <c r="D1200" s="65" t="str">
        <f t="shared" si="57"/>
        <v>106_V_d</v>
      </c>
      <c r="E1200">
        <v>126</v>
      </c>
      <c r="F1200" t="s">
        <v>70</v>
      </c>
      <c r="G1200" t="s">
        <v>1382</v>
      </c>
      <c r="I1200">
        <v>3.6811787120538502</v>
      </c>
      <c r="J1200" s="82">
        <v>33</v>
      </c>
      <c r="K1200" s="82">
        <v>36.700000000000003</v>
      </c>
      <c r="L1200" s="84">
        <v>42.5</v>
      </c>
      <c r="M1200">
        <v>21.3</v>
      </c>
      <c r="N1200" s="82">
        <v>44.3</v>
      </c>
      <c r="O1200" s="44">
        <f t="shared" si="56"/>
        <v>2.3996754057428209</v>
      </c>
      <c r="P1200">
        <f t="shared" si="58"/>
        <v>35.56</v>
      </c>
      <c r="Q1200" s="111">
        <v>0.26900000000000002</v>
      </c>
      <c r="R1200">
        <v>0.43099999999999999</v>
      </c>
      <c r="S1200" s="65">
        <v>21</v>
      </c>
      <c r="T1200">
        <v>30</v>
      </c>
      <c r="U1200" t="s">
        <v>51</v>
      </c>
      <c r="V1200" t="s">
        <v>1254</v>
      </c>
    </row>
    <row r="1201" spans="1:23" ht="16" x14ac:dyDescent="0.2">
      <c r="A1201" s="5" t="s">
        <v>1371</v>
      </c>
      <c r="B1201" s="6" t="s">
        <v>27</v>
      </c>
      <c r="C1201" s="6" t="s">
        <v>52</v>
      </c>
      <c r="D1201" s="65" t="str">
        <f t="shared" si="57"/>
        <v>106_S_d</v>
      </c>
      <c r="E1201">
        <v>140</v>
      </c>
      <c r="F1201" t="s">
        <v>68</v>
      </c>
      <c r="G1201" t="s">
        <v>1383</v>
      </c>
      <c r="H1201" t="s">
        <v>147</v>
      </c>
      <c r="I1201">
        <v>0</v>
      </c>
      <c r="J1201" s="82">
        <v>1.1000000000000001</v>
      </c>
      <c r="K1201" s="82">
        <v>1</v>
      </c>
      <c r="L1201" s="84">
        <v>0.9</v>
      </c>
      <c r="M1201" s="82">
        <v>1</v>
      </c>
      <c r="N1201" s="82">
        <v>0.9</v>
      </c>
      <c r="O1201" s="44">
        <f t="shared" si="56"/>
        <v>6.6666666666666706E-3</v>
      </c>
      <c r="P1201">
        <f t="shared" si="58"/>
        <v>0.98000000000000009</v>
      </c>
      <c r="Q1201" s="111" t="s">
        <v>57</v>
      </c>
      <c r="R1201" t="s">
        <v>57</v>
      </c>
      <c r="S1201" s="65" t="s">
        <v>57</v>
      </c>
      <c r="T1201" t="s">
        <v>57</v>
      </c>
      <c r="V1201" t="s">
        <v>1254</v>
      </c>
      <c r="W1201" s="6" t="s">
        <v>67</v>
      </c>
    </row>
    <row r="1202" spans="1:23" ht="16" x14ac:dyDescent="0.2">
      <c r="A1202" s="5" t="s">
        <v>1384</v>
      </c>
      <c r="B1202" s="6" t="s">
        <v>27</v>
      </c>
      <c r="C1202" s="6" t="s">
        <v>28</v>
      </c>
      <c r="D1202" s="65" t="str">
        <f t="shared" si="57"/>
        <v>107_S_a</v>
      </c>
      <c r="E1202">
        <v>20</v>
      </c>
      <c r="F1202" t="s">
        <v>82</v>
      </c>
      <c r="G1202" t="s">
        <v>1385</v>
      </c>
      <c r="I1202">
        <v>5.77502186415074</v>
      </c>
      <c r="J1202" s="84">
        <v>1.1000000000000001</v>
      </c>
      <c r="K1202" s="82">
        <v>46.7</v>
      </c>
      <c r="L1202" s="82">
        <v>31.5</v>
      </c>
      <c r="M1202" s="82">
        <v>43</v>
      </c>
      <c r="N1202" s="82">
        <v>34.700000000000003</v>
      </c>
      <c r="O1202" s="44">
        <f t="shared" si="56"/>
        <v>13.998664486236025</v>
      </c>
      <c r="P1202">
        <f t="shared" si="58"/>
        <v>31.4</v>
      </c>
      <c r="Q1202" s="111">
        <v>0.57099999999999995</v>
      </c>
      <c r="R1202">
        <v>0.47099999999999997</v>
      </c>
      <c r="S1202" s="65">
        <v>18</v>
      </c>
      <c r="T1202">
        <v>20</v>
      </c>
      <c r="V1202" t="s">
        <v>1254</v>
      </c>
    </row>
    <row r="1203" spans="1:23" x14ac:dyDescent="0.2">
      <c r="A1203" s="5" t="s">
        <v>1384</v>
      </c>
      <c r="B1203" s="6" t="s">
        <v>36</v>
      </c>
      <c r="C1203" s="6" t="s">
        <v>28</v>
      </c>
      <c r="D1203" s="65" t="str">
        <f t="shared" si="57"/>
        <v>107_O_a</v>
      </c>
      <c r="E1203">
        <v>22</v>
      </c>
      <c r="F1203" t="s">
        <v>29</v>
      </c>
      <c r="G1203" t="s">
        <v>1386</v>
      </c>
      <c r="I1203">
        <v>1.91219153456447</v>
      </c>
      <c r="J1203" s="82">
        <v>4.2</v>
      </c>
      <c r="K1203" s="82">
        <v>15.9</v>
      </c>
      <c r="L1203" s="82">
        <v>23.1</v>
      </c>
      <c r="M1203" s="82">
        <v>26</v>
      </c>
      <c r="N1203" s="82">
        <v>29</v>
      </c>
      <c r="O1203" s="44">
        <f t="shared" si="56"/>
        <v>5.4508670520231188</v>
      </c>
      <c r="P1203">
        <f t="shared" si="58"/>
        <v>19.64</v>
      </c>
      <c r="Q1203" s="111">
        <v>0.159</v>
      </c>
      <c r="R1203">
        <v>0.23899999999999999</v>
      </c>
      <c r="S1203" s="65">
        <v>5</v>
      </c>
      <c r="T1203">
        <v>19</v>
      </c>
      <c r="U1203" t="s">
        <v>72</v>
      </c>
      <c r="V1203" t="s">
        <v>1254</v>
      </c>
    </row>
    <row r="1204" spans="1:23" x14ac:dyDescent="0.2">
      <c r="A1204" s="1" t="s">
        <v>1384</v>
      </c>
      <c r="B1204" t="s">
        <v>33</v>
      </c>
      <c r="C1204" t="s">
        <v>28</v>
      </c>
      <c r="D1204" s="65" t="str">
        <f t="shared" si="57"/>
        <v>107_V_a</v>
      </c>
      <c r="E1204">
        <v>30</v>
      </c>
      <c r="F1204" t="s">
        <v>43</v>
      </c>
      <c r="G1204" t="s">
        <v>1387</v>
      </c>
      <c r="I1204">
        <v>2.67475820428244</v>
      </c>
      <c r="J1204" s="82">
        <v>1.8</v>
      </c>
      <c r="K1204" s="82">
        <v>6.1</v>
      </c>
      <c r="L1204" s="82">
        <v>2.1</v>
      </c>
      <c r="M1204" s="82">
        <v>11.5</v>
      </c>
      <c r="N1204" s="82">
        <v>5.3</v>
      </c>
      <c r="O1204" s="44">
        <f t="shared" si="56"/>
        <v>3.8168992248062024</v>
      </c>
      <c r="P1204">
        <f t="shared" si="58"/>
        <v>5.36</v>
      </c>
      <c r="Q1204" s="111">
        <v>0.121</v>
      </c>
      <c r="R1204">
        <v>0.28000000000000003</v>
      </c>
      <c r="S1204" s="65">
        <v>8</v>
      </c>
      <c r="T1204">
        <v>9</v>
      </c>
      <c r="U1204" t="s">
        <v>31</v>
      </c>
      <c r="V1204" t="s">
        <v>1254</v>
      </c>
    </row>
    <row r="1205" spans="1:23" x14ac:dyDescent="0.2">
      <c r="A1205" s="5" t="s">
        <v>1384</v>
      </c>
      <c r="B1205" s="6" t="s">
        <v>27</v>
      </c>
      <c r="C1205" s="6" t="s">
        <v>38</v>
      </c>
      <c r="D1205" s="65" t="str">
        <f t="shared" si="57"/>
        <v>107_S_b</v>
      </c>
      <c r="E1205">
        <v>56</v>
      </c>
      <c r="F1205" t="s">
        <v>68</v>
      </c>
      <c r="G1205" t="s">
        <v>1388</v>
      </c>
      <c r="I1205">
        <v>3.8209578163771698</v>
      </c>
      <c r="J1205" s="82">
        <v>47</v>
      </c>
      <c r="K1205" s="82">
        <v>35.4</v>
      </c>
      <c r="L1205" s="82">
        <v>40.299999999999997</v>
      </c>
      <c r="M1205" s="82">
        <v>46</v>
      </c>
      <c r="N1205" s="82">
        <v>41.7</v>
      </c>
      <c r="O1205" s="44">
        <f t="shared" si="56"/>
        <v>0.69019956530330961</v>
      </c>
      <c r="P1205">
        <f t="shared" si="58"/>
        <v>42.08</v>
      </c>
      <c r="Q1205" s="111">
        <v>0.46500000000000002</v>
      </c>
      <c r="R1205">
        <v>0.64200000000000002</v>
      </c>
      <c r="S1205" s="65">
        <v>16</v>
      </c>
      <c r="T1205">
        <v>21</v>
      </c>
      <c r="U1205" t="s">
        <v>31</v>
      </c>
      <c r="V1205" t="s">
        <v>1254</v>
      </c>
    </row>
    <row r="1206" spans="1:23" x14ac:dyDescent="0.2">
      <c r="A1206" s="1" t="s">
        <v>1384</v>
      </c>
      <c r="B1206" t="s">
        <v>33</v>
      </c>
      <c r="C1206" t="s">
        <v>38</v>
      </c>
      <c r="D1206" s="65" t="str">
        <f t="shared" si="57"/>
        <v>107_V_b</v>
      </c>
      <c r="E1206">
        <v>59</v>
      </c>
      <c r="F1206" t="s">
        <v>43</v>
      </c>
      <c r="G1206" t="s">
        <v>1389</v>
      </c>
      <c r="I1206">
        <v>6.57329772324616</v>
      </c>
      <c r="J1206" s="82">
        <v>40.5</v>
      </c>
      <c r="K1206" s="82">
        <v>8.6</v>
      </c>
      <c r="L1206" s="82">
        <v>21.6</v>
      </c>
      <c r="M1206" s="82">
        <v>40.9</v>
      </c>
      <c r="N1206" s="82">
        <v>27.3</v>
      </c>
      <c r="O1206" s="44">
        <f t="shared" si="56"/>
        <v>8.8403823178016729</v>
      </c>
      <c r="P1206">
        <f t="shared" si="58"/>
        <v>27.78</v>
      </c>
      <c r="Q1206" s="111">
        <v>0.51100000000000001</v>
      </c>
      <c r="R1206">
        <v>0.58599999999999997</v>
      </c>
      <c r="S1206" s="65">
        <v>8</v>
      </c>
      <c r="T1206">
        <v>31</v>
      </c>
      <c r="U1206" t="s">
        <v>31</v>
      </c>
      <c r="V1206" t="s">
        <v>1254</v>
      </c>
    </row>
    <row r="1207" spans="1:23" x14ac:dyDescent="0.2">
      <c r="A1207" s="5" t="s">
        <v>1384</v>
      </c>
      <c r="B1207" s="6" t="s">
        <v>36</v>
      </c>
      <c r="C1207" s="6" t="s">
        <v>38</v>
      </c>
      <c r="D1207" s="65" t="str">
        <f t="shared" si="57"/>
        <v>107_O_b</v>
      </c>
      <c r="E1207">
        <v>60</v>
      </c>
      <c r="F1207" t="s">
        <v>70</v>
      </c>
      <c r="G1207" t="s">
        <v>1390</v>
      </c>
      <c r="I1207">
        <v>2.9331676082862499</v>
      </c>
      <c r="J1207" s="82">
        <v>5</v>
      </c>
      <c r="K1207" s="82">
        <v>21.6</v>
      </c>
      <c r="L1207" s="82">
        <v>33.200000000000003</v>
      </c>
      <c r="M1207" s="82">
        <v>29.1</v>
      </c>
      <c r="N1207" s="82">
        <v>43.3</v>
      </c>
      <c r="O1207" s="44">
        <f t="shared" si="56"/>
        <v>6.9712410948631405</v>
      </c>
      <c r="P1207">
        <f t="shared" si="58"/>
        <v>26.439999999999998</v>
      </c>
      <c r="Q1207" s="111">
        <v>9.4E-2</v>
      </c>
      <c r="R1207">
        <v>0.26400000000000001</v>
      </c>
      <c r="S1207" s="65">
        <v>9</v>
      </c>
      <c r="T1207">
        <v>9</v>
      </c>
      <c r="U1207" t="s">
        <v>31</v>
      </c>
      <c r="V1207" t="s">
        <v>1254</v>
      </c>
    </row>
    <row r="1208" spans="1:23" x14ac:dyDescent="0.2">
      <c r="A1208" s="5" t="s">
        <v>1384</v>
      </c>
      <c r="B1208" s="6" t="s">
        <v>27</v>
      </c>
      <c r="C1208" s="6" t="s">
        <v>45</v>
      </c>
      <c r="D1208" s="65" t="str">
        <f t="shared" si="57"/>
        <v>107_S_c</v>
      </c>
      <c r="E1208">
        <v>77</v>
      </c>
      <c r="F1208" t="s">
        <v>29</v>
      </c>
      <c r="G1208" t="s">
        <v>1391</v>
      </c>
      <c r="H1208" t="s">
        <v>56</v>
      </c>
      <c r="I1208">
        <v>0</v>
      </c>
      <c r="J1208" s="82">
        <v>0.9</v>
      </c>
      <c r="K1208" s="82">
        <v>1</v>
      </c>
      <c r="L1208" s="82">
        <v>1</v>
      </c>
      <c r="M1208" s="82">
        <v>1</v>
      </c>
      <c r="N1208" s="82">
        <v>0.9</v>
      </c>
      <c r="O1208" s="44">
        <f t="shared" si="56"/>
        <v>2.5641025641025632E-3</v>
      </c>
      <c r="P1208">
        <f t="shared" si="58"/>
        <v>0.96</v>
      </c>
      <c r="Q1208" s="111" t="s">
        <v>57</v>
      </c>
      <c r="R1208" t="s">
        <v>57</v>
      </c>
      <c r="S1208" s="65" t="s">
        <v>57</v>
      </c>
      <c r="T1208" t="s">
        <v>57</v>
      </c>
      <c r="U1208" t="s">
        <v>57</v>
      </c>
      <c r="V1208" t="s">
        <v>1254</v>
      </c>
      <c r="W1208" t="s">
        <v>67</v>
      </c>
    </row>
    <row r="1209" spans="1:23" x14ac:dyDescent="0.2">
      <c r="A1209" s="5" t="s">
        <v>1384</v>
      </c>
      <c r="B1209" s="6" t="s">
        <v>36</v>
      </c>
      <c r="C1209" s="6" t="s">
        <v>45</v>
      </c>
      <c r="D1209" s="65" t="str">
        <f t="shared" si="57"/>
        <v>107_O_c</v>
      </c>
      <c r="E1209">
        <v>83</v>
      </c>
      <c r="F1209" t="s">
        <v>34</v>
      </c>
      <c r="G1209" t="s">
        <v>1392</v>
      </c>
      <c r="I1209">
        <v>3.3216659827656998</v>
      </c>
      <c r="J1209" s="82">
        <v>43.3</v>
      </c>
      <c r="K1209" s="82">
        <v>12.4</v>
      </c>
      <c r="L1209" s="82">
        <v>6.8</v>
      </c>
      <c r="M1209" s="82">
        <v>42</v>
      </c>
      <c r="N1209" s="82">
        <v>14.3</v>
      </c>
      <c r="O1209" s="44">
        <f t="shared" si="56"/>
        <v>14.147719298245606</v>
      </c>
      <c r="P1209">
        <f t="shared" si="58"/>
        <v>23.759999999999998</v>
      </c>
      <c r="Q1209" s="111">
        <v>0.311</v>
      </c>
      <c r="R1209">
        <v>0.51200000000000001</v>
      </c>
      <c r="S1209" s="65">
        <v>18</v>
      </c>
      <c r="T1209">
        <v>35</v>
      </c>
      <c r="U1209" t="s">
        <v>72</v>
      </c>
      <c r="V1209" t="s">
        <v>1254</v>
      </c>
    </row>
    <row r="1210" spans="1:23" x14ac:dyDescent="0.2">
      <c r="A1210" s="5" t="s">
        <v>1384</v>
      </c>
      <c r="B1210" s="6" t="s">
        <v>33</v>
      </c>
      <c r="C1210" s="6" t="s">
        <v>45</v>
      </c>
      <c r="D1210" s="65" t="str">
        <f t="shared" si="57"/>
        <v>107_V_c</v>
      </c>
      <c r="E1210">
        <v>95</v>
      </c>
      <c r="F1210" t="s">
        <v>63</v>
      </c>
      <c r="G1210" t="s">
        <v>1393</v>
      </c>
      <c r="I1210">
        <v>3.6796993288590598</v>
      </c>
      <c r="J1210" s="43">
        <v>1.9</v>
      </c>
      <c r="K1210" s="82">
        <v>27.5</v>
      </c>
      <c r="L1210" s="82">
        <v>12.1</v>
      </c>
      <c r="M1210">
        <v>13.2</v>
      </c>
      <c r="N1210" s="82">
        <v>21.6</v>
      </c>
      <c r="O1210" s="44">
        <f t="shared" si="56"/>
        <v>8.1045094454600832</v>
      </c>
      <c r="P1210">
        <f t="shared" si="58"/>
        <v>15.260000000000002</v>
      </c>
      <c r="Q1210" s="111">
        <v>0.108</v>
      </c>
      <c r="R1210">
        <v>0.5</v>
      </c>
      <c r="S1210" s="65">
        <v>9</v>
      </c>
      <c r="T1210">
        <v>1</v>
      </c>
      <c r="U1210" t="s">
        <v>54</v>
      </c>
      <c r="V1210" t="s">
        <v>1254</v>
      </c>
      <c r="W1210" t="s">
        <v>1394</v>
      </c>
    </row>
    <row r="1211" spans="1:23" ht="16" x14ac:dyDescent="0.2">
      <c r="A1211" s="5" t="s">
        <v>1384</v>
      </c>
      <c r="B1211" s="6" t="s">
        <v>33</v>
      </c>
      <c r="C1211" s="6" t="s">
        <v>52</v>
      </c>
      <c r="D1211" s="65" t="str">
        <f t="shared" si="57"/>
        <v>107_V_d</v>
      </c>
      <c r="E1211">
        <v>136</v>
      </c>
      <c r="F1211" t="s">
        <v>41</v>
      </c>
      <c r="G1211" t="s">
        <v>1395</v>
      </c>
      <c r="I1211">
        <v>2.2056791104050801</v>
      </c>
      <c r="J1211" s="82">
        <v>27.1</v>
      </c>
      <c r="K1211" s="82">
        <v>28.2</v>
      </c>
      <c r="L1211" s="84">
        <v>24.4</v>
      </c>
      <c r="M1211" s="82">
        <v>23</v>
      </c>
      <c r="N1211" s="82">
        <v>34.299999999999997</v>
      </c>
      <c r="O1211" s="44">
        <f t="shared" si="56"/>
        <v>0.22314183706588778</v>
      </c>
      <c r="P1211">
        <f t="shared" si="58"/>
        <v>27.4</v>
      </c>
      <c r="Q1211" s="111">
        <v>0.20599999999999999</v>
      </c>
      <c r="R1211">
        <v>0.28899999999999998</v>
      </c>
      <c r="S1211" s="65">
        <v>13</v>
      </c>
      <c r="T1211">
        <v>10</v>
      </c>
      <c r="U1211" t="s">
        <v>72</v>
      </c>
      <c r="V1211" t="s">
        <v>1254</v>
      </c>
    </row>
    <row r="1212" spans="1:23" ht="16" x14ac:dyDescent="0.2">
      <c r="A1212" s="5" t="s">
        <v>1384</v>
      </c>
      <c r="B1212" s="6" t="s">
        <v>36</v>
      </c>
      <c r="C1212" s="6" t="s">
        <v>52</v>
      </c>
      <c r="D1212" s="65" t="str">
        <f t="shared" si="57"/>
        <v>107_O_d</v>
      </c>
      <c r="E1212">
        <v>138</v>
      </c>
      <c r="F1212" t="s">
        <v>29</v>
      </c>
      <c r="G1212" t="s">
        <v>1396</v>
      </c>
      <c r="I1212">
        <v>4.09431508920472</v>
      </c>
      <c r="J1212" s="81"/>
      <c r="K1212" s="82">
        <v>37.6</v>
      </c>
      <c r="L1212" s="84">
        <v>39</v>
      </c>
      <c r="M1212" s="82">
        <v>42.5</v>
      </c>
      <c r="N1212" s="82">
        <v>43</v>
      </c>
      <c r="O1212" s="44">
        <f t="shared" ref="O1212:O1275" si="59">VAR(J1212:M1212)/AVERAGE(J1212:M1212)</f>
        <v>0.16045340050377829</v>
      </c>
      <c r="P1212">
        <f t="shared" si="58"/>
        <v>40.524999999999999</v>
      </c>
      <c r="Q1212" s="111">
        <v>0.58699999999999997</v>
      </c>
      <c r="R1212">
        <v>0.40300000000000002</v>
      </c>
      <c r="S1212" s="65">
        <v>11</v>
      </c>
      <c r="T1212">
        <v>16</v>
      </c>
      <c r="U1212" t="s">
        <v>54</v>
      </c>
      <c r="V1212" t="s">
        <v>1254</v>
      </c>
    </row>
    <row r="1213" spans="1:23" ht="16" x14ac:dyDescent="0.2">
      <c r="A1213" s="5" t="s">
        <v>1384</v>
      </c>
      <c r="B1213" s="6" t="s">
        <v>27</v>
      </c>
      <c r="C1213" s="6" t="s">
        <v>52</v>
      </c>
      <c r="D1213" s="65" t="str">
        <f t="shared" si="57"/>
        <v>107_S_d</v>
      </c>
      <c r="E1213">
        <v>141</v>
      </c>
      <c r="F1213" t="s">
        <v>41</v>
      </c>
      <c r="G1213" t="s">
        <v>1397</v>
      </c>
      <c r="H1213" t="s">
        <v>56</v>
      </c>
      <c r="I1213">
        <v>0</v>
      </c>
      <c r="J1213" s="82">
        <v>1.1000000000000001</v>
      </c>
      <c r="K1213" s="82">
        <v>1</v>
      </c>
      <c r="L1213" s="84">
        <v>1</v>
      </c>
      <c r="M1213" s="82">
        <v>1</v>
      </c>
      <c r="N1213" s="82">
        <v>1</v>
      </c>
      <c r="O1213" s="44">
        <f t="shared" si="59"/>
        <v>2.4390243902439068E-3</v>
      </c>
      <c r="P1213">
        <f t="shared" si="58"/>
        <v>1.02</v>
      </c>
      <c r="Q1213" s="111" t="s">
        <v>57</v>
      </c>
      <c r="R1213" t="s">
        <v>57</v>
      </c>
      <c r="S1213" s="65" t="s">
        <v>57</v>
      </c>
      <c r="T1213" t="s">
        <v>57</v>
      </c>
      <c r="V1213" t="s">
        <v>1254</v>
      </c>
      <c r="W1213" t="s">
        <v>67</v>
      </c>
    </row>
    <row r="1214" spans="1:23" ht="16" x14ac:dyDescent="0.2">
      <c r="A1214" s="45" t="s">
        <v>1398</v>
      </c>
      <c r="B1214" s="46" t="s">
        <v>27</v>
      </c>
      <c r="C1214" s="46" t="s">
        <v>28</v>
      </c>
      <c r="D1214" s="67" t="str">
        <f t="shared" si="57"/>
        <v>108_S_a</v>
      </c>
      <c r="E1214" s="47">
        <v>13</v>
      </c>
      <c r="F1214" s="47" t="s">
        <v>29</v>
      </c>
      <c r="G1214" s="47" t="s">
        <v>1399</v>
      </c>
      <c r="H1214" s="47"/>
      <c r="I1214">
        <v>2.8359916054564498</v>
      </c>
      <c r="J1214" s="84">
        <v>1</v>
      </c>
      <c r="K1214" s="82">
        <v>26.5</v>
      </c>
      <c r="L1214" s="82">
        <v>39.200000000000003</v>
      </c>
      <c r="M1214" s="82">
        <v>7.7</v>
      </c>
      <c r="N1214" s="82">
        <v>31.3</v>
      </c>
      <c r="O1214" s="48">
        <f t="shared" si="59"/>
        <v>16.40394265232975</v>
      </c>
      <c r="P1214">
        <f t="shared" si="58"/>
        <v>21.14</v>
      </c>
      <c r="Q1214" s="113">
        <v>0.218</v>
      </c>
      <c r="R1214" s="47">
        <v>0.32400000000000001</v>
      </c>
      <c r="S1214" s="67">
        <v>23</v>
      </c>
      <c r="T1214" s="47">
        <v>35</v>
      </c>
      <c r="U1214" s="47" t="s">
        <v>51</v>
      </c>
      <c r="V1214" t="s">
        <v>1254</v>
      </c>
      <c r="W1214" s="47"/>
    </row>
    <row r="1215" spans="1:23" ht="16" x14ac:dyDescent="0.2">
      <c r="A1215" s="1" t="s">
        <v>1398</v>
      </c>
      <c r="B1215" t="s">
        <v>33</v>
      </c>
      <c r="C1215" t="s">
        <v>28</v>
      </c>
      <c r="D1215" s="65" t="str">
        <f t="shared" si="57"/>
        <v>108_V_a</v>
      </c>
      <c r="E1215">
        <v>20</v>
      </c>
      <c r="F1215" t="s">
        <v>70</v>
      </c>
      <c r="G1215" t="s">
        <v>1400</v>
      </c>
      <c r="I1215">
        <v>3.9491029072694999</v>
      </c>
      <c r="J1215" s="84">
        <v>40.6</v>
      </c>
      <c r="K1215" s="82">
        <v>7.5</v>
      </c>
      <c r="L1215" s="82">
        <v>15.5</v>
      </c>
      <c r="M1215" s="82">
        <v>37.6</v>
      </c>
      <c r="N1215" s="82">
        <v>44</v>
      </c>
      <c r="O1215" s="44">
        <f t="shared" si="59"/>
        <v>10.517259552042164</v>
      </c>
      <c r="P1215">
        <f t="shared" si="58"/>
        <v>29.04</v>
      </c>
      <c r="Q1215" s="111">
        <v>0.20100000000000001</v>
      </c>
      <c r="R1215">
        <v>0.26700000000000002</v>
      </c>
      <c r="S1215" s="65">
        <v>12</v>
      </c>
      <c r="T1215">
        <v>12</v>
      </c>
      <c r="V1215" t="s">
        <v>1254</v>
      </c>
    </row>
    <row r="1216" spans="1:23" x14ac:dyDescent="0.2">
      <c r="A1216" s="5" t="s">
        <v>1398</v>
      </c>
      <c r="B1216" s="6" t="s">
        <v>36</v>
      </c>
      <c r="C1216" s="6" t="s">
        <v>28</v>
      </c>
      <c r="D1216" s="65" t="str">
        <f t="shared" si="57"/>
        <v>108_O_a</v>
      </c>
      <c r="E1216">
        <v>35</v>
      </c>
      <c r="F1216" t="s">
        <v>49</v>
      </c>
      <c r="G1216" t="s">
        <v>1401</v>
      </c>
      <c r="I1216">
        <v>5.3679965579284996</v>
      </c>
      <c r="J1216" s="82">
        <v>8.8000000000000007</v>
      </c>
      <c r="K1216" t="s">
        <v>57</v>
      </c>
      <c r="L1216" s="82">
        <v>27</v>
      </c>
      <c r="M1216" s="82">
        <v>24.7</v>
      </c>
      <c r="N1216" s="82">
        <v>29.5</v>
      </c>
      <c r="O1216" s="44">
        <f t="shared" si="59"/>
        <v>4.8705785123966949</v>
      </c>
      <c r="P1216">
        <f t="shared" si="58"/>
        <v>22.5</v>
      </c>
      <c r="Q1216" s="111">
        <v>0.28299999999999997</v>
      </c>
      <c r="R1216">
        <v>0.47099999999999997</v>
      </c>
      <c r="S1216" s="65">
        <v>17</v>
      </c>
      <c r="T1216">
        <v>16</v>
      </c>
      <c r="U1216" t="s">
        <v>31</v>
      </c>
      <c r="V1216" t="s">
        <v>1254</v>
      </c>
    </row>
    <row r="1217" spans="1:23" x14ac:dyDescent="0.2">
      <c r="A1217" s="5" t="s">
        <v>1398</v>
      </c>
      <c r="B1217" s="6" t="s">
        <v>27</v>
      </c>
      <c r="C1217" s="6" t="s">
        <v>38</v>
      </c>
      <c r="D1217" s="65" t="str">
        <f t="shared" si="57"/>
        <v>108_S_b</v>
      </c>
      <c r="E1217">
        <v>51</v>
      </c>
      <c r="F1217" t="s">
        <v>29</v>
      </c>
      <c r="G1217" t="s">
        <v>1402</v>
      </c>
      <c r="H1217" t="s">
        <v>56</v>
      </c>
      <c r="I1217">
        <v>0</v>
      </c>
      <c r="J1217" s="82">
        <v>1</v>
      </c>
      <c r="K1217" s="82">
        <v>1</v>
      </c>
      <c r="L1217" s="82">
        <v>1</v>
      </c>
      <c r="M1217" s="82">
        <v>0.9</v>
      </c>
      <c r="N1217" s="82">
        <v>1</v>
      </c>
      <c r="O1217" s="44">
        <f t="shared" si="59"/>
        <v>2.5641025641025632E-3</v>
      </c>
      <c r="P1217">
        <f t="shared" si="58"/>
        <v>0.98000000000000009</v>
      </c>
      <c r="Q1217" s="111" t="s">
        <v>57</v>
      </c>
      <c r="R1217" t="s">
        <v>57</v>
      </c>
      <c r="S1217" s="65" t="s">
        <v>57</v>
      </c>
      <c r="T1217" t="s">
        <v>57</v>
      </c>
      <c r="V1217" t="s">
        <v>1254</v>
      </c>
    </row>
    <row r="1218" spans="1:23" x14ac:dyDescent="0.2">
      <c r="A1218" s="5" t="s">
        <v>1398</v>
      </c>
      <c r="B1218" s="6" t="s">
        <v>36</v>
      </c>
      <c r="C1218" s="6" t="s">
        <v>38</v>
      </c>
      <c r="D1218" s="65" t="str">
        <f t="shared" ref="D1218:D1281" si="60">A1218&amp;"_"&amp;B1218&amp;"_"&amp;C1218</f>
        <v>108_O_b</v>
      </c>
      <c r="E1218">
        <v>67</v>
      </c>
      <c r="F1218" t="s">
        <v>49</v>
      </c>
      <c r="G1218" t="s">
        <v>1403</v>
      </c>
      <c r="I1218">
        <v>1.4829000233287499</v>
      </c>
      <c r="J1218" s="82">
        <v>12.4</v>
      </c>
      <c r="K1218" s="82">
        <v>3.4</v>
      </c>
      <c r="L1218" t="s">
        <v>57</v>
      </c>
      <c r="M1218" s="82">
        <v>21.9</v>
      </c>
      <c r="N1218" s="82">
        <v>23.1</v>
      </c>
      <c r="O1218" s="44">
        <f t="shared" si="59"/>
        <v>6.810344827586202</v>
      </c>
      <c r="P1218">
        <f t="shared" ref="P1218:P1281" si="61">AVERAGE(J1218:N1218)</f>
        <v>15.200000000000001</v>
      </c>
      <c r="Q1218" s="111">
        <v>6.2E-2</v>
      </c>
      <c r="R1218">
        <v>9.2999999999999999E-2</v>
      </c>
      <c r="S1218" s="65">
        <v>12</v>
      </c>
      <c r="T1218">
        <v>7</v>
      </c>
      <c r="U1218" t="s">
        <v>31</v>
      </c>
      <c r="V1218" t="s">
        <v>1254</v>
      </c>
    </row>
    <row r="1219" spans="1:23" x14ac:dyDescent="0.2">
      <c r="A1219" s="1" t="s">
        <v>1398</v>
      </c>
      <c r="B1219" t="s">
        <v>33</v>
      </c>
      <c r="C1219" t="s">
        <v>38</v>
      </c>
      <c r="D1219" s="65" t="str">
        <f t="shared" si="60"/>
        <v>108_V_b</v>
      </c>
      <c r="E1219">
        <v>71</v>
      </c>
      <c r="F1219" t="s">
        <v>39</v>
      </c>
      <c r="G1219" t="s">
        <v>1404</v>
      </c>
      <c r="I1219">
        <v>1.92180781265772</v>
      </c>
      <c r="J1219" s="82">
        <v>1.9</v>
      </c>
      <c r="K1219" s="82">
        <v>1.9</v>
      </c>
      <c r="L1219" s="82">
        <v>1.9</v>
      </c>
      <c r="M1219" s="82">
        <v>7.9</v>
      </c>
      <c r="N1219" s="82">
        <v>5.3</v>
      </c>
      <c r="O1219" s="44">
        <f t="shared" si="59"/>
        <v>2.6470588235294135</v>
      </c>
      <c r="P1219">
        <f t="shared" si="61"/>
        <v>3.78</v>
      </c>
      <c r="Q1219" s="111">
        <v>3.5000000000000003E-2</v>
      </c>
      <c r="R1219">
        <v>6.6000000000000003E-2</v>
      </c>
      <c r="S1219" s="65">
        <v>9</v>
      </c>
      <c r="T1219">
        <v>9</v>
      </c>
      <c r="U1219" t="s">
        <v>31</v>
      </c>
      <c r="V1219" t="s">
        <v>1254</v>
      </c>
    </row>
    <row r="1220" spans="1:23" x14ac:dyDescent="0.2">
      <c r="A1220" s="5" t="s">
        <v>1398</v>
      </c>
      <c r="B1220" s="6" t="s">
        <v>36</v>
      </c>
      <c r="C1220" s="6" t="s">
        <v>45</v>
      </c>
      <c r="D1220" s="65" t="str">
        <f t="shared" si="60"/>
        <v>108_O_c</v>
      </c>
      <c r="E1220">
        <v>75</v>
      </c>
      <c r="F1220" t="s">
        <v>39</v>
      </c>
      <c r="G1220" t="s">
        <v>1405</v>
      </c>
      <c r="I1220">
        <v>3.24512195121951</v>
      </c>
      <c r="J1220" s="82">
        <v>26.1</v>
      </c>
      <c r="K1220" s="82">
        <v>26.9</v>
      </c>
      <c r="L1220" s="82">
        <v>43.4</v>
      </c>
      <c r="M1220" s="82">
        <v>31.9</v>
      </c>
      <c r="N1220" s="82">
        <v>12.9</v>
      </c>
      <c r="O1220" s="44">
        <f t="shared" si="59"/>
        <v>1.9825149389451702</v>
      </c>
      <c r="P1220">
        <f t="shared" si="61"/>
        <v>28.240000000000002</v>
      </c>
      <c r="Q1220" s="111">
        <v>0.49299999999999999</v>
      </c>
      <c r="R1220">
        <v>0.433</v>
      </c>
      <c r="S1220" s="65">
        <v>18</v>
      </c>
      <c r="T1220">
        <v>10</v>
      </c>
      <c r="U1220" t="s">
        <v>128</v>
      </c>
      <c r="V1220" t="s">
        <v>1254</v>
      </c>
    </row>
    <row r="1221" spans="1:23" x14ac:dyDescent="0.2">
      <c r="A1221" s="5" t="s">
        <v>1398</v>
      </c>
      <c r="B1221" s="6" t="s">
        <v>27</v>
      </c>
      <c r="C1221" s="6" t="s">
        <v>45</v>
      </c>
      <c r="D1221" s="65" t="str">
        <f t="shared" si="60"/>
        <v>108_S_c</v>
      </c>
      <c r="E1221">
        <v>84</v>
      </c>
      <c r="F1221" t="s">
        <v>43</v>
      </c>
      <c r="G1221" t="s">
        <v>1406</v>
      </c>
      <c r="I1221">
        <v>0</v>
      </c>
      <c r="J1221" s="82">
        <v>1.1000000000000001</v>
      </c>
      <c r="K1221" t="s">
        <v>57</v>
      </c>
      <c r="L1221" s="82">
        <v>1</v>
      </c>
      <c r="M1221" s="82">
        <v>1</v>
      </c>
      <c r="N1221" s="82">
        <v>0.9</v>
      </c>
      <c r="O1221" s="44">
        <f t="shared" si="59"/>
        <v>3.2258064516129089E-3</v>
      </c>
      <c r="P1221">
        <f t="shared" si="61"/>
        <v>1</v>
      </c>
      <c r="Q1221" s="111" t="s">
        <v>57</v>
      </c>
      <c r="R1221" t="s">
        <v>57</v>
      </c>
      <c r="S1221" s="65" t="s">
        <v>57</v>
      </c>
      <c r="T1221" t="s">
        <v>57</v>
      </c>
      <c r="U1221" t="s">
        <v>57</v>
      </c>
      <c r="V1221" t="s">
        <v>1254</v>
      </c>
      <c r="W1221" t="s">
        <v>517</v>
      </c>
    </row>
    <row r="1222" spans="1:23" x14ac:dyDescent="0.2">
      <c r="A1222" s="5" t="s">
        <v>1398</v>
      </c>
      <c r="B1222" s="6" t="s">
        <v>33</v>
      </c>
      <c r="C1222" s="6" t="s">
        <v>45</v>
      </c>
      <c r="D1222" s="65" t="str">
        <f t="shared" si="60"/>
        <v>108_V_c</v>
      </c>
      <c r="E1222">
        <v>104</v>
      </c>
      <c r="F1222" t="s">
        <v>82</v>
      </c>
      <c r="G1222" t="s">
        <v>1407</v>
      </c>
      <c r="I1222">
        <v>4.1553336742521099</v>
      </c>
      <c r="J1222" s="82">
        <v>20.8</v>
      </c>
      <c r="K1222" s="82">
        <v>9.5</v>
      </c>
      <c r="L1222" s="82">
        <v>28</v>
      </c>
      <c r="M1222">
        <v>2.4</v>
      </c>
      <c r="N1222" s="82">
        <v>5.3</v>
      </c>
      <c r="O1222" s="44">
        <f t="shared" si="59"/>
        <v>8.6002745744096707</v>
      </c>
      <c r="P1222">
        <f t="shared" si="61"/>
        <v>13.2</v>
      </c>
      <c r="Q1222" s="111">
        <v>0.24099999999999999</v>
      </c>
      <c r="R1222">
        <v>0.27500000000000002</v>
      </c>
      <c r="S1222" s="65">
        <v>14</v>
      </c>
      <c r="T1222">
        <v>33</v>
      </c>
      <c r="U1222" t="s">
        <v>72</v>
      </c>
      <c r="V1222" t="s">
        <v>1254</v>
      </c>
    </row>
    <row r="1223" spans="1:23" ht="16" x14ac:dyDescent="0.2">
      <c r="A1223" s="5" t="s">
        <v>1398</v>
      </c>
      <c r="B1223" s="6" t="s">
        <v>33</v>
      </c>
      <c r="C1223" s="6" t="s">
        <v>52</v>
      </c>
      <c r="D1223" s="65" t="str">
        <f t="shared" si="60"/>
        <v>108_V_d</v>
      </c>
      <c r="E1223">
        <v>122</v>
      </c>
      <c r="F1223" t="s">
        <v>29</v>
      </c>
      <c r="G1223" t="s">
        <v>1408</v>
      </c>
      <c r="I1223">
        <v>1.89872865964402</v>
      </c>
      <c r="J1223" s="82">
        <v>6.7</v>
      </c>
      <c r="K1223" s="82">
        <v>8.9</v>
      </c>
      <c r="L1223" s="84">
        <v>2.8</v>
      </c>
      <c r="M1223">
        <v>27.8</v>
      </c>
      <c r="N1223" s="82">
        <v>17.899999999999999</v>
      </c>
      <c r="O1223" s="44">
        <f t="shared" si="59"/>
        <v>10.71197691197691</v>
      </c>
      <c r="P1223">
        <f t="shared" si="61"/>
        <v>12.819999999999999</v>
      </c>
      <c r="Q1223" s="111">
        <v>0.16200000000000001</v>
      </c>
      <c r="R1223">
        <v>0.26600000000000001</v>
      </c>
      <c r="S1223" s="65">
        <v>5</v>
      </c>
      <c r="T1223">
        <v>11</v>
      </c>
      <c r="U1223" t="s">
        <v>54</v>
      </c>
      <c r="V1223" t="s">
        <v>1254</v>
      </c>
    </row>
    <row r="1224" spans="1:23" ht="16" x14ac:dyDescent="0.2">
      <c r="A1224" s="5" t="s">
        <v>1398</v>
      </c>
      <c r="B1224" s="6" t="s">
        <v>27</v>
      </c>
      <c r="C1224" s="6" t="s">
        <v>52</v>
      </c>
      <c r="D1224" s="65" t="str">
        <f t="shared" si="60"/>
        <v>108_S_d</v>
      </c>
      <c r="E1224">
        <v>128</v>
      </c>
      <c r="F1224" t="s">
        <v>41</v>
      </c>
      <c r="G1224" t="s">
        <v>1409</v>
      </c>
      <c r="I1224">
        <v>3.5166989073038102</v>
      </c>
      <c r="J1224" s="82">
        <v>28.7</v>
      </c>
      <c r="K1224" s="82">
        <v>29.1</v>
      </c>
      <c r="L1224" s="84">
        <v>31.4</v>
      </c>
      <c r="M1224">
        <v>31.4</v>
      </c>
      <c r="N1224" s="82">
        <v>38.299999999999997</v>
      </c>
      <c r="O1224" s="44">
        <f t="shared" si="59"/>
        <v>6.9983416252072883E-2</v>
      </c>
      <c r="P1224">
        <f t="shared" si="61"/>
        <v>31.779999999999994</v>
      </c>
      <c r="Q1224" s="111">
        <v>0.31900000000000001</v>
      </c>
      <c r="R1224">
        <v>0.29199999999999998</v>
      </c>
      <c r="S1224" s="65">
        <v>15</v>
      </c>
      <c r="T1224">
        <v>3</v>
      </c>
      <c r="U1224" t="s">
        <v>54</v>
      </c>
      <c r="V1224" t="s">
        <v>1254</v>
      </c>
    </row>
    <row r="1225" spans="1:23" ht="16" x14ac:dyDescent="0.2">
      <c r="A1225" s="5" t="s">
        <v>1398</v>
      </c>
      <c r="B1225" s="6" t="s">
        <v>36</v>
      </c>
      <c r="C1225" s="6" t="s">
        <v>52</v>
      </c>
      <c r="D1225" s="65" t="str">
        <f t="shared" si="60"/>
        <v>108_O_d</v>
      </c>
      <c r="E1225">
        <v>143</v>
      </c>
      <c r="F1225" t="s">
        <v>34</v>
      </c>
      <c r="G1225" t="s">
        <v>1410</v>
      </c>
      <c r="I1225">
        <v>2.1644697377528299</v>
      </c>
      <c r="J1225" s="82">
        <v>8.6999999999999993</v>
      </c>
      <c r="K1225" s="82">
        <v>16.899999999999999</v>
      </c>
      <c r="L1225" s="84">
        <v>32.6</v>
      </c>
      <c r="M1225" s="82">
        <v>29.6</v>
      </c>
      <c r="N1225" s="82">
        <v>40.700000000000003</v>
      </c>
      <c r="O1225" s="44">
        <f t="shared" si="59"/>
        <v>5.6645406226271788</v>
      </c>
      <c r="P1225">
        <f t="shared" si="61"/>
        <v>25.7</v>
      </c>
      <c r="Q1225" s="111">
        <v>0.40300000000000002</v>
      </c>
      <c r="R1225">
        <v>0.54300000000000004</v>
      </c>
      <c r="S1225" s="65">
        <v>27</v>
      </c>
      <c r="T1225">
        <v>24</v>
      </c>
      <c r="U1225" t="s">
        <v>54</v>
      </c>
      <c r="V1225" t="s">
        <v>1254</v>
      </c>
    </row>
    <row r="1226" spans="1:23" ht="16" x14ac:dyDescent="0.2">
      <c r="A1226" s="1" t="s">
        <v>1411</v>
      </c>
      <c r="B1226" t="s">
        <v>36</v>
      </c>
      <c r="C1226" t="s">
        <v>28</v>
      </c>
      <c r="D1226" s="65" t="str">
        <f t="shared" si="60"/>
        <v>109_O_a</v>
      </c>
      <c r="E1226">
        <v>12</v>
      </c>
      <c r="F1226" t="s">
        <v>34</v>
      </c>
      <c r="G1226" t="s">
        <v>1412</v>
      </c>
      <c r="I1226">
        <v>2.03336821987623</v>
      </c>
      <c r="J1226" s="84" t="s">
        <v>57</v>
      </c>
      <c r="K1226" s="82">
        <v>18.899999999999999</v>
      </c>
      <c r="L1226" s="82">
        <v>22.8</v>
      </c>
      <c r="M1226" s="82">
        <v>21</v>
      </c>
      <c r="N1226" s="82">
        <v>21.9</v>
      </c>
      <c r="O1226" s="44">
        <f t="shared" si="59"/>
        <v>0.18229665071770351</v>
      </c>
      <c r="P1226">
        <f t="shared" si="61"/>
        <v>21.15</v>
      </c>
      <c r="Q1226" s="111">
        <v>0.11</v>
      </c>
      <c r="R1226">
        <v>0.161</v>
      </c>
      <c r="S1226" s="65">
        <v>5</v>
      </c>
      <c r="T1226" s="47">
        <v>15</v>
      </c>
      <c r="U1226" s="47" t="s">
        <v>54</v>
      </c>
      <c r="V1226" t="s">
        <v>1254</v>
      </c>
    </row>
    <row r="1227" spans="1:23" x14ac:dyDescent="0.2">
      <c r="A1227" s="5" t="s">
        <v>1411</v>
      </c>
      <c r="B1227" s="6" t="s">
        <v>27</v>
      </c>
      <c r="C1227" s="6" t="s">
        <v>28</v>
      </c>
      <c r="D1227" s="65" t="str">
        <f t="shared" si="60"/>
        <v>109_S_a</v>
      </c>
      <c r="E1227">
        <v>30</v>
      </c>
      <c r="F1227" t="s">
        <v>68</v>
      </c>
      <c r="G1227" t="s">
        <v>1413</v>
      </c>
      <c r="I1227">
        <v>0.83104209761279102</v>
      </c>
      <c r="J1227" s="82">
        <v>1.7</v>
      </c>
      <c r="K1227" s="82">
        <v>6.6</v>
      </c>
      <c r="L1227" s="82">
        <v>20</v>
      </c>
      <c r="M1227" s="82">
        <v>39.799999999999997</v>
      </c>
      <c r="N1227" s="82">
        <v>31.9</v>
      </c>
      <c r="O1227" s="44">
        <f t="shared" si="59"/>
        <v>17.055066079295152</v>
      </c>
      <c r="P1227">
        <f t="shared" si="61"/>
        <v>20</v>
      </c>
      <c r="Q1227" s="111">
        <v>2.9000000000000001E-2</v>
      </c>
      <c r="R1227">
        <v>0.13900000000000001</v>
      </c>
      <c r="S1227" s="65">
        <v>5</v>
      </c>
      <c r="T1227">
        <v>7</v>
      </c>
      <c r="U1227" t="s">
        <v>72</v>
      </c>
      <c r="V1227" t="s">
        <v>1254</v>
      </c>
    </row>
    <row r="1228" spans="1:23" x14ac:dyDescent="0.2">
      <c r="A1228" s="1" t="s">
        <v>1411</v>
      </c>
      <c r="B1228" t="s">
        <v>33</v>
      </c>
      <c r="C1228" t="s">
        <v>28</v>
      </c>
      <c r="D1228" s="65" t="str">
        <f t="shared" si="60"/>
        <v>109_V_a</v>
      </c>
      <c r="E1228">
        <v>35</v>
      </c>
      <c r="F1228" t="s">
        <v>29</v>
      </c>
      <c r="G1228" t="s">
        <v>1414</v>
      </c>
      <c r="I1228">
        <v>0</v>
      </c>
      <c r="J1228" s="82">
        <v>1.2</v>
      </c>
      <c r="K1228" t="s">
        <v>57</v>
      </c>
      <c r="L1228" s="82">
        <v>3.9</v>
      </c>
      <c r="M1228" s="82">
        <v>2</v>
      </c>
      <c r="N1228" s="82">
        <v>20.2</v>
      </c>
      <c r="O1228" s="44">
        <f t="shared" si="59"/>
        <v>0.81267605633802831</v>
      </c>
      <c r="P1228">
        <f t="shared" si="61"/>
        <v>6.8249999999999993</v>
      </c>
      <c r="Q1228" s="111">
        <v>3.5000000000000003E-2</v>
      </c>
      <c r="R1228">
        <v>8.3000000000000004E-2</v>
      </c>
      <c r="S1228" s="65">
        <v>3</v>
      </c>
      <c r="T1228">
        <v>26</v>
      </c>
      <c r="U1228" t="s">
        <v>31</v>
      </c>
      <c r="V1228" t="s">
        <v>1254</v>
      </c>
    </row>
    <row r="1229" spans="1:23" x14ac:dyDescent="0.2">
      <c r="A1229" s="5" t="s">
        <v>1411</v>
      </c>
      <c r="B1229" s="6" t="s">
        <v>27</v>
      </c>
      <c r="C1229" s="6" t="s">
        <v>38</v>
      </c>
      <c r="D1229" s="65" t="str">
        <f t="shared" si="60"/>
        <v>109_S_b</v>
      </c>
      <c r="E1229">
        <v>39</v>
      </c>
      <c r="F1229" t="s">
        <v>41</v>
      </c>
      <c r="G1229" t="s">
        <v>1415</v>
      </c>
      <c r="I1229">
        <v>2.1216485962518798</v>
      </c>
      <c r="J1229" s="82">
        <v>3.8</v>
      </c>
      <c r="K1229" s="82">
        <v>21</v>
      </c>
      <c r="L1229" s="82">
        <v>21.9</v>
      </c>
      <c r="M1229" s="82">
        <v>13.5</v>
      </c>
      <c r="N1229" s="82">
        <v>33.1</v>
      </c>
      <c r="O1229" s="44">
        <f t="shared" si="59"/>
        <v>4.6797342192690996</v>
      </c>
      <c r="P1229">
        <f t="shared" si="61"/>
        <v>18.660000000000004</v>
      </c>
      <c r="Q1229" s="111">
        <v>7.5999999999999998E-2</v>
      </c>
      <c r="R1229">
        <v>0.189</v>
      </c>
      <c r="S1229" s="65">
        <v>18</v>
      </c>
      <c r="T1229">
        <v>53</v>
      </c>
      <c r="U1229" t="s">
        <v>31</v>
      </c>
      <c r="V1229" t="s">
        <v>1254</v>
      </c>
    </row>
    <row r="1230" spans="1:23" x14ac:dyDescent="0.2">
      <c r="A1230" s="1" t="s">
        <v>1411</v>
      </c>
      <c r="B1230" t="s">
        <v>33</v>
      </c>
      <c r="C1230" t="s">
        <v>38</v>
      </c>
      <c r="D1230" s="65" t="str">
        <f t="shared" si="60"/>
        <v>109_V_b</v>
      </c>
      <c r="E1230">
        <v>40</v>
      </c>
      <c r="F1230" t="s">
        <v>43</v>
      </c>
      <c r="G1230" t="s">
        <v>1416</v>
      </c>
      <c r="I1230">
        <v>0.37622899974153501</v>
      </c>
      <c r="J1230" s="82">
        <v>3.6</v>
      </c>
      <c r="K1230" s="82">
        <v>30.6</v>
      </c>
      <c r="L1230" s="82">
        <v>26.3</v>
      </c>
      <c r="M1230" s="82">
        <v>26.9</v>
      </c>
      <c r="N1230" s="82">
        <v>36.700000000000003</v>
      </c>
      <c r="O1230" s="44">
        <f t="shared" si="59"/>
        <v>6.9401983218916792</v>
      </c>
      <c r="P1230">
        <f t="shared" si="61"/>
        <v>24.82</v>
      </c>
      <c r="Q1230" s="111">
        <v>0.122</v>
      </c>
      <c r="R1230">
        <v>0.219</v>
      </c>
      <c r="S1230" s="65">
        <v>7</v>
      </c>
      <c r="T1230">
        <v>31</v>
      </c>
      <c r="U1230" t="s">
        <v>51</v>
      </c>
      <c r="V1230" t="s">
        <v>1254</v>
      </c>
    </row>
    <row r="1231" spans="1:23" x14ac:dyDescent="0.2">
      <c r="A1231" s="5" t="s">
        <v>1411</v>
      </c>
      <c r="B1231" s="6" t="s">
        <v>36</v>
      </c>
      <c r="C1231" s="6" t="s">
        <v>38</v>
      </c>
      <c r="D1231" s="65" t="str">
        <f t="shared" si="60"/>
        <v>109_O_b</v>
      </c>
      <c r="E1231">
        <v>66</v>
      </c>
      <c r="F1231" t="s">
        <v>29</v>
      </c>
      <c r="G1231" t="s">
        <v>1417</v>
      </c>
      <c r="I1231">
        <v>0.79834326406045597</v>
      </c>
      <c r="J1231" s="82">
        <v>2.8</v>
      </c>
      <c r="K1231" s="82">
        <v>6</v>
      </c>
      <c r="L1231" t="s">
        <v>57</v>
      </c>
      <c r="M1231" s="82">
        <v>11.7</v>
      </c>
      <c r="N1231" s="82">
        <v>9.1</v>
      </c>
      <c r="O1231" s="44">
        <f t="shared" si="59"/>
        <v>2.9741463414634133</v>
      </c>
      <c r="P1231">
        <f t="shared" si="61"/>
        <v>7.4</v>
      </c>
      <c r="Q1231" s="111">
        <v>2.1999999999999999E-2</v>
      </c>
      <c r="R1231">
        <v>7.0999999999999994E-2</v>
      </c>
      <c r="S1231" s="65">
        <v>6</v>
      </c>
      <c r="T1231">
        <v>8</v>
      </c>
      <c r="U1231" t="s">
        <v>31</v>
      </c>
      <c r="V1231" t="s">
        <v>1254</v>
      </c>
    </row>
    <row r="1232" spans="1:23" x14ac:dyDescent="0.2">
      <c r="A1232" s="5" t="s">
        <v>1411</v>
      </c>
      <c r="B1232" s="6" t="s">
        <v>36</v>
      </c>
      <c r="C1232" s="6" t="s">
        <v>45</v>
      </c>
      <c r="D1232" s="65" t="str">
        <f t="shared" si="60"/>
        <v>109_O_c</v>
      </c>
      <c r="E1232">
        <v>97</v>
      </c>
      <c r="F1232" t="s">
        <v>41</v>
      </c>
      <c r="G1232" t="s">
        <v>1418</v>
      </c>
      <c r="I1232">
        <v>3.0581305637982199</v>
      </c>
      <c r="J1232" s="82">
        <v>51.1</v>
      </c>
      <c r="K1232" s="82">
        <v>10.7</v>
      </c>
      <c r="L1232" s="82">
        <v>43.3</v>
      </c>
      <c r="M1232">
        <v>35.299999999999997</v>
      </c>
      <c r="N1232" s="82">
        <v>40.299999999999997</v>
      </c>
      <c r="O1232" s="44">
        <f t="shared" si="59"/>
        <v>8.7240265906932617</v>
      </c>
      <c r="P1232">
        <f t="shared" si="61"/>
        <v>36.14</v>
      </c>
      <c r="Q1232" s="111">
        <v>0.27700000000000002</v>
      </c>
      <c r="R1232">
        <v>0.49</v>
      </c>
      <c r="S1232" s="65">
        <v>5</v>
      </c>
      <c r="T1232">
        <v>13</v>
      </c>
      <c r="U1232" t="s">
        <v>72</v>
      </c>
      <c r="V1232" t="s">
        <v>1254</v>
      </c>
    </row>
    <row r="1233" spans="1:23" x14ac:dyDescent="0.2">
      <c r="A1233" s="5" t="s">
        <v>1411</v>
      </c>
      <c r="B1233" s="6" t="s">
        <v>33</v>
      </c>
      <c r="C1233" s="6" t="s">
        <v>45</v>
      </c>
      <c r="D1233" s="65" t="str">
        <f t="shared" si="60"/>
        <v>109_V_c</v>
      </c>
      <c r="E1233">
        <v>103</v>
      </c>
      <c r="F1233" t="s">
        <v>34</v>
      </c>
      <c r="G1233" t="s">
        <v>1419</v>
      </c>
      <c r="I1233">
        <v>2.5947905685119901</v>
      </c>
      <c r="J1233" s="82">
        <v>31.4</v>
      </c>
      <c r="K1233" s="82">
        <v>4.7</v>
      </c>
      <c r="L1233" s="82">
        <v>3.3</v>
      </c>
      <c r="M1233">
        <v>4.3</v>
      </c>
      <c r="N1233" s="82">
        <v>28</v>
      </c>
      <c r="O1233" s="44">
        <f t="shared" si="59"/>
        <v>17.086422578184592</v>
      </c>
      <c r="P1233">
        <f t="shared" si="61"/>
        <v>14.339999999999998</v>
      </c>
      <c r="Q1233" s="111">
        <v>0.17</v>
      </c>
      <c r="R1233">
        <v>0.32300000000000001</v>
      </c>
      <c r="S1233" s="65">
        <v>9</v>
      </c>
      <c r="T1233">
        <v>9</v>
      </c>
      <c r="U1233" t="s">
        <v>72</v>
      </c>
      <c r="V1233" t="s">
        <v>1254</v>
      </c>
    </row>
    <row r="1234" spans="1:23" x14ac:dyDescent="0.2">
      <c r="A1234" s="5" t="s">
        <v>1411</v>
      </c>
      <c r="B1234" s="6" t="s">
        <v>27</v>
      </c>
      <c r="C1234" s="6" t="s">
        <v>45</v>
      </c>
      <c r="D1234" s="65" t="str">
        <f t="shared" si="60"/>
        <v>109_S_c</v>
      </c>
      <c r="E1234">
        <v>106</v>
      </c>
      <c r="F1234" t="s">
        <v>39</v>
      </c>
      <c r="G1234" t="s">
        <v>1420</v>
      </c>
      <c r="H1234" t="s">
        <v>56</v>
      </c>
      <c r="I1234">
        <v>0</v>
      </c>
      <c r="J1234" s="82">
        <v>1</v>
      </c>
      <c r="K1234" s="82">
        <v>1</v>
      </c>
      <c r="L1234" s="82">
        <v>1</v>
      </c>
      <c r="M1234">
        <v>1</v>
      </c>
      <c r="N1234" s="82">
        <v>1</v>
      </c>
      <c r="O1234" s="44">
        <f t="shared" si="59"/>
        <v>0</v>
      </c>
      <c r="P1234">
        <f t="shared" si="61"/>
        <v>1</v>
      </c>
      <c r="Q1234" s="111" t="s">
        <v>57</v>
      </c>
      <c r="R1234" t="s">
        <v>57</v>
      </c>
      <c r="S1234" s="65" t="s">
        <v>57</v>
      </c>
      <c r="T1234" t="s">
        <v>57</v>
      </c>
      <c r="U1234" t="s">
        <v>57</v>
      </c>
      <c r="V1234" t="s">
        <v>1254</v>
      </c>
      <c r="W1234" t="s">
        <v>67</v>
      </c>
    </row>
    <row r="1235" spans="1:23" x14ac:dyDescent="0.2">
      <c r="A1235" s="5" t="s">
        <v>1411</v>
      </c>
      <c r="B1235" s="6" t="s">
        <v>27</v>
      </c>
      <c r="C1235" s="6" t="s">
        <v>52</v>
      </c>
      <c r="D1235" s="65" t="str">
        <f t="shared" si="60"/>
        <v>109_S_d</v>
      </c>
      <c r="E1235">
        <v>117</v>
      </c>
      <c r="F1235" t="s">
        <v>34</v>
      </c>
      <c r="G1235" t="s">
        <v>1421</v>
      </c>
      <c r="H1235" t="s">
        <v>56</v>
      </c>
      <c r="I1235">
        <v>0</v>
      </c>
      <c r="J1235" s="82">
        <v>1.1000000000000001</v>
      </c>
      <c r="K1235" s="82">
        <v>1</v>
      </c>
      <c r="L1235" s="82">
        <v>0.9</v>
      </c>
      <c r="M1235">
        <v>1</v>
      </c>
      <c r="N1235" s="82">
        <v>0.9</v>
      </c>
      <c r="O1235" s="44">
        <f t="shared" si="59"/>
        <v>6.6666666666666706E-3</v>
      </c>
      <c r="P1235">
        <f t="shared" si="61"/>
        <v>0.98000000000000009</v>
      </c>
      <c r="Q1235" s="111" t="s">
        <v>57</v>
      </c>
      <c r="R1235" t="s">
        <v>57</v>
      </c>
      <c r="S1235" s="65" t="s">
        <v>57</v>
      </c>
      <c r="T1235" t="s">
        <v>57</v>
      </c>
      <c r="V1235" t="s">
        <v>1254</v>
      </c>
    </row>
    <row r="1236" spans="1:23" ht="16" x14ac:dyDescent="0.2">
      <c r="A1236" s="5" t="s">
        <v>1411</v>
      </c>
      <c r="B1236" s="6" t="s">
        <v>36</v>
      </c>
      <c r="C1236" s="6" t="s">
        <v>52</v>
      </c>
      <c r="D1236" s="65" t="str">
        <f t="shared" si="60"/>
        <v>109_O_d</v>
      </c>
      <c r="E1236">
        <v>133</v>
      </c>
      <c r="F1236" t="s">
        <v>34</v>
      </c>
      <c r="G1236" t="s">
        <v>1422</v>
      </c>
      <c r="I1236">
        <v>0.49831045406546998</v>
      </c>
      <c r="J1236" s="82">
        <v>2.5</v>
      </c>
      <c r="K1236" s="82">
        <v>2.9</v>
      </c>
      <c r="L1236" s="84">
        <v>7.4</v>
      </c>
      <c r="M1236">
        <v>9.3000000000000007</v>
      </c>
      <c r="N1236" s="82">
        <v>15.2</v>
      </c>
      <c r="O1236" s="44">
        <f t="shared" si="59"/>
        <v>2.0396681749622929</v>
      </c>
      <c r="P1236">
        <f t="shared" si="61"/>
        <v>7.4599999999999991</v>
      </c>
      <c r="Q1236" s="111">
        <v>2.1999999999999999E-2</v>
      </c>
      <c r="R1236">
        <v>0.03</v>
      </c>
      <c r="S1236" s="65">
        <v>2</v>
      </c>
      <c r="T1236">
        <v>24</v>
      </c>
      <c r="U1236" t="s">
        <v>51</v>
      </c>
      <c r="V1236" t="s">
        <v>1254</v>
      </c>
    </row>
    <row r="1237" spans="1:23" ht="16" x14ac:dyDescent="0.2">
      <c r="A1237" s="5" t="s">
        <v>1411</v>
      </c>
      <c r="B1237" s="6" t="s">
        <v>33</v>
      </c>
      <c r="C1237" s="6" t="s">
        <v>52</v>
      </c>
      <c r="D1237" s="65" t="str">
        <f t="shared" si="60"/>
        <v>109_V_d</v>
      </c>
      <c r="E1237">
        <v>144</v>
      </c>
      <c r="F1237" t="s">
        <v>43</v>
      </c>
      <c r="G1237" t="s">
        <v>1423</v>
      </c>
      <c r="I1237">
        <v>1.3234002169197401</v>
      </c>
      <c r="J1237" s="82">
        <v>44.5</v>
      </c>
      <c r="K1237" s="82">
        <v>10.7</v>
      </c>
      <c r="L1237" s="84">
        <v>43.2</v>
      </c>
      <c r="M1237" s="82">
        <v>38.5</v>
      </c>
      <c r="N1237" s="82">
        <v>48</v>
      </c>
      <c r="O1237" s="44">
        <f t="shared" si="59"/>
        <v>7.3808375943511022</v>
      </c>
      <c r="P1237">
        <f t="shared" si="61"/>
        <v>36.980000000000004</v>
      </c>
      <c r="Q1237" s="111">
        <v>0.316</v>
      </c>
      <c r="R1237">
        <v>0.42</v>
      </c>
      <c r="S1237" s="65">
        <v>17</v>
      </c>
      <c r="T1237">
        <v>37</v>
      </c>
      <c r="U1237" t="s">
        <v>72</v>
      </c>
      <c r="V1237" t="s">
        <v>1254</v>
      </c>
    </row>
    <row r="1238" spans="1:23" ht="16" x14ac:dyDescent="0.2">
      <c r="A1238" s="45" t="s">
        <v>1424</v>
      </c>
      <c r="B1238" s="46" t="s">
        <v>36</v>
      </c>
      <c r="C1238" s="46" t="s">
        <v>28</v>
      </c>
      <c r="D1238" s="67" t="str">
        <f t="shared" si="60"/>
        <v>110_O_a</v>
      </c>
      <c r="E1238" s="47">
        <v>11</v>
      </c>
      <c r="F1238" s="47" t="s">
        <v>49</v>
      </c>
      <c r="G1238" s="47" t="s">
        <v>1425</v>
      </c>
      <c r="H1238" s="47"/>
      <c r="I1238">
        <v>0</v>
      </c>
      <c r="J1238" s="84">
        <v>1</v>
      </c>
      <c r="K1238" s="82">
        <v>1</v>
      </c>
      <c r="L1238" s="82">
        <v>1</v>
      </c>
      <c r="M1238" s="82">
        <v>1.1000000000000001</v>
      </c>
      <c r="N1238" s="82">
        <v>1</v>
      </c>
      <c r="O1238" s="48">
        <f t="shared" si="59"/>
        <v>2.4390243902439068E-3</v>
      </c>
      <c r="P1238">
        <f t="shared" si="61"/>
        <v>1.02</v>
      </c>
      <c r="Q1238" s="113">
        <v>0</v>
      </c>
      <c r="R1238" s="47">
        <v>8.0000000000000002E-3</v>
      </c>
      <c r="S1238" s="67">
        <v>1</v>
      </c>
      <c r="T1238" s="47">
        <v>0</v>
      </c>
      <c r="U1238" s="47" t="s">
        <v>54</v>
      </c>
      <c r="V1238" t="s">
        <v>1254</v>
      </c>
      <c r="W1238" s="47"/>
    </row>
    <row r="1239" spans="1:23" ht="16" x14ac:dyDescent="0.2">
      <c r="A1239" s="1" t="s">
        <v>1424</v>
      </c>
      <c r="B1239" t="s">
        <v>27</v>
      </c>
      <c r="C1239" t="s">
        <v>28</v>
      </c>
      <c r="D1239" s="65" t="str">
        <f t="shared" si="60"/>
        <v>110_S_a</v>
      </c>
      <c r="E1239">
        <v>14</v>
      </c>
      <c r="F1239" t="s">
        <v>29</v>
      </c>
      <c r="G1239" t="s">
        <v>1426</v>
      </c>
      <c r="I1239">
        <v>3.8435195064248302</v>
      </c>
      <c r="J1239" s="84">
        <v>30.8</v>
      </c>
      <c r="K1239" s="82">
        <v>39</v>
      </c>
      <c r="L1239" s="82">
        <v>42.3</v>
      </c>
      <c r="M1239" s="82">
        <v>32</v>
      </c>
      <c r="N1239" s="82">
        <v>40.4</v>
      </c>
      <c r="O1239" s="44">
        <f t="shared" si="59"/>
        <v>0.84873930141106524</v>
      </c>
      <c r="P1239">
        <f t="shared" si="61"/>
        <v>36.9</v>
      </c>
      <c r="Q1239" s="111">
        <v>0.45400000000000001</v>
      </c>
      <c r="R1239">
        <v>0.49199999999999999</v>
      </c>
      <c r="S1239" s="65">
        <v>9</v>
      </c>
      <c r="T1239">
        <v>20</v>
      </c>
      <c r="U1239" t="s">
        <v>72</v>
      </c>
      <c r="V1239" t="s">
        <v>1254</v>
      </c>
    </row>
    <row r="1240" spans="1:23" x14ac:dyDescent="0.2">
      <c r="A1240" s="1" t="s">
        <v>1424</v>
      </c>
      <c r="B1240" t="s">
        <v>33</v>
      </c>
      <c r="C1240" t="s">
        <v>28</v>
      </c>
      <c r="D1240" s="65" t="str">
        <f t="shared" si="60"/>
        <v>110_V_a</v>
      </c>
      <c r="E1240">
        <v>27</v>
      </c>
      <c r="F1240" t="s">
        <v>29</v>
      </c>
      <c r="G1240" t="s">
        <v>1427</v>
      </c>
      <c r="I1240">
        <v>1.06339893716453</v>
      </c>
      <c r="J1240" s="43">
        <v>1</v>
      </c>
      <c r="K1240" t="s">
        <v>57</v>
      </c>
      <c r="L1240" s="82">
        <v>10.1</v>
      </c>
      <c r="M1240" s="82">
        <v>2.7</v>
      </c>
      <c r="N1240" s="82">
        <v>9.6999999999999993</v>
      </c>
      <c r="O1240" s="44">
        <f t="shared" si="59"/>
        <v>5.0891304347826063</v>
      </c>
      <c r="P1240">
        <f t="shared" si="61"/>
        <v>5.875</v>
      </c>
      <c r="Q1240" s="111">
        <v>2.7E-2</v>
      </c>
      <c r="R1240">
        <v>6.3E-2</v>
      </c>
      <c r="S1240" s="65">
        <v>6</v>
      </c>
      <c r="T1240">
        <v>8</v>
      </c>
      <c r="U1240" t="s">
        <v>31</v>
      </c>
      <c r="V1240" t="s">
        <v>1254</v>
      </c>
    </row>
    <row r="1241" spans="1:23" x14ac:dyDescent="0.2">
      <c r="A1241" s="5" t="s">
        <v>1424</v>
      </c>
      <c r="B1241" s="6" t="s">
        <v>27</v>
      </c>
      <c r="C1241" s="6" t="s">
        <v>38</v>
      </c>
      <c r="D1241" s="65" t="str">
        <f t="shared" si="60"/>
        <v>110_S_b</v>
      </c>
      <c r="E1241">
        <v>37</v>
      </c>
      <c r="F1241" t="s">
        <v>63</v>
      </c>
      <c r="G1241" t="s">
        <v>1428</v>
      </c>
      <c r="I1241">
        <v>1.2693970033528901</v>
      </c>
      <c r="J1241" s="82">
        <v>27.2</v>
      </c>
      <c r="K1241" s="82">
        <v>9.5</v>
      </c>
      <c r="L1241" s="82">
        <v>2.9</v>
      </c>
      <c r="M1241" s="82">
        <v>20.9</v>
      </c>
      <c r="N1241" s="82">
        <v>29.6</v>
      </c>
      <c r="O1241" s="44">
        <f t="shared" si="59"/>
        <v>7.9393388429752054</v>
      </c>
      <c r="P1241">
        <f t="shared" si="61"/>
        <v>18.02</v>
      </c>
      <c r="Q1241" s="111">
        <v>7.0000000000000007E-2</v>
      </c>
      <c r="R1241">
        <v>0.13100000000000001</v>
      </c>
      <c r="S1241" s="65">
        <v>5</v>
      </c>
      <c r="T1241">
        <v>44</v>
      </c>
      <c r="U1241" t="s">
        <v>31</v>
      </c>
      <c r="V1241" t="s">
        <v>1254</v>
      </c>
    </row>
    <row r="1242" spans="1:23" x14ac:dyDescent="0.2">
      <c r="A1242" s="5" t="s">
        <v>1424</v>
      </c>
      <c r="B1242" s="6" t="s">
        <v>36</v>
      </c>
      <c r="C1242" s="6" t="s">
        <v>38</v>
      </c>
      <c r="D1242" s="65" t="str">
        <f t="shared" si="60"/>
        <v>110_O_b</v>
      </c>
      <c r="E1242">
        <v>70</v>
      </c>
      <c r="F1242" t="s">
        <v>39</v>
      </c>
      <c r="G1242" t="s">
        <v>1429</v>
      </c>
      <c r="I1242">
        <v>0</v>
      </c>
      <c r="J1242" s="82">
        <v>1</v>
      </c>
      <c r="K1242" s="82">
        <v>1</v>
      </c>
      <c r="L1242" s="82">
        <v>0.9</v>
      </c>
      <c r="M1242" s="82">
        <v>1</v>
      </c>
      <c r="N1242" s="82">
        <v>1.4</v>
      </c>
      <c r="O1242" s="44">
        <f t="shared" si="59"/>
        <v>2.5641025641025632E-3</v>
      </c>
      <c r="P1242">
        <f t="shared" si="61"/>
        <v>1.06</v>
      </c>
      <c r="Q1242" s="111" t="s">
        <v>57</v>
      </c>
      <c r="R1242">
        <v>0.01</v>
      </c>
      <c r="S1242" s="65" t="s">
        <v>57</v>
      </c>
      <c r="T1242" t="s">
        <v>57</v>
      </c>
      <c r="U1242" t="s">
        <v>57</v>
      </c>
      <c r="V1242" t="s">
        <v>1254</v>
      </c>
      <c r="W1242" t="s">
        <v>1430</v>
      </c>
    </row>
    <row r="1243" spans="1:23" x14ac:dyDescent="0.2">
      <c r="A1243" s="1" t="s">
        <v>1424</v>
      </c>
      <c r="B1243" t="s">
        <v>33</v>
      </c>
      <c r="C1243" t="s">
        <v>38</v>
      </c>
      <c r="D1243" s="65" t="str">
        <f t="shared" si="60"/>
        <v>110_V_b</v>
      </c>
      <c r="E1243">
        <v>71</v>
      </c>
      <c r="F1243" t="s">
        <v>63</v>
      </c>
      <c r="G1243" t="s">
        <v>1431</v>
      </c>
      <c r="I1243">
        <v>1.91081558493994</v>
      </c>
      <c r="J1243" s="82">
        <v>24.9</v>
      </c>
      <c r="K1243" s="82">
        <v>4.5999999999999996</v>
      </c>
      <c r="L1243" s="82">
        <v>3.7</v>
      </c>
      <c r="M1243" s="82">
        <v>23.7</v>
      </c>
      <c r="N1243" s="82">
        <v>29.3</v>
      </c>
      <c r="O1243" s="44">
        <f t="shared" si="59"/>
        <v>9.5406561218511907</v>
      </c>
      <c r="P1243">
        <f t="shared" si="61"/>
        <v>17.240000000000002</v>
      </c>
      <c r="Q1243" s="111">
        <v>6.7000000000000004E-2</v>
      </c>
      <c r="R1243">
        <v>0.24299999999999999</v>
      </c>
      <c r="S1243" s="65">
        <v>2</v>
      </c>
      <c r="T1243">
        <v>32</v>
      </c>
      <c r="U1243" t="s">
        <v>31</v>
      </c>
      <c r="V1243" t="s">
        <v>1254</v>
      </c>
    </row>
    <row r="1244" spans="1:23" x14ac:dyDescent="0.2">
      <c r="A1244" s="5" t="s">
        <v>1424</v>
      </c>
      <c r="B1244" s="6" t="s">
        <v>27</v>
      </c>
      <c r="C1244" s="6" t="s">
        <v>45</v>
      </c>
      <c r="D1244" s="65" t="str">
        <f t="shared" si="60"/>
        <v>110_S_c</v>
      </c>
      <c r="E1244">
        <v>81</v>
      </c>
      <c r="F1244" t="s">
        <v>39</v>
      </c>
      <c r="G1244" t="s">
        <v>1432</v>
      </c>
      <c r="I1244">
        <v>0</v>
      </c>
      <c r="J1244" s="82">
        <v>1</v>
      </c>
      <c r="K1244" s="82">
        <v>1</v>
      </c>
      <c r="L1244" s="82">
        <v>0.9</v>
      </c>
      <c r="M1244" s="82">
        <v>1</v>
      </c>
      <c r="N1244" s="82">
        <v>1</v>
      </c>
      <c r="O1244" s="44">
        <f t="shared" si="59"/>
        <v>2.5641025641025632E-3</v>
      </c>
      <c r="P1244">
        <f t="shared" si="61"/>
        <v>0.98000000000000009</v>
      </c>
      <c r="Q1244" s="111" t="s">
        <v>57</v>
      </c>
      <c r="R1244" t="s">
        <v>57</v>
      </c>
      <c r="S1244" s="65" t="s">
        <v>57</v>
      </c>
      <c r="T1244" t="s">
        <v>57</v>
      </c>
      <c r="U1244" t="s">
        <v>57</v>
      </c>
      <c r="V1244" t="s">
        <v>1254</v>
      </c>
      <c r="W1244" t="s">
        <v>517</v>
      </c>
    </row>
    <row r="1245" spans="1:23" x14ac:dyDescent="0.2">
      <c r="A1245" s="5" t="s">
        <v>1424</v>
      </c>
      <c r="B1245" s="6" t="s">
        <v>36</v>
      </c>
      <c r="C1245" s="6" t="s">
        <v>45</v>
      </c>
      <c r="D1245" s="65" t="str">
        <f t="shared" si="60"/>
        <v>110_O_c</v>
      </c>
      <c r="E1245">
        <v>85</v>
      </c>
      <c r="F1245" t="s">
        <v>29</v>
      </c>
      <c r="G1245" t="s">
        <v>1433</v>
      </c>
      <c r="I1245">
        <v>1.41684543148338</v>
      </c>
      <c r="J1245" s="43">
        <v>3.1</v>
      </c>
      <c r="K1245" s="43">
        <v>2.8</v>
      </c>
      <c r="L1245" s="82">
        <v>19.899999999999999</v>
      </c>
      <c r="M1245" s="82">
        <v>23.1</v>
      </c>
      <c r="N1245" s="82">
        <v>25.9</v>
      </c>
      <c r="O1245" s="44">
        <f t="shared" si="59"/>
        <v>9.5233128834355814</v>
      </c>
      <c r="P1245">
        <f t="shared" si="61"/>
        <v>14.959999999999999</v>
      </c>
      <c r="Q1245" s="111">
        <v>0.13400000000000001</v>
      </c>
      <c r="R1245">
        <v>0.17399999999999999</v>
      </c>
      <c r="S1245" s="65">
        <v>5</v>
      </c>
      <c r="T1245">
        <v>35</v>
      </c>
      <c r="U1245" t="s">
        <v>72</v>
      </c>
      <c r="V1245" t="s">
        <v>1254</v>
      </c>
    </row>
    <row r="1246" spans="1:23" x14ac:dyDescent="0.2">
      <c r="A1246" s="5" t="s">
        <v>1424</v>
      </c>
      <c r="B1246" s="6" t="s">
        <v>33</v>
      </c>
      <c r="C1246" s="6" t="s">
        <v>45</v>
      </c>
      <c r="D1246" s="65" t="str">
        <f t="shared" si="60"/>
        <v>110_V_c</v>
      </c>
      <c r="E1246">
        <v>92</v>
      </c>
      <c r="F1246" t="s">
        <v>34</v>
      </c>
      <c r="G1246" t="s">
        <v>1434</v>
      </c>
      <c r="I1246">
        <v>1.6658964261832201</v>
      </c>
      <c r="J1246" s="82">
        <v>2.8</v>
      </c>
      <c r="K1246" s="82">
        <v>25.6</v>
      </c>
      <c r="L1246" s="82">
        <v>2.5</v>
      </c>
      <c r="M1246">
        <v>16.2</v>
      </c>
      <c r="N1246" s="82">
        <v>14.1</v>
      </c>
      <c r="O1246" s="44">
        <f t="shared" si="59"/>
        <v>10.680467091295117</v>
      </c>
      <c r="P1246">
        <f t="shared" si="61"/>
        <v>12.24</v>
      </c>
      <c r="Q1246" s="111">
        <v>0.21</v>
      </c>
      <c r="R1246">
        <v>0.44700000000000001</v>
      </c>
      <c r="S1246" s="65">
        <v>15</v>
      </c>
      <c r="T1246">
        <v>25</v>
      </c>
      <c r="U1246" t="s">
        <v>54</v>
      </c>
      <c r="V1246" t="s">
        <v>1254</v>
      </c>
    </row>
    <row r="1247" spans="1:23" ht="16" x14ac:dyDescent="0.2">
      <c r="A1247" s="5" t="s">
        <v>1424</v>
      </c>
      <c r="B1247" s="6" t="s">
        <v>33</v>
      </c>
      <c r="C1247" s="6" t="s">
        <v>52</v>
      </c>
      <c r="D1247" s="65" t="str">
        <f t="shared" si="60"/>
        <v>110_V_d</v>
      </c>
      <c r="E1247">
        <v>121</v>
      </c>
      <c r="F1247" t="s">
        <v>68</v>
      </c>
      <c r="G1247" t="s">
        <v>1435</v>
      </c>
      <c r="I1247">
        <v>1.6873574214438101</v>
      </c>
      <c r="J1247" s="82">
        <v>11.5</v>
      </c>
      <c r="K1247" s="82">
        <v>4.8</v>
      </c>
      <c r="L1247" s="84">
        <v>4.0999999999999996</v>
      </c>
      <c r="M1247">
        <v>3.2</v>
      </c>
      <c r="N1247" s="82">
        <v>6.8</v>
      </c>
      <c r="O1247" s="44">
        <f t="shared" si="59"/>
        <v>2.4350282485875723</v>
      </c>
      <c r="P1247">
        <f t="shared" si="61"/>
        <v>6.08</v>
      </c>
      <c r="Q1247" s="111">
        <v>4.3999999999999997E-2</v>
      </c>
      <c r="R1247">
        <v>9.5000000000000001E-2</v>
      </c>
      <c r="S1247" s="65">
        <v>9</v>
      </c>
      <c r="T1247">
        <v>19</v>
      </c>
      <c r="U1247" t="s">
        <v>31</v>
      </c>
      <c r="V1247" t="s">
        <v>1254</v>
      </c>
    </row>
    <row r="1248" spans="1:23" ht="16" x14ac:dyDescent="0.2">
      <c r="A1248" s="5" t="s">
        <v>1424</v>
      </c>
      <c r="B1248" s="6" t="s">
        <v>36</v>
      </c>
      <c r="C1248" s="6" t="s">
        <v>52</v>
      </c>
      <c r="D1248" s="65" t="str">
        <f t="shared" si="60"/>
        <v>110_O_d</v>
      </c>
      <c r="E1248">
        <v>129</v>
      </c>
      <c r="F1248" t="s">
        <v>39</v>
      </c>
      <c r="G1248" t="s">
        <v>1436</v>
      </c>
      <c r="I1248">
        <v>0.31321324981109999</v>
      </c>
      <c r="J1248" s="82">
        <v>1.1000000000000001</v>
      </c>
      <c r="K1248" s="82">
        <v>1</v>
      </c>
      <c r="L1248" s="84">
        <v>1</v>
      </c>
      <c r="M1248">
        <v>1</v>
      </c>
      <c r="N1248" s="82">
        <v>0.9</v>
      </c>
      <c r="O1248" s="44">
        <f t="shared" si="59"/>
        <v>2.4390243902439068E-3</v>
      </c>
      <c r="P1248">
        <f t="shared" si="61"/>
        <v>1</v>
      </c>
      <c r="Q1248" s="111">
        <v>2E-3</v>
      </c>
      <c r="R1248">
        <v>1E-3</v>
      </c>
      <c r="S1248" s="65">
        <v>0</v>
      </c>
      <c r="T1248">
        <v>4</v>
      </c>
      <c r="U1248" t="s">
        <v>47</v>
      </c>
      <c r="V1248" t="s">
        <v>1254</v>
      </c>
      <c r="W1248" t="s">
        <v>1437</v>
      </c>
    </row>
    <row r="1249" spans="1:23" ht="16" x14ac:dyDescent="0.2">
      <c r="A1249" s="5" t="s">
        <v>1424</v>
      </c>
      <c r="B1249" s="6" t="s">
        <v>27</v>
      </c>
      <c r="C1249" s="6" t="s">
        <v>52</v>
      </c>
      <c r="D1249" s="65" t="str">
        <f t="shared" si="60"/>
        <v>110_S_d</v>
      </c>
      <c r="E1249">
        <v>130</v>
      </c>
      <c r="F1249" t="s">
        <v>70</v>
      </c>
      <c r="G1249" t="s">
        <v>1438</v>
      </c>
      <c r="H1249" t="s">
        <v>56</v>
      </c>
      <c r="I1249">
        <v>0</v>
      </c>
      <c r="J1249" s="82">
        <v>1.1000000000000001</v>
      </c>
      <c r="K1249" s="82">
        <v>1</v>
      </c>
      <c r="L1249" s="84">
        <v>1</v>
      </c>
      <c r="M1249">
        <v>1</v>
      </c>
      <c r="N1249" s="82">
        <v>0.9</v>
      </c>
      <c r="O1249" s="44">
        <f t="shared" si="59"/>
        <v>2.4390243902439068E-3</v>
      </c>
      <c r="P1249">
        <f t="shared" si="61"/>
        <v>1</v>
      </c>
      <c r="Q1249" s="111" t="s">
        <v>57</v>
      </c>
      <c r="R1249" t="s">
        <v>57</v>
      </c>
      <c r="S1249" s="65" t="s">
        <v>57</v>
      </c>
      <c r="T1249" t="s">
        <v>57</v>
      </c>
      <c r="V1249" t="s">
        <v>1254</v>
      </c>
      <c r="W1249" t="s">
        <v>67</v>
      </c>
    </row>
    <row r="1250" spans="1:23" ht="16" x14ac:dyDescent="0.2">
      <c r="A1250" s="1" t="s">
        <v>1439</v>
      </c>
      <c r="B1250" t="s">
        <v>33</v>
      </c>
      <c r="C1250" t="s">
        <v>28</v>
      </c>
      <c r="D1250" s="65" t="str">
        <f t="shared" si="60"/>
        <v>111_V_a</v>
      </c>
      <c r="E1250">
        <v>4</v>
      </c>
      <c r="F1250" t="s">
        <v>34</v>
      </c>
      <c r="G1250" t="s">
        <v>1440</v>
      </c>
      <c r="I1250">
        <v>1.3909133562714999</v>
      </c>
      <c r="J1250" s="84">
        <v>2</v>
      </c>
      <c r="K1250" s="82">
        <v>10.9</v>
      </c>
      <c r="L1250" s="82">
        <v>18.600000000000001</v>
      </c>
      <c r="M1250" s="82">
        <v>21</v>
      </c>
      <c r="N1250" s="82">
        <v>2.7</v>
      </c>
      <c r="O1250" s="44">
        <f t="shared" si="59"/>
        <v>5.6052698412698412</v>
      </c>
      <c r="P1250">
        <f t="shared" si="61"/>
        <v>11.040000000000001</v>
      </c>
      <c r="Q1250" s="111">
        <v>6.0999999999999999E-2</v>
      </c>
      <c r="R1250">
        <v>0.187</v>
      </c>
      <c r="S1250" s="65">
        <v>5</v>
      </c>
      <c r="T1250">
        <v>23</v>
      </c>
      <c r="U1250" t="s">
        <v>61</v>
      </c>
      <c r="V1250" t="s">
        <v>1254</v>
      </c>
    </row>
    <row r="1251" spans="1:23" ht="16" x14ac:dyDescent="0.2">
      <c r="A1251" s="5" t="s">
        <v>1439</v>
      </c>
      <c r="B1251" s="6" t="s">
        <v>36</v>
      </c>
      <c r="C1251" s="6" t="s">
        <v>28</v>
      </c>
      <c r="D1251" s="65" t="str">
        <f t="shared" si="60"/>
        <v>111_O_a</v>
      </c>
      <c r="E1251">
        <v>7</v>
      </c>
      <c r="F1251" t="s">
        <v>63</v>
      </c>
      <c r="G1251" t="s">
        <v>1441</v>
      </c>
      <c r="I1251">
        <v>1.5342802378728999</v>
      </c>
      <c r="J1251" s="84">
        <v>21.5</v>
      </c>
      <c r="K1251" s="82">
        <v>8.1</v>
      </c>
      <c r="L1251" s="82">
        <v>27.2</v>
      </c>
      <c r="M1251" s="82">
        <v>26</v>
      </c>
      <c r="N1251" s="82">
        <v>27.1</v>
      </c>
      <c r="O1251" s="44">
        <f t="shared" si="59"/>
        <v>3.6995169082125603</v>
      </c>
      <c r="P1251">
        <f t="shared" si="61"/>
        <v>21.98</v>
      </c>
      <c r="Q1251" s="111">
        <v>0.14799999999999999</v>
      </c>
      <c r="R1251">
        <v>0.22900000000000001</v>
      </c>
      <c r="S1251" s="65">
        <v>13</v>
      </c>
      <c r="T1251">
        <v>18</v>
      </c>
      <c r="U1251" t="s">
        <v>31</v>
      </c>
      <c r="V1251" t="s">
        <v>1254</v>
      </c>
    </row>
    <row r="1252" spans="1:23" x14ac:dyDescent="0.2">
      <c r="A1252" s="5" t="s">
        <v>1439</v>
      </c>
      <c r="B1252" s="6" t="s">
        <v>27</v>
      </c>
      <c r="C1252" s="6" t="s">
        <v>28</v>
      </c>
      <c r="D1252" s="65" t="str">
        <f t="shared" si="60"/>
        <v>111_S_a</v>
      </c>
      <c r="E1252">
        <v>35</v>
      </c>
      <c r="F1252" t="s">
        <v>68</v>
      </c>
      <c r="G1252" t="s">
        <v>1442</v>
      </c>
      <c r="I1252">
        <v>8.7425174059297497</v>
      </c>
      <c r="J1252" s="82">
        <v>35.799999999999997</v>
      </c>
      <c r="K1252" t="s">
        <v>57</v>
      </c>
      <c r="L1252" s="82">
        <v>29.8</v>
      </c>
      <c r="M1252" s="82">
        <v>34.1</v>
      </c>
      <c r="N1252" s="82">
        <v>47.4</v>
      </c>
      <c r="O1252" s="44">
        <f t="shared" si="59"/>
        <v>0.28776328986960864</v>
      </c>
      <c r="P1252">
        <f t="shared" si="61"/>
        <v>36.774999999999999</v>
      </c>
      <c r="Q1252" s="111">
        <v>0.69</v>
      </c>
      <c r="R1252">
        <v>0.73099999999999998</v>
      </c>
      <c r="S1252" s="65">
        <v>35</v>
      </c>
      <c r="T1252">
        <v>31</v>
      </c>
      <c r="U1252" t="s">
        <v>31</v>
      </c>
      <c r="V1252" t="s">
        <v>1254</v>
      </c>
    </row>
    <row r="1253" spans="1:23" x14ac:dyDescent="0.2">
      <c r="A1253" s="5" t="s">
        <v>1439</v>
      </c>
      <c r="B1253" s="6" t="s">
        <v>36</v>
      </c>
      <c r="C1253" s="6" t="s">
        <v>38</v>
      </c>
      <c r="D1253" s="65" t="str">
        <f t="shared" si="60"/>
        <v>111_O_b</v>
      </c>
      <c r="E1253">
        <v>37</v>
      </c>
      <c r="F1253" t="s">
        <v>29</v>
      </c>
      <c r="G1253" t="s">
        <v>1443</v>
      </c>
      <c r="I1253">
        <v>0.98889354568315202</v>
      </c>
      <c r="J1253" s="82">
        <v>14.2</v>
      </c>
      <c r="K1253" s="82">
        <v>11.4</v>
      </c>
      <c r="L1253" s="82">
        <v>26.3</v>
      </c>
      <c r="M1253" s="82">
        <v>13.9</v>
      </c>
      <c r="N1253" s="82">
        <v>33.6</v>
      </c>
      <c r="O1253" s="44">
        <f t="shared" si="59"/>
        <v>2.7171225937183316</v>
      </c>
      <c r="P1253">
        <f t="shared" si="61"/>
        <v>19.880000000000003</v>
      </c>
      <c r="Q1253" s="111">
        <v>0.06</v>
      </c>
      <c r="R1253">
        <v>0.11899999999999999</v>
      </c>
      <c r="S1253" s="65">
        <v>3</v>
      </c>
      <c r="T1253">
        <v>3</v>
      </c>
      <c r="U1253" t="s">
        <v>31</v>
      </c>
      <c r="V1253" t="s">
        <v>1254</v>
      </c>
    </row>
    <row r="1254" spans="1:23" x14ac:dyDescent="0.2">
      <c r="A1254" s="1" t="s">
        <v>1439</v>
      </c>
      <c r="B1254" t="s">
        <v>33</v>
      </c>
      <c r="C1254" t="s">
        <v>38</v>
      </c>
      <c r="D1254" s="65" t="str">
        <f t="shared" si="60"/>
        <v>111_V_b</v>
      </c>
      <c r="E1254">
        <v>41</v>
      </c>
      <c r="F1254" t="s">
        <v>70</v>
      </c>
      <c r="G1254" t="s">
        <v>1444</v>
      </c>
      <c r="I1254">
        <v>5.2736846050067498</v>
      </c>
      <c r="J1254" s="82">
        <v>24.5</v>
      </c>
      <c r="K1254" s="82">
        <v>32.9</v>
      </c>
      <c r="L1254" s="82">
        <v>38</v>
      </c>
      <c r="M1254" s="82">
        <v>40.4</v>
      </c>
      <c r="N1254" s="82">
        <v>47.8</v>
      </c>
      <c r="O1254" s="44">
        <f t="shared" si="59"/>
        <v>1.4571428571428466</v>
      </c>
      <c r="P1254">
        <f t="shared" si="61"/>
        <v>36.720000000000006</v>
      </c>
      <c r="Q1254" s="111">
        <v>0.52100000000000002</v>
      </c>
      <c r="R1254">
        <v>0.629</v>
      </c>
      <c r="S1254" s="65">
        <v>21</v>
      </c>
      <c r="T1254">
        <v>28</v>
      </c>
      <c r="U1254" t="s">
        <v>31</v>
      </c>
      <c r="V1254" t="s">
        <v>1254</v>
      </c>
    </row>
    <row r="1255" spans="1:23" x14ac:dyDescent="0.2">
      <c r="A1255" s="5" t="s">
        <v>1439</v>
      </c>
      <c r="B1255" s="6" t="s">
        <v>27</v>
      </c>
      <c r="C1255" s="6" t="s">
        <v>38</v>
      </c>
      <c r="D1255" s="65" t="str">
        <f t="shared" si="60"/>
        <v>111_S_b</v>
      </c>
      <c r="E1255">
        <v>43</v>
      </c>
      <c r="F1255" t="s">
        <v>39</v>
      </c>
      <c r="G1255" t="s">
        <v>1445</v>
      </c>
      <c r="I1255">
        <v>6.4265198237885501</v>
      </c>
      <c r="J1255" s="82">
        <v>15.4</v>
      </c>
      <c r="K1255" s="82">
        <v>35.4</v>
      </c>
      <c r="L1255" s="82">
        <v>9.6999999999999993</v>
      </c>
      <c r="M1255" s="82">
        <v>11.6</v>
      </c>
      <c r="N1255" s="82">
        <v>2.1</v>
      </c>
      <c r="O1255" s="44">
        <f t="shared" si="59"/>
        <v>7.7552935737401771</v>
      </c>
      <c r="P1255">
        <f t="shared" si="61"/>
        <v>14.839999999999998</v>
      </c>
      <c r="Q1255" s="111">
        <v>0.37</v>
      </c>
      <c r="R1255">
        <v>0.59599999999999997</v>
      </c>
      <c r="S1255" s="65">
        <v>16</v>
      </c>
      <c r="T1255">
        <v>10</v>
      </c>
      <c r="U1255" t="s">
        <v>54</v>
      </c>
      <c r="V1255" t="s">
        <v>1254</v>
      </c>
    </row>
    <row r="1256" spans="1:23" x14ac:dyDescent="0.2">
      <c r="A1256" s="5" t="s">
        <v>1439</v>
      </c>
      <c r="B1256" s="6" t="s">
        <v>33</v>
      </c>
      <c r="C1256" s="6" t="s">
        <v>45</v>
      </c>
      <c r="D1256" s="65" t="str">
        <f t="shared" si="60"/>
        <v>111_V_c</v>
      </c>
      <c r="E1256">
        <v>74</v>
      </c>
      <c r="F1256" t="s">
        <v>63</v>
      </c>
      <c r="G1256" t="s">
        <v>1446</v>
      </c>
      <c r="I1256">
        <v>0.883538077275971</v>
      </c>
      <c r="J1256" s="82">
        <v>20.100000000000001</v>
      </c>
      <c r="K1256" s="82">
        <v>9.5</v>
      </c>
      <c r="L1256" s="82">
        <v>5.4</v>
      </c>
      <c r="M1256" s="82">
        <v>27.9</v>
      </c>
      <c r="N1256" s="82">
        <v>30.1</v>
      </c>
      <c r="O1256" s="44">
        <f t="shared" si="59"/>
        <v>6.6290937996820345</v>
      </c>
      <c r="P1256">
        <f t="shared" si="61"/>
        <v>18.600000000000001</v>
      </c>
      <c r="Q1256" s="111">
        <v>0.12</v>
      </c>
      <c r="R1256">
        <v>0.41699999999999998</v>
      </c>
      <c r="S1256" s="65">
        <v>14</v>
      </c>
      <c r="T1256">
        <v>6</v>
      </c>
      <c r="U1256" t="s">
        <v>51</v>
      </c>
      <c r="V1256" t="s">
        <v>1254</v>
      </c>
    </row>
    <row r="1257" spans="1:23" x14ac:dyDescent="0.2">
      <c r="A1257" s="5" t="s">
        <v>1439</v>
      </c>
      <c r="B1257" s="6" t="s">
        <v>27</v>
      </c>
      <c r="C1257" s="6" t="s">
        <v>45</v>
      </c>
      <c r="D1257" s="65" t="str">
        <f t="shared" si="60"/>
        <v>111_S_c</v>
      </c>
      <c r="E1257">
        <v>81</v>
      </c>
      <c r="F1257" t="s">
        <v>70</v>
      </c>
      <c r="G1257" t="s">
        <v>1447</v>
      </c>
      <c r="I1257">
        <v>0</v>
      </c>
      <c r="J1257" s="82">
        <v>1</v>
      </c>
      <c r="K1257" s="82">
        <v>1.1000000000000001</v>
      </c>
      <c r="L1257" s="82">
        <v>1</v>
      </c>
      <c r="M1257" s="82">
        <v>1</v>
      </c>
      <c r="N1257" s="82">
        <v>0.9</v>
      </c>
      <c r="O1257" s="44">
        <f t="shared" si="59"/>
        <v>2.4390243902439068E-3</v>
      </c>
      <c r="P1257">
        <f t="shared" si="61"/>
        <v>1</v>
      </c>
      <c r="Q1257" s="111" t="s">
        <v>57</v>
      </c>
      <c r="R1257" t="s">
        <v>57</v>
      </c>
      <c r="S1257" s="65" t="s">
        <v>57</v>
      </c>
      <c r="T1257" t="s">
        <v>57</v>
      </c>
      <c r="U1257" t="s">
        <v>57</v>
      </c>
      <c r="V1257" t="s">
        <v>1254</v>
      </c>
      <c r="W1257" t="s">
        <v>517</v>
      </c>
    </row>
    <row r="1258" spans="1:23" x14ac:dyDescent="0.2">
      <c r="A1258" s="5" t="s">
        <v>1439</v>
      </c>
      <c r="B1258" s="6" t="s">
        <v>36</v>
      </c>
      <c r="C1258" s="6" t="s">
        <v>45</v>
      </c>
      <c r="D1258" s="65" t="str">
        <f t="shared" si="60"/>
        <v>111_O_c</v>
      </c>
      <c r="E1258">
        <v>90</v>
      </c>
      <c r="F1258" t="s">
        <v>39</v>
      </c>
      <c r="G1258" t="s">
        <v>1448</v>
      </c>
      <c r="I1258">
        <v>2.2174010401617998</v>
      </c>
      <c r="J1258" s="82">
        <v>22.2</v>
      </c>
      <c r="K1258" s="82">
        <v>23.6</v>
      </c>
      <c r="L1258" s="82">
        <v>30.8</v>
      </c>
      <c r="M1258" s="82">
        <v>30</v>
      </c>
      <c r="N1258" s="82">
        <v>34.6</v>
      </c>
      <c r="O1258" s="44">
        <f t="shared" si="59"/>
        <v>0.71982489055660015</v>
      </c>
      <c r="P1258">
        <f t="shared" si="61"/>
        <v>28.24</v>
      </c>
      <c r="Q1258" s="111">
        <v>0.13800000000000001</v>
      </c>
      <c r="R1258">
        <v>0.27200000000000002</v>
      </c>
      <c r="S1258" s="65">
        <v>19</v>
      </c>
      <c r="T1258">
        <v>16</v>
      </c>
      <c r="U1258" t="s">
        <v>51</v>
      </c>
      <c r="V1258" t="s">
        <v>1254</v>
      </c>
    </row>
    <row r="1259" spans="1:23" ht="16" x14ac:dyDescent="0.2">
      <c r="A1259" s="5" t="s">
        <v>1439</v>
      </c>
      <c r="B1259" s="6" t="s">
        <v>27</v>
      </c>
      <c r="C1259" s="6" t="s">
        <v>52</v>
      </c>
      <c r="D1259" s="65" t="str">
        <f t="shared" si="60"/>
        <v>111_S_d</v>
      </c>
      <c r="E1259">
        <v>126</v>
      </c>
      <c r="F1259" t="s">
        <v>41</v>
      </c>
      <c r="G1259" t="s">
        <v>1449</v>
      </c>
      <c r="H1259" t="s">
        <v>56</v>
      </c>
      <c r="I1259">
        <v>0</v>
      </c>
      <c r="J1259" s="82">
        <v>1.1000000000000001</v>
      </c>
      <c r="K1259" s="82">
        <v>1</v>
      </c>
      <c r="L1259" s="84">
        <v>1</v>
      </c>
      <c r="M1259">
        <v>1</v>
      </c>
      <c r="N1259" s="82">
        <v>0.9</v>
      </c>
      <c r="O1259" s="44">
        <f t="shared" si="59"/>
        <v>2.4390243902439068E-3</v>
      </c>
      <c r="P1259">
        <f t="shared" si="61"/>
        <v>1</v>
      </c>
      <c r="Q1259" s="111" t="s">
        <v>57</v>
      </c>
      <c r="R1259" t="s">
        <v>57</v>
      </c>
      <c r="S1259" s="65" t="s">
        <v>57</v>
      </c>
      <c r="T1259" t="s">
        <v>57</v>
      </c>
      <c r="V1259" t="s">
        <v>1254</v>
      </c>
      <c r="W1259" t="s">
        <v>67</v>
      </c>
    </row>
    <row r="1260" spans="1:23" ht="16" x14ac:dyDescent="0.2">
      <c r="A1260" s="5" t="s">
        <v>1439</v>
      </c>
      <c r="B1260" s="6" t="s">
        <v>36</v>
      </c>
      <c r="C1260" s="6" t="s">
        <v>52</v>
      </c>
      <c r="D1260" s="65" t="str">
        <f t="shared" si="60"/>
        <v>111_O_d</v>
      </c>
      <c r="E1260">
        <v>135</v>
      </c>
      <c r="F1260" t="s">
        <v>68</v>
      </c>
      <c r="G1260" t="s">
        <v>1450</v>
      </c>
      <c r="I1260">
        <v>1.40945262010434</v>
      </c>
      <c r="J1260" s="82">
        <v>31.5</v>
      </c>
      <c r="K1260" s="82">
        <v>33.700000000000003</v>
      </c>
      <c r="L1260" s="84">
        <v>25.1</v>
      </c>
      <c r="M1260" s="82">
        <v>26.3</v>
      </c>
      <c r="N1260" s="82">
        <v>17.8</v>
      </c>
      <c r="O1260" s="44">
        <f t="shared" si="59"/>
        <v>0.58033161806747224</v>
      </c>
      <c r="P1260">
        <f t="shared" si="61"/>
        <v>26.880000000000003</v>
      </c>
      <c r="Q1260" s="111">
        <v>0.14499999999999999</v>
      </c>
      <c r="R1260">
        <v>0.38100000000000001</v>
      </c>
      <c r="S1260" s="65">
        <v>12</v>
      </c>
      <c r="T1260">
        <v>10</v>
      </c>
      <c r="U1260" t="s">
        <v>47</v>
      </c>
      <c r="V1260" t="s">
        <v>1254</v>
      </c>
    </row>
    <row r="1261" spans="1:23" ht="16" x14ac:dyDescent="0.2">
      <c r="A1261" s="5" t="s">
        <v>1439</v>
      </c>
      <c r="B1261" s="6" t="s">
        <v>33</v>
      </c>
      <c r="C1261" s="6" t="s">
        <v>52</v>
      </c>
      <c r="D1261" s="65" t="str">
        <f t="shared" si="60"/>
        <v>111_V_d</v>
      </c>
      <c r="E1261">
        <v>140</v>
      </c>
      <c r="F1261" t="s">
        <v>29</v>
      </c>
      <c r="G1261" t="s">
        <v>1451</v>
      </c>
      <c r="I1261">
        <v>2.3746111619396202</v>
      </c>
      <c r="J1261" s="82">
        <v>54.1</v>
      </c>
      <c r="K1261" s="82">
        <v>15.6</v>
      </c>
      <c r="L1261" s="84">
        <v>5.5</v>
      </c>
      <c r="M1261" s="82">
        <v>35.4</v>
      </c>
      <c r="N1261" s="82">
        <v>43.6</v>
      </c>
      <c r="O1261" s="44">
        <f t="shared" si="59"/>
        <v>16.823267028330324</v>
      </c>
      <c r="P1261">
        <f t="shared" si="61"/>
        <v>30.839999999999996</v>
      </c>
      <c r="Q1261" s="111">
        <v>0.26100000000000001</v>
      </c>
      <c r="R1261">
        <v>0.44</v>
      </c>
      <c r="S1261" s="65">
        <v>10</v>
      </c>
      <c r="T1261">
        <v>25</v>
      </c>
      <c r="U1261" t="s">
        <v>54</v>
      </c>
      <c r="V1261" t="s">
        <v>1254</v>
      </c>
    </row>
    <row r="1262" spans="1:23" ht="16" x14ac:dyDescent="0.2">
      <c r="A1262" s="1" t="s">
        <v>1452</v>
      </c>
      <c r="B1262" t="s">
        <v>33</v>
      </c>
      <c r="C1262" t="s">
        <v>28</v>
      </c>
      <c r="D1262" s="65" t="str">
        <f t="shared" si="60"/>
        <v>112_V_a</v>
      </c>
      <c r="E1262">
        <v>12</v>
      </c>
      <c r="F1262" t="s">
        <v>29</v>
      </c>
      <c r="G1262" t="s">
        <v>1453</v>
      </c>
      <c r="I1262">
        <v>2.0234574080815402</v>
      </c>
      <c r="J1262" s="84">
        <v>36.299999999999997</v>
      </c>
      <c r="K1262" s="82">
        <v>40.299999999999997</v>
      </c>
      <c r="L1262" s="82">
        <v>35.9</v>
      </c>
      <c r="M1262" s="82">
        <v>38.4</v>
      </c>
      <c r="N1262" s="82">
        <v>19.7</v>
      </c>
      <c r="O1262" s="44">
        <f t="shared" si="59"/>
        <v>0.10998453722111769</v>
      </c>
      <c r="P1262">
        <f t="shared" si="61"/>
        <v>34.119999999999997</v>
      </c>
      <c r="Q1262" s="111">
        <v>0.124</v>
      </c>
      <c r="R1262">
        <v>0.29399999999999998</v>
      </c>
      <c r="S1262" s="65">
        <v>14</v>
      </c>
      <c r="T1262">
        <v>10</v>
      </c>
      <c r="U1262" t="s">
        <v>51</v>
      </c>
      <c r="V1262" t="s">
        <v>1254</v>
      </c>
    </row>
    <row r="1263" spans="1:23" ht="16" x14ac:dyDescent="0.2">
      <c r="A1263" s="1" t="s">
        <v>1452</v>
      </c>
      <c r="B1263" t="s">
        <v>36</v>
      </c>
      <c r="C1263" t="s">
        <v>28</v>
      </c>
      <c r="D1263" s="65" t="str">
        <f t="shared" si="60"/>
        <v>112_O_a</v>
      </c>
      <c r="E1263">
        <v>14</v>
      </c>
      <c r="F1263" t="s">
        <v>49</v>
      </c>
      <c r="G1263" t="s">
        <v>1454</v>
      </c>
      <c r="I1263">
        <v>3.2373127058496101</v>
      </c>
      <c r="J1263" s="84">
        <v>4.5</v>
      </c>
      <c r="K1263" s="82">
        <v>40.200000000000003</v>
      </c>
      <c r="L1263" s="82">
        <v>36.5</v>
      </c>
      <c r="M1263" s="82">
        <v>34.9</v>
      </c>
      <c r="N1263" s="82">
        <v>48.2</v>
      </c>
      <c r="O1263" s="44">
        <f t="shared" si="59"/>
        <v>9.3798162503588909</v>
      </c>
      <c r="P1263">
        <f t="shared" si="61"/>
        <v>32.86</v>
      </c>
      <c r="Q1263" s="111">
        <v>0.23599999999999999</v>
      </c>
      <c r="R1263">
        <v>0.23699999999999999</v>
      </c>
      <c r="S1263" s="65">
        <v>6</v>
      </c>
      <c r="T1263">
        <v>23</v>
      </c>
      <c r="U1263" t="s">
        <v>72</v>
      </c>
      <c r="V1263" t="s">
        <v>1254</v>
      </c>
    </row>
    <row r="1264" spans="1:23" x14ac:dyDescent="0.2">
      <c r="A1264" s="5" t="s">
        <v>1452</v>
      </c>
      <c r="B1264" s="6" t="s">
        <v>27</v>
      </c>
      <c r="C1264" s="6" t="s">
        <v>28</v>
      </c>
      <c r="D1264" s="65" t="str">
        <f t="shared" si="60"/>
        <v>112_S_a</v>
      </c>
      <c r="E1264">
        <v>22</v>
      </c>
      <c r="F1264" t="s">
        <v>82</v>
      </c>
      <c r="G1264" t="s">
        <v>1455</v>
      </c>
      <c r="I1264">
        <v>3.7274881516587701</v>
      </c>
      <c r="J1264" s="82">
        <v>10.1</v>
      </c>
      <c r="K1264" s="82">
        <v>22.6</v>
      </c>
      <c r="L1264" s="82">
        <v>33.5</v>
      </c>
      <c r="M1264" s="82">
        <v>51.1</v>
      </c>
      <c r="N1264" s="82">
        <v>10.4</v>
      </c>
      <c r="O1264" s="44">
        <f t="shared" si="59"/>
        <v>10.303012219380493</v>
      </c>
      <c r="P1264">
        <f t="shared" si="61"/>
        <v>25.540000000000003</v>
      </c>
      <c r="Q1264" s="111">
        <v>0.312</v>
      </c>
      <c r="R1264">
        <v>0.31900000000000001</v>
      </c>
      <c r="S1264" s="65">
        <v>33</v>
      </c>
      <c r="T1264">
        <v>12</v>
      </c>
      <c r="U1264" t="s">
        <v>57</v>
      </c>
      <c r="V1264" t="s">
        <v>1254</v>
      </c>
    </row>
    <row r="1265" spans="1:23" x14ac:dyDescent="0.2">
      <c r="A1265" s="5" t="s">
        <v>1452</v>
      </c>
      <c r="B1265" s="6" t="s">
        <v>27</v>
      </c>
      <c r="C1265" s="6" t="s">
        <v>38</v>
      </c>
      <c r="D1265" s="65" t="str">
        <f t="shared" si="60"/>
        <v>112_S_b</v>
      </c>
      <c r="E1265">
        <v>40</v>
      </c>
      <c r="F1265" t="s">
        <v>29</v>
      </c>
      <c r="G1265" t="s">
        <v>1456</v>
      </c>
      <c r="I1265">
        <v>0.42876970793486702</v>
      </c>
      <c r="J1265" s="82">
        <v>22.7</v>
      </c>
      <c r="K1265" s="82">
        <v>27.5</v>
      </c>
      <c r="L1265" s="82">
        <v>25.4</v>
      </c>
      <c r="M1265" s="82">
        <v>27.2</v>
      </c>
      <c r="N1265" s="82">
        <v>29.2</v>
      </c>
      <c r="O1265" s="44">
        <f t="shared" si="59"/>
        <v>0.18910505836575878</v>
      </c>
      <c r="P1265">
        <f t="shared" si="61"/>
        <v>26.4</v>
      </c>
      <c r="Q1265" s="111">
        <v>0.21299999999999999</v>
      </c>
      <c r="R1265">
        <v>0.375</v>
      </c>
      <c r="S1265" s="65">
        <v>11</v>
      </c>
      <c r="T1265">
        <v>34</v>
      </c>
      <c r="U1265" t="s">
        <v>51</v>
      </c>
      <c r="V1265" t="s">
        <v>1254</v>
      </c>
    </row>
    <row r="1266" spans="1:23" x14ac:dyDescent="0.2">
      <c r="A1266" s="1" t="s">
        <v>1452</v>
      </c>
      <c r="B1266" t="s">
        <v>33</v>
      </c>
      <c r="C1266" t="s">
        <v>38</v>
      </c>
      <c r="D1266" s="65" t="str">
        <f t="shared" si="60"/>
        <v>112_V_b</v>
      </c>
      <c r="E1266">
        <v>52</v>
      </c>
      <c r="F1266" t="s">
        <v>29</v>
      </c>
      <c r="G1266" t="s">
        <v>1457</v>
      </c>
      <c r="I1266">
        <v>3.8501230700380402</v>
      </c>
      <c r="J1266" s="82">
        <v>23.9</v>
      </c>
      <c r="K1266" s="82">
        <v>6.8</v>
      </c>
      <c r="L1266" s="82">
        <v>5</v>
      </c>
      <c r="M1266" s="82">
        <v>10.9</v>
      </c>
      <c r="N1266" s="82">
        <v>16.5</v>
      </c>
      <c r="O1266" s="44">
        <f t="shared" si="59"/>
        <v>6.2480686695278971</v>
      </c>
      <c r="P1266">
        <f t="shared" si="61"/>
        <v>12.620000000000001</v>
      </c>
      <c r="Q1266" s="111">
        <v>0.28899999999999998</v>
      </c>
      <c r="R1266">
        <v>0.49199999999999999</v>
      </c>
      <c r="S1266" s="65">
        <v>14</v>
      </c>
      <c r="T1266">
        <v>7</v>
      </c>
      <c r="U1266" t="s">
        <v>72</v>
      </c>
      <c r="V1266" t="s">
        <v>1254</v>
      </c>
    </row>
    <row r="1267" spans="1:23" x14ac:dyDescent="0.2">
      <c r="A1267" s="5" t="s">
        <v>1452</v>
      </c>
      <c r="B1267" s="6" t="s">
        <v>36</v>
      </c>
      <c r="C1267" s="6" t="s">
        <v>38</v>
      </c>
      <c r="D1267" s="65" t="str">
        <f t="shared" si="60"/>
        <v>112_O_b</v>
      </c>
      <c r="E1267">
        <v>68</v>
      </c>
      <c r="F1267" t="s">
        <v>63</v>
      </c>
      <c r="G1267" t="s">
        <v>1458</v>
      </c>
      <c r="I1267">
        <v>2.0055985691184399</v>
      </c>
      <c r="J1267" s="82">
        <v>25.7</v>
      </c>
      <c r="K1267" s="82">
        <v>14.8</v>
      </c>
      <c r="L1267" s="82">
        <v>44.6</v>
      </c>
      <c r="M1267" s="82">
        <v>39</v>
      </c>
      <c r="N1267" s="82">
        <v>56.1</v>
      </c>
      <c r="O1267" s="44">
        <f t="shared" si="59"/>
        <v>5.7962664517862015</v>
      </c>
      <c r="P1267">
        <f t="shared" si="61"/>
        <v>36.04</v>
      </c>
      <c r="Q1267" s="111">
        <v>0.11799999999999999</v>
      </c>
      <c r="R1267">
        <v>0.35699999999999998</v>
      </c>
      <c r="S1267" s="65">
        <v>19</v>
      </c>
      <c r="T1267">
        <v>6</v>
      </c>
      <c r="U1267" t="s">
        <v>72</v>
      </c>
      <c r="V1267" t="s">
        <v>1254</v>
      </c>
    </row>
    <row r="1268" spans="1:23" x14ac:dyDescent="0.2">
      <c r="A1268" s="5" t="s">
        <v>1452</v>
      </c>
      <c r="B1268" s="6" t="s">
        <v>36</v>
      </c>
      <c r="C1268" s="6" t="s">
        <v>45</v>
      </c>
      <c r="D1268" s="65" t="str">
        <f t="shared" si="60"/>
        <v>112_O_c</v>
      </c>
      <c r="E1268">
        <v>97</v>
      </c>
      <c r="F1268" t="s">
        <v>68</v>
      </c>
      <c r="G1268" t="s">
        <v>1459</v>
      </c>
      <c r="I1268">
        <v>2.7986350148368002</v>
      </c>
      <c r="J1268" s="82">
        <v>27.6</v>
      </c>
      <c r="K1268" s="82">
        <v>17.399999999999999</v>
      </c>
      <c r="L1268" s="82"/>
      <c r="M1268">
        <v>39.9</v>
      </c>
      <c r="N1268" s="82">
        <v>41.2</v>
      </c>
      <c r="O1268" s="44">
        <f t="shared" si="59"/>
        <v>4.4851590106006931</v>
      </c>
      <c r="P1268">
        <f t="shared" si="61"/>
        <v>31.525000000000002</v>
      </c>
      <c r="Q1268" s="111">
        <v>0.30599999999999999</v>
      </c>
      <c r="R1268">
        <v>0.27600000000000002</v>
      </c>
      <c r="S1268" s="65">
        <v>8</v>
      </c>
      <c r="T1268">
        <v>3</v>
      </c>
      <c r="U1268" t="s">
        <v>72</v>
      </c>
      <c r="V1268" t="s">
        <v>1254</v>
      </c>
    </row>
    <row r="1269" spans="1:23" x14ac:dyDescent="0.2">
      <c r="A1269" s="5" t="s">
        <v>1452</v>
      </c>
      <c r="B1269" s="6" t="s">
        <v>33</v>
      </c>
      <c r="C1269" s="6" t="s">
        <v>45</v>
      </c>
      <c r="D1269" s="65" t="str">
        <f t="shared" si="60"/>
        <v>112_V_c</v>
      </c>
      <c r="E1269">
        <v>102</v>
      </c>
      <c r="F1269" t="s">
        <v>43</v>
      </c>
      <c r="G1269" t="s">
        <v>1460</v>
      </c>
      <c r="I1269">
        <v>4.4109912856814297</v>
      </c>
      <c r="J1269" s="82">
        <v>50.1</v>
      </c>
      <c r="K1269" s="82">
        <v>46.8</v>
      </c>
      <c r="L1269" s="82">
        <v>46.5</v>
      </c>
      <c r="M1269">
        <v>44.4</v>
      </c>
      <c r="N1269" s="82">
        <v>21.6</v>
      </c>
      <c r="O1269" s="44">
        <f t="shared" si="59"/>
        <v>0.11821086261980841</v>
      </c>
      <c r="P1269">
        <f t="shared" si="61"/>
        <v>41.88</v>
      </c>
      <c r="Q1269" s="111">
        <v>0.32200000000000001</v>
      </c>
      <c r="R1269">
        <v>0.47399999999999998</v>
      </c>
      <c r="S1269" s="65">
        <v>29</v>
      </c>
      <c r="T1269">
        <v>14</v>
      </c>
      <c r="U1269" t="s">
        <v>51</v>
      </c>
      <c r="V1269" t="s">
        <v>1254</v>
      </c>
    </row>
    <row r="1270" spans="1:23" x14ac:dyDescent="0.2">
      <c r="A1270" s="5" t="s">
        <v>1452</v>
      </c>
      <c r="B1270" s="6" t="s">
        <v>27</v>
      </c>
      <c r="C1270" s="6" t="s">
        <v>45</v>
      </c>
      <c r="D1270" s="65" t="str">
        <f t="shared" si="60"/>
        <v>112_S_c</v>
      </c>
      <c r="E1270">
        <v>106</v>
      </c>
      <c r="F1270" t="s">
        <v>34</v>
      </c>
      <c r="G1270" t="s">
        <v>1461</v>
      </c>
      <c r="I1270">
        <v>1.6446480976162301</v>
      </c>
      <c r="J1270" s="82">
        <v>34.200000000000003</v>
      </c>
      <c r="K1270" s="82">
        <v>35.200000000000003</v>
      </c>
      <c r="L1270" s="82">
        <v>43.8</v>
      </c>
      <c r="M1270">
        <v>34.9</v>
      </c>
      <c r="N1270" s="82">
        <v>43.8</v>
      </c>
      <c r="O1270" s="44">
        <f t="shared" si="59"/>
        <v>0.55572811163628966</v>
      </c>
      <c r="P1270">
        <f t="shared" si="61"/>
        <v>38.379999999999995</v>
      </c>
      <c r="Q1270" s="111">
        <v>0.16800000000000001</v>
      </c>
      <c r="R1270">
        <v>0.36399999999999999</v>
      </c>
      <c r="S1270" s="65">
        <v>19</v>
      </c>
      <c r="T1270">
        <v>50</v>
      </c>
      <c r="U1270" t="s">
        <v>51</v>
      </c>
      <c r="V1270" t="s">
        <v>1254</v>
      </c>
    </row>
    <row r="1271" spans="1:23" x14ac:dyDescent="0.2">
      <c r="A1271" s="5" t="s">
        <v>1452</v>
      </c>
      <c r="B1271" s="6" t="s">
        <v>27</v>
      </c>
      <c r="C1271" s="6" t="s">
        <v>52</v>
      </c>
      <c r="D1271" s="65" t="str">
        <f t="shared" si="60"/>
        <v>112_S_d</v>
      </c>
      <c r="E1271">
        <v>111</v>
      </c>
      <c r="F1271" t="s">
        <v>41</v>
      </c>
      <c r="G1271" t="s">
        <v>1462</v>
      </c>
      <c r="I1271">
        <v>2.1416583874665598</v>
      </c>
      <c r="J1271" s="82">
        <v>22</v>
      </c>
      <c r="K1271" s="82">
        <v>34.700000000000003</v>
      </c>
      <c r="L1271" s="82">
        <v>39.9</v>
      </c>
      <c r="M1271">
        <v>42.2</v>
      </c>
      <c r="N1271" s="82">
        <v>53.4</v>
      </c>
      <c r="O1271" s="44">
        <f t="shared" si="59"/>
        <v>2.3494716618635918</v>
      </c>
      <c r="P1271">
        <f t="shared" si="61"/>
        <v>38.440000000000005</v>
      </c>
      <c r="Q1271" s="111">
        <v>0.29699999999999999</v>
      </c>
      <c r="R1271">
        <v>0.34499999999999997</v>
      </c>
      <c r="S1271" s="65">
        <v>11</v>
      </c>
      <c r="T1271">
        <v>26</v>
      </c>
      <c r="U1271" t="s">
        <v>54</v>
      </c>
      <c r="V1271" t="s">
        <v>1254</v>
      </c>
    </row>
    <row r="1272" spans="1:23" x14ac:dyDescent="0.2">
      <c r="A1272" s="5" t="s">
        <v>1452</v>
      </c>
      <c r="B1272" s="6" t="s">
        <v>36</v>
      </c>
      <c r="C1272" s="6" t="s">
        <v>52</v>
      </c>
      <c r="D1272" s="65" t="str">
        <f t="shared" si="60"/>
        <v>112_O_d</v>
      </c>
      <c r="E1272">
        <v>116</v>
      </c>
      <c r="F1272" t="s">
        <v>29</v>
      </c>
      <c r="G1272" t="s">
        <v>1463</v>
      </c>
      <c r="I1272">
        <v>1.9957487216946701</v>
      </c>
      <c r="J1272" s="82">
        <v>37.299999999999997</v>
      </c>
      <c r="K1272" s="82">
        <v>43.4</v>
      </c>
      <c r="L1272" s="82">
        <v>54.4</v>
      </c>
      <c r="M1272">
        <v>44.5</v>
      </c>
      <c r="N1272" s="82">
        <v>14.1</v>
      </c>
      <c r="O1272" s="44">
        <f t="shared" si="59"/>
        <v>1.1167037861915372</v>
      </c>
      <c r="P1272">
        <f t="shared" si="61"/>
        <v>38.739999999999995</v>
      </c>
      <c r="Q1272" s="111">
        <v>0.185</v>
      </c>
      <c r="R1272">
        <v>0.439</v>
      </c>
      <c r="S1272" s="65">
        <v>14</v>
      </c>
      <c r="T1272">
        <v>17</v>
      </c>
      <c r="U1272" t="s">
        <v>31</v>
      </c>
      <c r="V1272" t="s">
        <v>1254</v>
      </c>
    </row>
    <row r="1273" spans="1:23" ht="16" x14ac:dyDescent="0.2">
      <c r="A1273" s="5" t="s">
        <v>1452</v>
      </c>
      <c r="B1273" s="6" t="s">
        <v>33</v>
      </c>
      <c r="C1273" s="6" t="s">
        <v>52</v>
      </c>
      <c r="D1273" s="65" t="str">
        <f t="shared" si="60"/>
        <v>112_V_d</v>
      </c>
      <c r="E1273">
        <v>138</v>
      </c>
      <c r="F1273" t="s">
        <v>41</v>
      </c>
      <c r="G1273" t="s">
        <v>1464</v>
      </c>
      <c r="H1273" t="s">
        <v>1038</v>
      </c>
      <c r="I1273">
        <v>3.1731856667674601</v>
      </c>
      <c r="J1273" s="81"/>
      <c r="K1273" s="82">
        <v>17</v>
      </c>
      <c r="L1273" s="84">
        <v>47.9</v>
      </c>
      <c r="M1273" s="82">
        <v>36.799999999999997</v>
      </c>
      <c r="N1273" s="82">
        <v>36.6</v>
      </c>
      <c r="O1273" s="44">
        <f t="shared" si="59"/>
        <v>7.2274336283185709</v>
      </c>
      <c r="P1273">
        <f t="shared" si="61"/>
        <v>34.575000000000003</v>
      </c>
      <c r="Q1273" s="111">
        <v>0.311</v>
      </c>
      <c r="R1273" t="s">
        <v>57</v>
      </c>
      <c r="S1273" s="65">
        <v>7</v>
      </c>
      <c r="T1273">
        <v>10</v>
      </c>
      <c r="U1273" t="s">
        <v>54</v>
      </c>
      <c r="V1273" t="s">
        <v>1254</v>
      </c>
      <c r="W1273" t="s">
        <v>1465</v>
      </c>
    </row>
    <row r="1274" spans="1:23" ht="16" x14ac:dyDescent="0.2">
      <c r="A1274" s="45" t="s">
        <v>1466</v>
      </c>
      <c r="B1274" s="46" t="s">
        <v>27</v>
      </c>
      <c r="C1274" s="46" t="s">
        <v>28</v>
      </c>
      <c r="D1274" s="67" t="str">
        <f t="shared" si="60"/>
        <v>113_S_a</v>
      </c>
      <c r="E1274" s="47">
        <v>13</v>
      </c>
      <c r="F1274" s="47" t="s">
        <v>41</v>
      </c>
      <c r="G1274" s="47" t="s">
        <v>1467</v>
      </c>
      <c r="H1274" s="47" t="s">
        <v>56</v>
      </c>
      <c r="I1274">
        <v>0</v>
      </c>
      <c r="J1274" s="98">
        <v>24.5</v>
      </c>
      <c r="K1274" s="82">
        <v>1</v>
      </c>
      <c r="L1274" s="82">
        <v>1</v>
      </c>
      <c r="M1274" s="82">
        <v>1</v>
      </c>
      <c r="N1274" s="82">
        <v>0.9</v>
      </c>
      <c r="O1274" s="48">
        <f t="shared" si="59"/>
        <v>20.081818181818182</v>
      </c>
      <c r="P1274">
        <f t="shared" si="61"/>
        <v>5.68</v>
      </c>
      <c r="Q1274" s="111" t="s">
        <v>57</v>
      </c>
      <c r="R1274" t="s">
        <v>57</v>
      </c>
      <c r="S1274" s="67" t="s">
        <v>57</v>
      </c>
      <c r="T1274" s="47" t="s">
        <v>57</v>
      </c>
      <c r="U1274" s="47"/>
      <c r="V1274" t="s">
        <v>1254</v>
      </c>
      <c r="W1274" s="47"/>
    </row>
    <row r="1275" spans="1:23" ht="16" x14ac:dyDescent="0.2">
      <c r="A1275" s="49" t="s">
        <v>1466</v>
      </c>
      <c r="B1275" s="47" t="s">
        <v>33</v>
      </c>
      <c r="C1275" s="47" t="s">
        <v>28</v>
      </c>
      <c r="D1275" s="67" t="str">
        <f t="shared" si="60"/>
        <v>113_V_a</v>
      </c>
      <c r="E1275" s="47">
        <v>15</v>
      </c>
      <c r="F1275" s="47" t="s">
        <v>43</v>
      </c>
      <c r="G1275" s="47" t="s">
        <v>1468</v>
      </c>
      <c r="H1275" s="47"/>
      <c r="I1275">
        <v>0.37654871546291802</v>
      </c>
      <c r="J1275" s="84">
        <v>31.7</v>
      </c>
      <c r="K1275" s="82">
        <v>1.5</v>
      </c>
      <c r="L1275" s="82">
        <v>2.2000000000000002</v>
      </c>
      <c r="M1275" s="82">
        <v>3.1</v>
      </c>
      <c r="N1275" s="82">
        <v>2.2000000000000002</v>
      </c>
      <c r="O1275" s="48">
        <f t="shared" si="59"/>
        <v>22.546406926406917</v>
      </c>
      <c r="P1275">
        <f t="shared" si="61"/>
        <v>8.1400000000000023</v>
      </c>
      <c r="Q1275" s="113">
        <v>2.4E-2</v>
      </c>
      <c r="R1275" s="47">
        <v>0.111</v>
      </c>
      <c r="S1275" s="67">
        <v>6</v>
      </c>
      <c r="T1275" s="47">
        <v>30</v>
      </c>
      <c r="U1275" s="47" t="s">
        <v>51</v>
      </c>
      <c r="V1275" t="s">
        <v>1254</v>
      </c>
      <c r="W1275" s="47"/>
    </row>
    <row r="1276" spans="1:23" x14ac:dyDescent="0.2">
      <c r="A1276" s="5" t="s">
        <v>1466</v>
      </c>
      <c r="B1276" s="6" t="s">
        <v>36</v>
      </c>
      <c r="C1276" s="6" t="s">
        <v>28</v>
      </c>
      <c r="D1276" s="65" t="str">
        <f t="shared" si="60"/>
        <v>113_O_a</v>
      </c>
      <c r="E1276">
        <v>21</v>
      </c>
      <c r="F1276" t="s">
        <v>49</v>
      </c>
      <c r="G1276" t="s">
        <v>1469</v>
      </c>
      <c r="I1276">
        <v>3.5635557744397901</v>
      </c>
      <c r="J1276" s="43">
        <v>2</v>
      </c>
      <c r="K1276" s="82">
        <v>12.4</v>
      </c>
      <c r="L1276" s="82">
        <v>20</v>
      </c>
      <c r="M1276" s="82">
        <v>23.9</v>
      </c>
      <c r="N1276" s="82">
        <v>28.5</v>
      </c>
      <c r="O1276" s="44">
        <f t="shared" ref="O1276:O1339" si="62">VAR(J1276:M1276)/AVERAGE(J1276:M1276)</f>
        <v>6.3864493996569429</v>
      </c>
      <c r="P1276">
        <f t="shared" si="61"/>
        <v>17.36</v>
      </c>
      <c r="Q1276" s="111">
        <v>0.16300000000000001</v>
      </c>
      <c r="R1276">
        <v>0.23699999999999999</v>
      </c>
      <c r="S1276" s="65">
        <v>16</v>
      </c>
      <c r="T1276">
        <v>82</v>
      </c>
      <c r="U1276" t="s">
        <v>72</v>
      </c>
      <c r="V1276" t="s">
        <v>1254</v>
      </c>
    </row>
    <row r="1277" spans="1:23" x14ac:dyDescent="0.2">
      <c r="A1277" s="5" t="s">
        <v>1466</v>
      </c>
      <c r="B1277" s="6" t="s">
        <v>36</v>
      </c>
      <c r="C1277" s="6" t="s">
        <v>38</v>
      </c>
      <c r="D1277" s="65" t="str">
        <f t="shared" si="60"/>
        <v>113_O_b</v>
      </c>
      <c r="E1277">
        <v>58</v>
      </c>
      <c r="F1277" t="s">
        <v>49</v>
      </c>
      <c r="G1277" t="s">
        <v>1470</v>
      </c>
      <c r="I1277">
        <v>1.90162142060245</v>
      </c>
      <c r="J1277" s="82">
        <v>11.6</v>
      </c>
      <c r="K1277" s="82">
        <v>25.7</v>
      </c>
      <c r="L1277" s="82">
        <v>5.8</v>
      </c>
      <c r="M1277" s="82">
        <v>33.1</v>
      </c>
      <c r="N1277" s="82">
        <v>40.6</v>
      </c>
      <c r="O1277" s="44">
        <f t="shared" si="62"/>
        <v>8.271041119860028</v>
      </c>
      <c r="P1277">
        <f t="shared" si="61"/>
        <v>23.359999999999996</v>
      </c>
      <c r="Q1277" s="111">
        <v>9.2999999999999999E-2</v>
      </c>
      <c r="R1277">
        <v>0.16400000000000001</v>
      </c>
      <c r="S1277" s="65">
        <v>7</v>
      </c>
      <c r="T1277">
        <v>23</v>
      </c>
      <c r="U1277" t="s">
        <v>31</v>
      </c>
      <c r="V1277" t="s">
        <v>1254</v>
      </c>
    </row>
    <row r="1278" spans="1:23" x14ac:dyDescent="0.2">
      <c r="A1278" s="5" t="s">
        <v>1466</v>
      </c>
      <c r="B1278" s="6" t="s">
        <v>27</v>
      </c>
      <c r="C1278" s="6" t="s">
        <v>38</v>
      </c>
      <c r="D1278" s="65" t="str">
        <f t="shared" si="60"/>
        <v>113_S_b</v>
      </c>
      <c r="E1278">
        <v>70</v>
      </c>
      <c r="F1278" t="s">
        <v>43</v>
      </c>
      <c r="G1278" t="s">
        <v>1471</v>
      </c>
      <c r="I1278">
        <v>0.50009118690851695</v>
      </c>
      <c r="J1278" s="82">
        <v>4.4000000000000004</v>
      </c>
      <c r="K1278" s="82">
        <v>4.5</v>
      </c>
      <c r="L1278" s="82">
        <v>14</v>
      </c>
      <c r="M1278" s="82">
        <v>11.2</v>
      </c>
      <c r="N1278" s="82">
        <v>22.9</v>
      </c>
      <c r="O1278" s="44">
        <f t="shared" si="62"/>
        <v>2.750635386119261</v>
      </c>
      <c r="P1278">
        <f t="shared" si="61"/>
        <v>11.399999999999999</v>
      </c>
      <c r="Q1278" s="111">
        <v>2E-3</v>
      </c>
      <c r="R1278">
        <v>6.3E-2</v>
      </c>
      <c r="S1278" s="65">
        <v>3</v>
      </c>
      <c r="T1278">
        <v>23</v>
      </c>
      <c r="U1278" t="s">
        <v>31</v>
      </c>
      <c r="V1278" t="s">
        <v>1254</v>
      </c>
    </row>
    <row r="1279" spans="1:23" x14ac:dyDescent="0.2">
      <c r="A1279" s="1" t="s">
        <v>1466</v>
      </c>
      <c r="B1279" t="s">
        <v>33</v>
      </c>
      <c r="C1279" t="s">
        <v>38</v>
      </c>
      <c r="D1279" s="65" t="str">
        <f t="shared" si="60"/>
        <v>113_V_b</v>
      </c>
      <c r="E1279">
        <v>72</v>
      </c>
      <c r="F1279" t="s">
        <v>39</v>
      </c>
      <c r="G1279" t="s">
        <v>1472</v>
      </c>
      <c r="I1279">
        <v>0.65518617372691001</v>
      </c>
      <c r="J1279" s="82">
        <v>2.6</v>
      </c>
      <c r="K1279" s="82">
        <v>41.9</v>
      </c>
      <c r="L1279" s="82">
        <v>3.9</v>
      </c>
      <c r="M1279" s="82">
        <v>5.8</v>
      </c>
      <c r="N1279" s="82">
        <v>18.2</v>
      </c>
      <c r="O1279" s="44">
        <f t="shared" si="62"/>
        <v>26.489790897908986</v>
      </c>
      <c r="P1279">
        <f t="shared" si="61"/>
        <v>14.479999999999999</v>
      </c>
      <c r="Q1279" s="111">
        <v>3.5000000000000003E-2</v>
      </c>
      <c r="R1279">
        <v>8.2000000000000003E-2</v>
      </c>
      <c r="S1279" s="65">
        <v>2</v>
      </c>
      <c r="T1279">
        <v>7</v>
      </c>
      <c r="U1279" t="s">
        <v>31</v>
      </c>
      <c r="V1279" t="s">
        <v>1254</v>
      </c>
    </row>
    <row r="1280" spans="1:23" x14ac:dyDescent="0.2">
      <c r="A1280" s="5" t="s">
        <v>1466</v>
      </c>
      <c r="B1280" s="6" t="s">
        <v>27</v>
      </c>
      <c r="C1280" s="6" t="s">
        <v>45</v>
      </c>
      <c r="D1280" s="65" t="str">
        <f t="shared" si="60"/>
        <v>113_S_c</v>
      </c>
      <c r="E1280">
        <v>98</v>
      </c>
      <c r="F1280" t="s">
        <v>29</v>
      </c>
      <c r="G1280" t="s">
        <v>1473</v>
      </c>
      <c r="I1280">
        <v>3.6053305325589999</v>
      </c>
      <c r="J1280" s="82">
        <v>11.7</v>
      </c>
      <c r="K1280" s="82">
        <v>5.4</v>
      </c>
      <c r="L1280" s="82">
        <v>20.3</v>
      </c>
      <c r="M1280">
        <v>21.8</v>
      </c>
      <c r="N1280" s="82">
        <v>13</v>
      </c>
      <c r="O1280" s="44">
        <f t="shared" si="62"/>
        <v>3.9914414414414421</v>
      </c>
      <c r="P1280">
        <f t="shared" si="61"/>
        <v>14.440000000000001</v>
      </c>
      <c r="Q1280" s="111">
        <v>0.23899999999999999</v>
      </c>
      <c r="R1280">
        <v>0.376</v>
      </c>
      <c r="S1280" s="65">
        <v>17</v>
      </c>
      <c r="T1280">
        <v>35</v>
      </c>
      <c r="U1280" t="s">
        <v>31</v>
      </c>
      <c r="V1280" t="s">
        <v>1254</v>
      </c>
    </row>
    <row r="1281" spans="1:23" x14ac:dyDescent="0.2">
      <c r="A1281" s="5" t="s">
        <v>1466</v>
      </c>
      <c r="B1281" s="6" t="s">
        <v>36</v>
      </c>
      <c r="C1281" s="6" t="s">
        <v>45</v>
      </c>
      <c r="D1281" s="65" t="str">
        <f t="shared" si="60"/>
        <v>113_O_c</v>
      </c>
      <c r="E1281">
        <v>100</v>
      </c>
      <c r="F1281" t="s">
        <v>39</v>
      </c>
      <c r="G1281" t="s">
        <v>1474</v>
      </c>
      <c r="I1281">
        <v>1.78715256974654</v>
      </c>
      <c r="J1281" s="82">
        <v>15</v>
      </c>
      <c r="K1281" s="82">
        <v>5.3</v>
      </c>
      <c r="L1281" s="82">
        <v>43.8</v>
      </c>
      <c r="M1281">
        <v>8</v>
      </c>
      <c r="N1281" s="82">
        <v>34.4</v>
      </c>
      <c r="O1281" s="44">
        <f t="shared" si="62"/>
        <v>17.307951918631534</v>
      </c>
      <c r="P1281">
        <f t="shared" si="61"/>
        <v>21.3</v>
      </c>
      <c r="Q1281" s="111">
        <v>7.0999999999999994E-2</v>
      </c>
      <c r="R1281">
        <v>8.2000000000000003E-2</v>
      </c>
      <c r="S1281" s="65">
        <v>2</v>
      </c>
      <c r="T1281">
        <v>52</v>
      </c>
      <c r="U1281" t="s">
        <v>47</v>
      </c>
      <c r="V1281" t="s">
        <v>1254</v>
      </c>
    </row>
    <row r="1282" spans="1:23" x14ac:dyDescent="0.2">
      <c r="A1282" s="5" t="s">
        <v>1466</v>
      </c>
      <c r="B1282" s="6" t="s">
        <v>33</v>
      </c>
      <c r="C1282" s="6" t="s">
        <v>45</v>
      </c>
      <c r="D1282" s="65" t="str">
        <f t="shared" ref="D1282:D1345" si="63">A1282&amp;"_"&amp;B1282&amp;"_"&amp;C1282</f>
        <v>113_V_c</v>
      </c>
      <c r="E1282">
        <v>102</v>
      </c>
      <c r="F1282" t="s">
        <v>68</v>
      </c>
      <c r="G1282" t="s">
        <v>1475</v>
      </c>
      <c r="I1282">
        <v>3.6855664307071101</v>
      </c>
      <c r="J1282" s="82">
        <v>29</v>
      </c>
      <c r="K1282" s="82">
        <v>29.3</v>
      </c>
      <c r="L1282" s="82">
        <v>24.6</v>
      </c>
      <c r="M1282">
        <v>5.4</v>
      </c>
      <c r="N1282" s="82">
        <v>33.799999999999997</v>
      </c>
      <c r="O1282" s="44">
        <f t="shared" si="62"/>
        <v>5.8072857682144106</v>
      </c>
      <c r="P1282">
        <f t="shared" ref="P1282:P1345" si="64">AVERAGE(J1282:N1282)</f>
        <v>24.42</v>
      </c>
      <c r="Q1282" s="111">
        <v>0.21</v>
      </c>
      <c r="R1282">
        <v>0.48</v>
      </c>
      <c r="S1282" s="65">
        <v>25</v>
      </c>
      <c r="T1282">
        <v>34</v>
      </c>
      <c r="U1282" t="s">
        <v>72</v>
      </c>
      <c r="V1282" t="s">
        <v>1254</v>
      </c>
    </row>
    <row r="1283" spans="1:23" x14ac:dyDescent="0.2">
      <c r="A1283" s="5" t="s">
        <v>1466</v>
      </c>
      <c r="B1283" s="6" t="s">
        <v>33</v>
      </c>
      <c r="C1283" s="6" t="s">
        <v>52</v>
      </c>
      <c r="D1283" s="65" t="str">
        <f t="shared" si="63"/>
        <v>113_V_d</v>
      </c>
      <c r="E1283">
        <v>119</v>
      </c>
      <c r="F1283" t="s">
        <v>43</v>
      </c>
      <c r="G1283" t="s">
        <v>1476</v>
      </c>
      <c r="I1283">
        <v>1.56123341594985</v>
      </c>
      <c r="J1283" s="82">
        <v>18.399999999999999</v>
      </c>
      <c r="K1283" s="82">
        <v>1.9</v>
      </c>
      <c r="L1283" s="82">
        <v>18.600000000000001</v>
      </c>
      <c r="M1283">
        <v>5.3</v>
      </c>
      <c r="N1283" s="82">
        <v>13.7</v>
      </c>
      <c r="O1283" s="44">
        <f t="shared" si="62"/>
        <v>6.8720965309200652</v>
      </c>
      <c r="P1283">
        <f t="shared" si="64"/>
        <v>11.579999999999998</v>
      </c>
      <c r="Q1283" s="111">
        <v>0.10199999999999999</v>
      </c>
      <c r="R1283">
        <v>0.156</v>
      </c>
      <c r="S1283" s="65">
        <v>12</v>
      </c>
      <c r="T1283">
        <v>36</v>
      </c>
      <c r="U1283" t="s">
        <v>54</v>
      </c>
      <c r="V1283" t="s">
        <v>1254</v>
      </c>
    </row>
    <row r="1284" spans="1:23" ht="16" x14ac:dyDescent="0.2">
      <c r="A1284" s="5" t="s">
        <v>1466</v>
      </c>
      <c r="B1284" s="6" t="s">
        <v>36</v>
      </c>
      <c r="C1284" s="6" t="s">
        <v>52</v>
      </c>
      <c r="D1284" s="65" t="str">
        <f t="shared" si="63"/>
        <v>113_O_d</v>
      </c>
      <c r="E1284">
        <v>120</v>
      </c>
      <c r="F1284" t="s">
        <v>63</v>
      </c>
      <c r="G1284" t="s">
        <v>1477</v>
      </c>
      <c r="I1284">
        <v>0</v>
      </c>
      <c r="J1284" s="82">
        <v>1.9</v>
      </c>
      <c r="K1284" s="82">
        <v>3.7</v>
      </c>
      <c r="L1284" s="84">
        <v>1.1000000000000001</v>
      </c>
      <c r="M1284">
        <v>2.4</v>
      </c>
      <c r="N1284" s="82">
        <v>13.2</v>
      </c>
      <c r="O1284" s="44">
        <f t="shared" si="62"/>
        <v>0.52271062271062363</v>
      </c>
      <c r="P1284">
        <f t="shared" si="64"/>
        <v>4.4599999999999991</v>
      </c>
      <c r="Q1284" s="111">
        <v>2.5000000000000001E-2</v>
      </c>
      <c r="R1284">
        <v>0.03</v>
      </c>
      <c r="S1284" s="65">
        <v>0</v>
      </c>
      <c r="T1284">
        <v>44</v>
      </c>
      <c r="U1284" t="s">
        <v>31</v>
      </c>
      <c r="V1284" t="s">
        <v>1254</v>
      </c>
    </row>
    <row r="1285" spans="1:23" ht="16" x14ac:dyDescent="0.2">
      <c r="A1285" s="5" t="s">
        <v>1466</v>
      </c>
      <c r="B1285" s="6" t="s">
        <v>27</v>
      </c>
      <c r="C1285" s="6" t="s">
        <v>52</v>
      </c>
      <c r="D1285" s="65" t="str">
        <f t="shared" si="63"/>
        <v>113_S_d</v>
      </c>
      <c r="E1285">
        <v>134</v>
      </c>
      <c r="F1285" t="s">
        <v>43</v>
      </c>
      <c r="G1285" t="s">
        <v>1478</v>
      </c>
      <c r="I1285">
        <v>1.2795098063585999</v>
      </c>
      <c r="J1285" s="82">
        <v>3.2</v>
      </c>
      <c r="K1285" s="82">
        <v>8.3000000000000007</v>
      </c>
      <c r="L1285" s="84">
        <v>1.4</v>
      </c>
      <c r="M1285" s="82">
        <v>8.3000000000000007</v>
      </c>
      <c r="N1285" s="82">
        <v>3.1</v>
      </c>
      <c r="O1285" s="44">
        <f t="shared" si="62"/>
        <v>2.3660377358490559</v>
      </c>
      <c r="P1285">
        <f t="shared" si="64"/>
        <v>4.8600000000000012</v>
      </c>
      <c r="Q1285" s="111">
        <v>5.3999999999999999E-2</v>
      </c>
      <c r="R1285">
        <v>0.112</v>
      </c>
      <c r="S1285" s="65">
        <v>8</v>
      </c>
      <c r="T1285">
        <v>18</v>
      </c>
      <c r="U1285" t="s">
        <v>54</v>
      </c>
      <c r="V1285" t="s">
        <v>1254</v>
      </c>
    </row>
    <row r="1286" spans="1:23" ht="16" x14ac:dyDescent="0.2">
      <c r="A1286" s="5" t="s">
        <v>1479</v>
      </c>
      <c r="B1286" s="6" t="s">
        <v>36</v>
      </c>
      <c r="C1286" s="6" t="s">
        <v>28</v>
      </c>
      <c r="D1286" s="65" t="str">
        <f t="shared" si="63"/>
        <v>114_O_a</v>
      </c>
      <c r="E1286">
        <v>13</v>
      </c>
      <c r="F1286" t="s">
        <v>70</v>
      </c>
      <c r="G1286" t="s">
        <v>1480</v>
      </c>
      <c r="I1286">
        <v>3.6765739769150101</v>
      </c>
      <c r="J1286" s="84">
        <v>15</v>
      </c>
      <c r="K1286" s="82">
        <v>49.7</v>
      </c>
      <c r="L1286" s="82">
        <v>47.1</v>
      </c>
      <c r="M1286" s="82">
        <v>49.9</v>
      </c>
      <c r="N1286" s="82">
        <v>49</v>
      </c>
      <c r="O1286" s="44">
        <f t="shared" si="62"/>
        <v>7.147289218717777</v>
      </c>
      <c r="P1286">
        <f t="shared" si="64"/>
        <v>42.14</v>
      </c>
      <c r="Q1286" s="111">
        <v>0.35799999999999998</v>
      </c>
      <c r="R1286">
        <v>0.52100000000000002</v>
      </c>
      <c r="S1286" s="65">
        <v>14</v>
      </c>
      <c r="T1286">
        <v>56</v>
      </c>
      <c r="U1286" t="s">
        <v>51</v>
      </c>
      <c r="V1286" t="s">
        <v>1254</v>
      </c>
    </row>
    <row r="1287" spans="1:23" x14ac:dyDescent="0.2">
      <c r="A1287" s="5" t="s">
        <v>1479</v>
      </c>
      <c r="B1287" s="6" t="s">
        <v>27</v>
      </c>
      <c r="C1287" s="6" t="s">
        <v>28</v>
      </c>
      <c r="D1287" s="65" t="str">
        <f t="shared" si="63"/>
        <v>114_S_a</v>
      </c>
      <c r="E1287">
        <v>22</v>
      </c>
      <c r="F1287" t="s">
        <v>68</v>
      </c>
      <c r="G1287" t="s">
        <v>1481</v>
      </c>
      <c r="I1287">
        <v>6.2131394018630504</v>
      </c>
      <c r="K1287" s="82">
        <v>22.7</v>
      </c>
      <c r="L1287" s="82">
        <v>23.4</v>
      </c>
      <c r="M1287" s="82">
        <v>21.5</v>
      </c>
      <c r="N1287" s="82">
        <v>28.4</v>
      </c>
      <c r="O1287" s="44">
        <f t="shared" si="62"/>
        <v>4.0976331360946687E-2</v>
      </c>
      <c r="P1287">
        <f t="shared" si="64"/>
        <v>24</v>
      </c>
      <c r="Q1287" s="111">
        <v>0.28000000000000003</v>
      </c>
      <c r="R1287">
        <v>0.42499999999999999</v>
      </c>
      <c r="S1287" s="65">
        <v>27</v>
      </c>
      <c r="T1287" s="43">
        <v>76</v>
      </c>
      <c r="U1287" t="s">
        <v>31</v>
      </c>
      <c r="V1287" t="s">
        <v>1254</v>
      </c>
    </row>
    <row r="1288" spans="1:23" x14ac:dyDescent="0.2">
      <c r="A1288" s="1" t="s">
        <v>1479</v>
      </c>
      <c r="B1288" t="s">
        <v>33</v>
      </c>
      <c r="C1288" t="s">
        <v>28</v>
      </c>
      <c r="D1288" s="65" t="str">
        <f t="shared" si="63"/>
        <v>114_V_a</v>
      </c>
      <c r="E1288">
        <v>30</v>
      </c>
      <c r="F1288" t="s">
        <v>29</v>
      </c>
      <c r="G1288" t="s">
        <v>1482</v>
      </c>
      <c r="I1288">
        <v>2.5743025661094601</v>
      </c>
      <c r="J1288" s="82">
        <v>2.7</v>
      </c>
      <c r="K1288" s="82">
        <v>2.9</v>
      </c>
      <c r="L1288" s="82">
        <v>2.1</v>
      </c>
      <c r="M1288" s="82">
        <v>17.100000000000001</v>
      </c>
      <c r="N1288" s="82">
        <v>27.3</v>
      </c>
      <c r="O1288" s="44">
        <f t="shared" si="62"/>
        <v>8.5354838709677434</v>
      </c>
      <c r="P1288">
        <f t="shared" si="64"/>
        <v>10.42</v>
      </c>
      <c r="Q1288" s="111">
        <v>4.8000000000000001E-2</v>
      </c>
      <c r="R1288">
        <v>0.16800000000000001</v>
      </c>
      <c r="S1288" s="65">
        <v>6</v>
      </c>
      <c r="T1288">
        <v>12</v>
      </c>
      <c r="U1288" t="s">
        <v>31</v>
      </c>
      <c r="V1288" t="s">
        <v>1254</v>
      </c>
      <c r="W1288" t="s">
        <v>1483</v>
      </c>
    </row>
    <row r="1289" spans="1:23" x14ac:dyDescent="0.2">
      <c r="A1289" s="5" t="s">
        <v>1479</v>
      </c>
      <c r="B1289" s="6" t="s">
        <v>36</v>
      </c>
      <c r="C1289" s="6" t="s">
        <v>38</v>
      </c>
      <c r="D1289" s="65" t="str">
        <f t="shared" si="63"/>
        <v>114_O_b</v>
      </c>
      <c r="E1289">
        <v>50</v>
      </c>
      <c r="F1289" t="s">
        <v>39</v>
      </c>
      <c r="G1289" t="s">
        <v>1484</v>
      </c>
      <c r="I1289">
        <v>0.84340946723789001</v>
      </c>
      <c r="J1289" s="82">
        <v>34.799999999999997</v>
      </c>
      <c r="K1289" s="82">
        <v>8.3000000000000007</v>
      </c>
      <c r="L1289" s="82">
        <v>34.799999999999997</v>
      </c>
      <c r="M1289" s="82">
        <v>34.799999999999997</v>
      </c>
      <c r="N1289" s="82">
        <v>36.799999999999997</v>
      </c>
      <c r="O1289" s="44">
        <f t="shared" si="62"/>
        <v>6.2311446317657504</v>
      </c>
      <c r="P1289">
        <f t="shared" si="64"/>
        <v>29.9</v>
      </c>
      <c r="Q1289" s="111">
        <v>0.123</v>
      </c>
      <c r="R1289">
        <v>0.21199999999999999</v>
      </c>
      <c r="S1289" s="65">
        <v>8</v>
      </c>
      <c r="T1289" s="43">
        <v>29</v>
      </c>
      <c r="U1289" t="s">
        <v>31</v>
      </c>
      <c r="V1289" t="s">
        <v>1254</v>
      </c>
    </row>
    <row r="1290" spans="1:23" x14ac:dyDescent="0.2">
      <c r="A1290" s="1" t="s">
        <v>1479</v>
      </c>
      <c r="B1290" t="s">
        <v>33</v>
      </c>
      <c r="C1290" t="s">
        <v>38</v>
      </c>
      <c r="D1290" s="65" t="str">
        <f t="shared" si="63"/>
        <v>114_V_b</v>
      </c>
      <c r="E1290">
        <v>59</v>
      </c>
      <c r="F1290" t="s">
        <v>68</v>
      </c>
      <c r="G1290" t="s">
        <v>1485</v>
      </c>
      <c r="I1290">
        <v>2.0618346246397099</v>
      </c>
      <c r="J1290" s="82">
        <v>30.7</v>
      </c>
      <c r="K1290" s="82">
        <v>2.5</v>
      </c>
      <c r="L1290" s="82">
        <v>16.2</v>
      </c>
      <c r="M1290" s="82">
        <v>6.9</v>
      </c>
      <c r="N1290" s="82">
        <v>23.6</v>
      </c>
      <c r="O1290" s="44">
        <f t="shared" si="62"/>
        <v>11.044819419775012</v>
      </c>
      <c r="P1290">
        <f t="shared" si="64"/>
        <v>15.98</v>
      </c>
      <c r="Q1290" s="111">
        <v>0.187</v>
      </c>
      <c r="R1290">
        <v>0.35599999999999998</v>
      </c>
      <c r="S1290" s="65">
        <v>14</v>
      </c>
      <c r="T1290">
        <v>16</v>
      </c>
      <c r="U1290" t="s">
        <v>31</v>
      </c>
      <c r="V1290" t="s">
        <v>1254</v>
      </c>
    </row>
    <row r="1291" spans="1:23" x14ac:dyDescent="0.2">
      <c r="A1291" s="5" t="s">
        <v>1479</v>
      </c>
      <c r="B1291" s="6" t="s">
        <v>27</v>
      </c>
      <c r="C1291" s="6" t="s">
        <v>38</v>
      </c>
      <c r="D1291" s="65" t="str">
        <f t="shared" si="63"/>
        <v>114_S_b</v>
      </c>
      <c r="E1291">
        <v>68</v>
      </c>
      <c r="F1291" t="s">
        <v>34</v>
      </c>
      <c r="G1291" t="s">
        <v>1486</v>
      </c>
      <c r="I1291">
        <v>0.306843240064684</v>
      </c>
      <c r="J1291" s="82">
        <v>1.4</v>
      </c>
      <c r="K1291" s="82">
        <v>1</v>
      </c>
      <c r="L1291" s="82">
        <v>3.7</v>
      </c>
      <c r="M1291" s="82">
        <v>16.8</v>
      </c>
      <c r="N1291" s="82">
        <v>12</v>
      </c>
      <c r="O1291" s="44">
        <f t="shared" si="62"/>
        <v>9.7692867540029127</v>
      </c>
      <c r="P1291">
        <f t="shared" si="64"/>
        <v>6.9799999999999995</v>
      </c>
      <c r="Q1291" s="111">
        <v>2E-3</v>
      </c>
      <c r="R1291">
        <v>1.6E-2</v>
      </c>
      <c r="S1291" s="65">
        <v>1</v>
      </c>
      <c r="T1291">
        <v>14</v>
      </c>
      <c r="U1291" t="s">
        <v>31</v>
      </c>
      <c r="V1291" t="s">
        <v>1254</v>
      </c>
    </row>
    <row r="1292" spans="1:23" x14ac:dyDescent="0.2">
      <c r="A1292" s="5" t="s">
        <v>1479</v>
      </c>
      <c r="B1292" s="6" t="s">
        <v>27</v>
      </c>
      <c r="C1292" s="6" t="s">
        <v>45</v>
      </c>
      <c r="D1292" s="65" t="str">
        <f t="shared" si="63"/>
        <v>114_S_c</v>
      </c>
      <c r="E1292">
        <v>79</v>
      </c>
      <c r="F1292" t="s">
        <v>49</v>
      </c>
      <c r="G1292" t="s">
        <v>1487</v>
      </c>
      <c r="I1292">
        <v>5.2045309959708801</v>
      </c>
      <c r="J1292" s="82">
        <v>20.399999999999999</v>
      </c>
      <c r="K1292" s="82">
        <v>6.1</v>
      </c>
      <c r="L1292" s="82">
        <v>28.1</v>
      </c>
      <c r="M1292" s="70" t="s">
        <v>57</v>
      </c>
      <c r="N1292" s="82">
        <v>27.2</v>
      </c>
      <c r="O1292" s="44">
        <f t="shared" si="62"/>
        <v>6.8478021978021948</v>
      </c>
      <c r="P1292">
        <f t="shared" si="64"/>
        <v>20.45</v>
      </c>
      <c r="Q1292" s="111">
        <v>0.32300000000000001</v>
      </c>
      <c r="R1292">
        <v>0.45900000000000002</v>
      </c>
      <c r="S1292" s="65">
        <v>33</v>
      </c>
      <c r="T1292">
        <v>71</v>
      </c>
      <c r="U1292" t="s">
        <v>51</v>
      </c>
      <c r="V1292" t="s">
        <v>1254</v>
      </c>
    </row>
    <row r="1293" spans="1:23" x14ac:dyDescent="0.2">
      <c r="A1293" s="5" t="s">
        <v>1479</v>
      </c>
      <c r="B1293" s="6" t="s">
        <v>33</v>
      </c>
      <c r="C1293" s="6" t="s">
        <v>45</v>
      </c>
      <c r="D1293" s="65" t="str">
        <f t="shared" si="63"/>
        <v>114_V_c</v>
      </c>
      <c r="E1293">
        <v>94</v>
      </c>
      <c r="F1293" t="s">
        <v>34</v>
      </c>
      <c r="G1293" t="s">
        <v>1488</v>
      </c>
      <c r="I1293">
        <v>2.1393246644295298</v>
      </c>
      <c r="J1293" s="82">
        <v>4</v>
      </c>
      <c r="K1293" s="82">
        <v>3.7</v>
      </c>
      <c r="L1293" s="82">
        <v>8.6999999999999993</v>
      </c>
      <c r="M1293">
        <v>6.3</v>
      </c>
      <c r="N1293" s="82">
        <v>8.6</v>
      </c>
      <c r="O1293" s="44">
        <f t="shared" si="62"/>
        <v>0.95433186490455235</v>
      </c>
      <c r="P1293">
        <f t="shared" si="64"/>
        <v>6.26</v>
      </c>
      <c r="Q1293" s="111">
        <v>0.14499999999999999</v>
      </c>
      <c r="R1293">
        <v>0.27900000000000003</v>
      </c>
      <c r="S1293" s="65">
        <v>15</v>
      </c>
      <c r="T1293">
        <v>64</v>
      </c>
      <c r="U1293" t="s">
        <v>51</v>
      </c>
      <c r="V1293" t="s">
        <v>1254</v>
      </c>
    </row>
    <row r="1294" spans="1:23" x14ac:dyDescent="0.2">
      <c r="A1294" s="5" t="s">
        <v>1479</v>
      </c>
      <c r="B1294" s="6" t="s">
        <v>36</v>
      </c>
      <c r="C1294" s="6" t="s">
        <v>45</v>
      </c>
      <c r="D1294" s="65" t="str">
        <f t="shared" si="63"/>
        <v>114_O_c</v>
      </c>
      <c r="E1294">
        <v>95</v>
      </c>
      <c r="F1294" t="s">
        <v>29</v>
      </c>
      <c r="G1294" t="s">
        <v>1489</v>
      </c>
      <c r="I1294">
        <v>1.7404510067114101</v>
      </c>
      <c r="J1294" s="82">
        <v>10.1</v>
      </c>
      <c r="K1294" s="82">
        <v>10.6</v>
      </c>
      <c r="L1294" s="82">
        <v>24.6</v>
      </c>
      <c r="M1294">
        <v>22.6</v>
      </c>
      <c r="N1294" s="82">
        <v>12.5</v>
      </c>
      <c r="O1294" s="44">
        <f t="shared" si="62"/>
        <v>3.4891998036327929</v>
      </c>
      <c r="P1294">
        <f t="shared" si="64"/>
        <v>16.080000000000002</v>
      </c>
      <c r="Q1294" s="111">
        <v>0.11700000000000001</v>
      </c>
      <c r="R1294">
        <v>0.23</v>
      </c>
      <c r="S1294" s="65">
        <v>9</v>
      </c>
      <c r="T1294">
        <v>24</v>
      </c>
      <c r="U1294" t="s">
        <v>54</v>
      </c>
      <c r="V1294" t="s">
        <v>1254</v>
      </c>
    </row>
    <row r="1295" spans="1:23" ht="16" x14ac:dyDescent="0.2">
      <c r="A1295" s="5" t="s">
        <v>1479</v>
      </c>
      <c r="B1295" s="6" t="s">
        <v>36</v>
      </c>
      <c r="C1295" s="6" t="s">
        <v>52</v>
      </c>
      <c r="D1295" s="65" t="str">
        <f t="shared" si="63"/>
        <v>114_O_d</v>
      </c>
      <c r="E1295">
        <v>120</v>
      </c>
      <c r="F1295" t="s">
        <v>43</v>
      </c>
      <c r="G1295" t="s">
        <v>1490</v>
      </c>
      <c r="I1295">
        <v>2.0935736637240199</v>
      </c>
      <c r="J1295" s="82">
        <v>23.7</v>
      </c>
      <c r="K1295" s="82">
        <v>5.5</v>
      </c>
      <c r="L1295" s="84">
        <v>10.6</v>
      </c>
      <c r="M1295">
        <v>13</v>
      </c>
      <c r="N1295" s="82">
        <v>6.4</v>
      </c>
      <c r="O1295" s="44">
        <f t="shared" si="62"/>
        <v>4.453030303030304</v>
      </c>
      <c r="P1295">
        <f t="shared" si="64"/>
        <v>11.84</v>
      </c>
      <c r="Q1295" s="111">
        <v>0.153</v>
      </c>
      <c r="R1295">
        <v>0.20200000000000001</v>
      </c>
      <c r="S1295" s="65">
        <v>8</v>
      </c>
      <c r="T1295">
        <v>21</v>
      </c>
      <c r="U1295" t="s">
        <v>31</v>
      </c>
      <c r="V1295" t="s">
        <v>1254</v>
      </c>
    </row>
    <row r="1296" spans="1:23" ht="16" x14ac:dyDescent="0.2">
      <c r="A1296" s="5" t="s">
        <v>1479</v>
      </c>
      <c r="B1296" s="6" t="s">
        <v>33</v>
      </c>
      <c r="C1296" s="6" t="s">
        <v>52</v>
      </c>
      <c r="D1296" s="65" t="str">
        <f t="shared" si="63"/>
        <v>114_V_d</v>
      </c>
      <c r="E1296">
        <v>126</v>
      </c>
      <c r="F1296" t="s">
        <v>29</v>
      </c>
      <c r="G1296" t="s">
        <v>1491</v>
      </c>
      <c r="I1296">
        <v>3.13711672805792</v>
      </c>
      <c r="J1296" s="82">
        <v>9.8000000000000007</v>
      </c>
      <c r="K1296" s="82">
        <v>8.8000000000000007</v>
      </c>
      <c r="L1296" s="84">
        <v>6</v>
      </c>
      <c r="M1296" s="43">
        <v>1.8</v>
      </c>
      <c r="N1296" s="82">
        <v>15.9</v>
      </c>
      <c r="O1296" s="44">
        <f t="shared" si="62"/>
        <v>1.9434343434343426</v>
      </c>
      <c r="P1296">
        <f t="shared" si="64"/>
        <v>8.4600000000000009</v>
      </c>
      <c r="Q1296" s="111">
        <v>0.192</v>
      </c>
      <c r="R1296">
        <v>0.32800000000000001</v>
      </c>
      <c r="S1296" s="65">
        <v>21</v>
      </c>
      <c r="T1296">
        <v>45</v>
      </c>
      <c r="U1296" t="s">
        <v>51</v>
      </c>
      <c r="V1296" t="s">
        <v>1254</v>
      </c>
    </row>
    <row r="1297" spans="1:23" ht="16" x14ac:dyDescent="0.2">
      <c r="A1297" s="5" t="s">
        <v>1479</v>
      </c>
      <c r="B1297" s="6" t="s">
        <v>27</v>
      </c>
      <c r="C1297" s="6" t="s">
        <v>52</v>
      </c>
      <c r="D1297" s="65" t="str">
        <f t="shared" si="63"/>
        <v>114_S_d</v>
      </c>
      <c r="E1297">
        <v>141</v>
      </c>
      <c r="F1297" t="s">
        <v>43</v>
      </c>
      <c r="G1297" t="s">
        <v>1492</v>
      </c>
      <c r="I1297">
        <v>2.0363924050632898</v>
      </c>
      <c r="J1297" s="82">
        <v>15.2</v>
      </c>
      <c r="K1297" s="82">
        <v>1.9</v>
      </c>
      <c r="L1297" s="84">
        <v>26.4</v>
      </c>
      <c r="M1297" s="82">
        <v>2.2999999999999998</v>
      </c>
      <c r="N1297" s="82">
        <v>2.1</v>
      </c>
      <c r="O1297" s="44">
        <f t="shared" si="62"/>
        <v>12.008442503639008</v>
      </c>
      <c r="P1297">
        <f t="shared" si="64"/>
        <v>9.58</v>
      </c>
      <c r="Q1297" s="111">
        <v>0.13600000000000001</v>
      </c>
      <c r="R1297">
        <v>0.20300000000000001</v>
      </c>
      <c r="S1297" s="65">
        <v>5</v>
      </c>
      <c r="T1297">
        <v>52</v>
      </c>
      <c r="U1297" t="s">
        <v>47</v>
      </c>
      <c r="V1297" t="s">
        <v>1254</v>
      </c>
    </row>
    <row r="1298" spans="1:23" ht="16" x14ac:dyDescent="0.2">
      <c r="A1298" s="45" t="s">
        <v>1493</v>
      </c>
      <c r="B1298" s="46" t="s">
        <v>27</v>
      </c>
      <c r="C1298" s="46" t="s">
        <v>28</v>
      </c>
      <c r="D1298" s="67" t="str">
        <f t="shared" si="63"/>
        <v>115_S_a</v>
      </c>
      <c r="E1298" s="47">
        <v>17</v>
      </c>
      <c r="F1298" s="47" t="s">
        <v>70</v>
      </c>
      <c r="G1298" s="47" t="s">
        <v>1494</v>
      </c>
      <c r="H1298" s="47" t="s">
        <v>56</v>
      </c>
      <c r="I1298">
        <v>0</v>
      </c>
      <c r="J1298" s="84">
        <v>0.9</v>
      </c>
      <c r="K1298" s="97">
        <v>1</v>
      </c>
      <c r="L1298" s="82">
        <v>1</v>
      </c>
      <c r="M1298" s="82">
        <v>0.9</v>
      </c>
      <c r="N1298" s="82">
        <v>1</v>
      </c>
      <c r="O1298" s="48">
        <f t="shared" si="62"/>
        <v>3.5087719298245602E-3</v>
      </c>
      <c r="P1298">
        <f t="shared" si="64"/>
        <v>0.96</v>
      </c>
      <c r="R1298" t="s">
        <v>57</v>
      </c>
      <c r="S1298" s="67" t="s">
        <v>57</v>
      </c>
      <c r="T1298" s="47" t="s">
        <v>57</v>
      </c>
      <c r="U1298" s="47" t="s">
        <v>57</v>
      </c>
      <c r="V1298" t="s">
        <v>1254</v>
      </c>
      <c r="W1298" s="47" t="s">
        <v>67</v>
      </c>
    </row>
    <row r="1299" spans="1:23" x14ac:dyDescent="0.2">
      <c r="A1299" s="1" t="s">
        <v>1493</v>
      </c>
      <c r="B1299" t="s">
        <v>33</v>
      </c>
      <c r="C1299" t="s">
        <v>28</v>
      </c>
      <c r="D1299" s="65" t="str">
        <f t="shared" si="63"/>
        <v>115_V_a</v>
      </c>
      <c r="E1299">
        <v>34</v>
      </c>
      <c r="F1299" t="s">
        <v>29</v>
      </c>
      <c r="G1299" t="s">
        <v>1495</v>
      </c>
      <c r="I1299">
        <v>0.89560089999224102</v>
      </c>
      <c r="J1299" s="82">
        <v>1.9</v>
      </c>
      <c r="K1299" s="82">
        <v>6.5</v>
      </c>
      <c r="L1299" s="82">
        <v>3.4</v>
      </c>
      <c r="M1299" s="82">
        <v>6.8</v>
      </c>
      <c r="N1299" s="82">
        <v>27</v>
      </c>
      <c r="O1299" s="44">
        <f t="shared" si="62"/>
        <v>1.2308243727598556</v>
      </c>
      <c r="P1299">
        <f t="shared" si="64"/>
        <v>9.120000000000001</v>
      </c>
      <c r="Q1299" s="111">
        <v>8.0000000000000002E-3</v>
      </c>
      <c r="R1299">
        <v>6.9000000000000006E-2</v>
      </c>
      <c r="S1299" s="65">
        <v>3</v>
      </c>
      <c r="T1299">
        <v>16</v>
      </c>
      <c r="U1299" t="s">
        <v>31</v>
      </c>
      <c r="V1299" t="s">
        <v>1254</v>
      </c>
    </row>
    <row r="1300" spans="1:23" x14ac:dyDescent="0.2">
      <c r="A1300" s="5" t="s">
        <v>1493</v>
      </c>
      <c r="B1300" s="6" t="s">
        <v>36</v>
      </c>
      <c r="C1300" s="6" t="s">
        <v>28</v>
      </c>
      <c r="D1300" s="65" t="str">
        <f t="shared" si="63"/>
        <v>115_O_a</v>
      </c>
      <c r="E1300">
        <v>36</v>
      </c>
      <c r="F1300" t="s">
        <v>63</v>
      </c>
      <c r="G1300" t="s">
        <v>1496</v>
      </c>
      <c r="I1300">
        <v>2.3002329868400802</v>
      </c>
      <c r="J1300" s="82">
        <v>23.3</v>
      </c>
      <c r="K1300" s="82">
        <v>27.1</v>
      </c>
      <c r="L1300" s="82">
        <v>32.299999999999997</v>
      </c>
      <c r="M1300" s="82">
        <v>34.4</v>
      </c>
      <c r="N1300" s="82">
        <v>30.2</v>
      </c>
      <c r="O1300" s="44">
        <f t="shared" si="62"/>
        <v>0.86362083689154923</v>
      </c>
      <c r="P1300">
        <f t="shared" si="64"/>
        <v>29.459999999999997</v>
      </c>
      <c r="Q1300" s="111">
        <v>0.18099999999999999</v>
      </c>
      <c r="R1300">
        <v>0.32200000000000001</v>
      </c>
      <c r="S1300" s="65">
        <v>16</v>
      </c>
      <c r="T1300">
        <v>18</v>
      </c>
      <c r="U1300" t="s">
        <v>31</v>
      </c>
      <c r="V1300" t="s">
        <v>1254</v>
      </c>
    </row>
    <row r="1301" spans="1:23" x14ac:dyDescent="0.2">
      <c r="A1301" s="1" t="s">
        <v>1493</v>
      </c>
      <c r="B1301" t="s">
        <v>33</v>
      </c>
      <c r="C1301" t="s">
        <v>38</v>
      </c>
      <c r="D1301" s="65" t="str">
        <f t="shared" si="63"/>
        <v>115_V_b</v>
      </c>
      <c r="E1301">
        <v>59</v>
      </c>
      <c r="F1301" t="s">
        <v>39</v>
      </c>
      <c r="G1301" t="s">
        <v>1497</v>
      </c>
      <c r="I1301">
        <v>3.7809900309384701</v>
      </c>
      <c r="J1301" s="82">
        <v>15.4</v>
      </c>
      <c r="K1301" s="82">
        <v>15.4</v>
      </c>
      <c r="L1301" s="82">
        <v>27</v>
      </c>
      <c r="M1301" s="82">
        <v>26.9</v>
      </c>
      <c r="N1301" s="82">
        <v>9.1999999999999993</v>
      </c>
      <c r="O1301" s="44">
        <f t="shared" si="62"/>
        <v>2.100078709169626</v>
      </c>
      <c r="P1301">
        <f t="shared" si="64"/>
        <v>18.779999999999998</v>
      </c>
      <c r="Q1301" s="111">
        <v>0.13100000000000001</v>
      </c>
      <c r="R1301">
        <v>0.23799999999999999</v>
      </c>
      <c r="S1301" s="65">
        <v>6</v>
      </c>
      <c r="T1301">
        <v>16</v>
      </c>
      <c r="U1301" t="s">
        <v>31</v>
      </c>
      <c r="V1301" t="s">
        <v>1254</v>
      </c>
    </row>
    <row r="1302" spans="1:23" x14ac:dyDescent="0.2">
      <c r="A1302" s="5" t="s">
        <v>1493</v>
      </c>
      <c r="B1302" s="6" t="s">
        <v>27</v>
      </c>
      <c r="C1302" s="6" t="s">
        <v>38</v>
      </c>
      <c r="D1302" s="65" t="str">
        <f t="shared" si="63"/>
        <v>115_S_b</v>
      </c>
      <c r="E1302">
        <v>63</v>
      </c>
      <c r="F1302" t="s">
        <v>39</v>
      </c>
      <c r="G1302" t="s">
        <v>1498</v>
      </c>
      <c r="H1302" t="s">
        <v>56</v>
      </c>
      <c r="I1302">
        <v>0</v>
      </c>
      <c r="J1302" s="82">
        <v>1</v>
      </c>
      <c r="K1302" s="82">
        <v>1</v>
      </c>
      <c r="L1302" s="82">
        <v>1</v>
      </c>
      <c r="M1302" s="82">
        <v>1</v>
      </c>
      <c r="N1302" s="82">
        <v>1</v>
      </c>
      <c r="O1302" s="44">
        <f t="shared" si="62"/>
        <v>0</v>
      </c>
      <c r="P1302">
        <f t="shared" si="64"/>
        <v>1</v>
      </c>
      <c r="Q1302" s="111" t="s">
        <v>57</v>
      </c>
      <c r="R1302" t="s">
        <v>57</v>
      </c>
      <c r="S1302" s="65" t="s">
        <v>57</v>
      </c>
      <c r="T1302" t="s">
        <v>57</v>
      </c>
      <c r="U1302" t="s">
        <v>57</v>
      </c>
      <c r="V1302" t="s">
        <v>1254</v>
      </c>
      <c r="W1302" t="s">
        <v>67</v>
      </c>
    </row>
    <row r="1303" spans="1:23" x14ac:dyDescent="0.2">
      <c r="A1303" s="5" t="s">
        <v>1493</v>
      </c>
      <c r="B1303" s="6" t="s">
        <v>36</v>
      </c>
      <c r="C1303" s="6" t="s">
        <v>38</v>
      </c>
      <c r="D1303" s="65" t="str">
        <f t="shared" si="63"/>
        <v>115_O_b</v>
      </c>
      <c r="E1303">
        <v>71</v>
      </c>
      <c r="F1303" t="s">
        <v>70</v>
      </c>
      <c r="G1303" t="s">
        <v>1499</v>
      </c>
      <c r="I1303">
        <v>3.5019405470879201</v>
      </c>
      <c r="J1303" s="82">
        <v>23</v>
      </c>
      <c r="K1303" s="82">
        <v>22.1</v>
      </c>
      <c r="L1303" s="82">
        <v>36.1</v>
      </c>
      <c r="M1303" s="82">
        <v>35.5</v>
      </c>
      <c r="N1303" s="82">
        <v>46.1</v>
      </c>
      <c r="O1303" s="44">
        <f t="shared" si="62"/>
        <v>2.0125392744929971</v>
      </c>
      <c r="P1303">
        <f t="shared" si="64"/>
        <v>32.56</v>
      </c>
      <c r="Q1303" s="111">
        <v>0.13800000000000001</v>
      </c>
      <c r="R1303">
        <v>0.38600000000000001</v>
      </c>
      <c r="S1303" s="65">
        <v>10</v>
      </c>
      <c r="T1303">
        <v>44</v>
      </c>
      <c r="U1303" t="s">
        <v>31</v>
      </c>
      <c r="V1303" t="s">
        <v>1254</v>
      </c>
    </row>
    <row r="1304" spans="1:23" x14ac:dyDescent="0.2">
      <c r="A1304" s="5" t="s">
        <v>1493</v>
      </c>
      <c r="B1304" s="6" t="s">
        <v>33</v>
      </c>
      <c r="C1304" s="6" t="s">
        <v>45</v>
      </c>
      <c r="D1304" s="65" t="str">
        <f t="shared" si="63"/>
        <v>115_V_c</v>
      </c>
      <c r="E1304">
        <v>76</v>
      </c>
      <c r="F1304" t="s">
        <v>68</v>
      </c>
      <c r="G1304" t="s">
        <v>1500</v>
      </c>
      <c r="I1304">
        <v>0.779417272114448</v>
      </c>
      <c r="J1304" s="82">
        <v>1.3</v>
      </c>
      <c r="K1304" s="82">
        <v>7</v>
      </c>
      <c r="L1304" s="82">
        <v>22.5</v>
      </c>
      <c r="M1304" s="82">
        <v>28.9</v>
      </c>
      <c r="N1304" s="82">
        <v>31.8</v>
      </c>
      <c r="O1304" s="44">
        <f t="shared" si="62"/>
        <v>11.192127303182581</v>
      </c>
      <c r="P1304">
        <f t="shared" si="64"/>
        <v>18.3</v>
      </c>
      <c r="Q1304" s="111">
        <v>5.1999999999999998E-2</v>
      </c>
      <c r="R1304">
        <v>0.126</v>
      </c>
      <c r="S1304" s="65">
        <v>3</v>
      </c>
      <c r="T1304">
        <v>15</v>
      </c>
      <c r="U1304" t="s">
        <v>31</v>
      </c>
      <c r="V1304" t="s">
        <v>1254</v>
      </c>
    </row>
    <row r="1305" spans="1:23" x14ac:dyDescent="0.2">
      <c r="A1305" s="5" t="s">
        <v>1493</v>
      </c>
      <c r="B1305" s="6" t="s">
        <v>36</v>
      </c>
      <c r="C1305" s="6" t="s">
        <v>45</v>
      </c>
      <c r="D1305" s="65" t="str">
        <f t="shared" si="63"/>
        <v>115_O_c</v>
      </c>
      <c r="E1305">
        <v>101</v>
      </c>
      <c r="F1305" t="s">
        <v>68</v>
      </c>
      <c r="G1305" t="s">
        <v>1501</v>
      </c>
      <c r="I1305">
        <v>5.2955788996372402</v>
      </c>
      <c r="J1305" s="82">
        <v>27.1</v>
      </c>
      <c r="K1305" t="s">
        <v>57</v>
      </c>
      <c r="L1305" s="82"/>
      <c r="M1305">
        <v>40.299999999999997</v>
      </c>
      <c r="N1305" s="82">
        <v>45.6</v>
      </c>
      <c r="O1305" s="44">
        <f t="shared" si="62"/>
        <v>2.5851632047477575</v>
      </c>
      <c r="P1305">
        <f t="shared" si="64"/>
        <v>37.666666666666664</v>
      </c>
      <c r="Q1305" s="111">
        <v>0.378</v>
      </c>
      <c r="R1305">
        <v>0.61</v>
      </c>
      <c r="S1305" s="65">
        <v>21</v>
      </c>
      <c r="T1305">
        <v>31</v>
      </c>
      <c r="U1305" t="s">
        <v>72</v>
      </c>
      <c r="V1305" t="s">
        <v>1254</v>
      </c>
    </row>
    <row r="1306" spans="1:23" x14ac:dyDescent="0.2">
      <c r="A1306" s="5" t="s">
        <v>1493</v>
      </c>
      <c r="B1306" s="6" t="s">
        <v>27</v>
      </c>
      <c r="C1306" s="6" t="s">
        <v>45</v>
      </c>
      <c r="D1306" s="65" t="str">
        <f t="shared" si="63"/>
        <v>115_S_c</v>
      </c>
      <c r="E1306">
        <v>105</v>
      </c>
      <c r="F1306" t="s">
        <v>34</v>
      </c>
      <c r="G1306" t="s">
        <v>1502</v>
      </c>
      <c r="I1306">
        <v>5.0153357598260699</v>
      </c>
      <c r="J1306" s="82">
        <v>22.7</v>
      </c>
      <c r="K1306" s="82">
        <v>32.9</v>
      </c>
      <c r="L1306" s="82">
        <v>48.4</v>
      </c>
      <c r="M1306">
        <v>40.299999999999997</v>
      </c>
      <c r="N1306" s="82">
        <v>48</v>
      </c>
      <c r="O1306" s="44">
        <f t="shared" si="62"/>
        <v>3.3146454146454056</v>
      </c>
      <c r="P1306">
        <f t="shared" si="64"/>
        <v>38.46</v>
      </c>
      <c r="Q1306" s="111">
        <v>0.376</v>
      </c>
      <c r="R1306">
        <v>0.61699999999999999</v>
      </c>
      <c r="S1306" s="65">
        <v>21</v>
      </c>
      <c r="T1306">
        <v>12</v>
      </c>
      <c r="U1306" t="s">
        <v>72</v>
      </c>
      <c r="V1306" t="s">
        <v>1254</v>
      </c>
    </row>
    <row r="1307" spans="1:23" x14ac:dyDescent="0.2">
      <c r="A1307" s="5" t="s">
        <v>1493</v>
      </c>
      <c r="B1307" s="6" t="s">
        <v>33</v>
      </c>
      <c r="C1307" s="6" t="s">
        <v>52</v>
      </c>
      <c r="D1307" s="65" t="str">
        <f t="shared" si="63"/>
        <v>115_V_d</v>
      </c>
      <c r="E1307">
        <v>113</v>
      </c>
      <c r="F1307" t="s">
        <v>39</v>
      </c>
      <c r="G1307" t="s">
        <v>1503</v>
      </c>
      <c r="I1307">
        <v>3.3592317631857198</v>
      </c>
      <c r="J1307" s="82">
        <v>27.9</v>
      </c>
      <c r="K1307" s="82">
        <v>30.9</v>
      </c>
      <c r="L1307" s="82">
        <v>40.5</v>
      </c>
      <c r="M1307">
        <v>30</v>
      </c>
      <c r="N1307" s="82">
        <v>35.200000000000003</v>
      </c>
      <c r="O1307" s="44">
        <f t="shared" si="62"/>
        <v>0.96774941995358532</v>
      </c>
      <c r="P1307">
        <f t="shared" si="64"/>
        <v>32.9</v>
      </c>
      <c r="Q1307" s="111">
        <v>0.433</v>
      </c>
      <c r="R1307">
        <v>0.57399999999999995</v>
      </c>
      <c r="S1307" s="65">
        <v>39</v>
      </c>
      <c r="T1307">
        <v>12</v>
      </c>
      <c r="U1307" t="s">
        <v>54</v>
      </c>
      <c r="V1307" t="s">
        <v>1254</v>
      </c>
    </row>
    <row r="1308" spans="1:23" ht="16" x14ac:dyDescent="0.2">
      <c r="A1308" s="5" t="s">
        <v>1493</v>
      </c>
      <c r="B1308" s="6" t="s">
        <v>27</v>
      </c>
      <c r="C1308" s="6" t="s">
        <v>52</v>
      </c>
      <c r="D1308" s="65" t="str">
        <f t="shared" si="63"/>
        <v>115_S_d</v>
      </c>
      <c r="E1308">
        <v>120</v>
      </c>
      <c r="F1308" t="s">
        <v>68</v>
      </c>
      <c r="G1308" t="s">
        <v>1504</v>
      </c>
      <c r="I1308">
        <v>2.8286793700867499</v>
      </c>
      <c r="J1308" s="82">
        <v>9.3000000000000007</v>
      </c>
      <c r="K1308" s="82">
        <v>4.7</v>
      </c>
      <c r="L1308" s="84">
        <v>11.3</v>
      </c>
      <c r="M1308">
        <v>18</v>
      </c>
      <c r="N1308" s="82">
        <v>29.5</v>
      </c>
      <c r="O1308" s="44">
        <f t="shared" si="62"/>
        <v>2.8190146266358762</v>
      </c>
      <c r="P1308">
        <f t="shared" si="64"/>
        <v>14.559999999999999</v>
      </c>
      <c r="Q1308" s="111">
        <v>6.5000000000000002E-2</v>
      </c>
      <c r="R1308">
        <v>0.128</v>
      </c>
      <c r="S1308" s="65">
        <v>5</v>
      </c>
      <c r="T1308">
        <v>86</v>
      </c>
      <c r="U1308" t="s">
        <v>31</v>
      </c>
      <c r="V1308" t="s">
        <v>1254</v>
      </c>
    </row>
    <row r="1309" spans="1:23" ht="16" x14ac:dyDescent="0.2">
      <c r="A1309" s="5" t="s">
        <v>1493</v>
      </c>
      <c r="B1309" s="6" t="s">
        <v>36</v>
      </c>
      <c r="C1309" s="6" t="s">
        <v>52</v>
      </c>
      <c r="D1309" s="65" t="str">
        <f t="shared" si="63"/>
        <v>115_O_d</v>
      </c>
      <c r="E1309">
        <v>141</v>
      </c>
      <c r="F1309" t="s">
        <v>63</v>
      </c>
      <c r="G1309" t="s">
        <v>1505</v>
      </c>
      <c r="I1309">
        <v>2.5661392405063301</v>
      </c>
      <c r="J1309" s="82">
        <v>35.9</v>
      </c>
      <c r="K1309" s="82">
        <v>7</v>
      </c>
      <c r="L1309" s="84">
        <v>34.299999999999997</v>
      </c>
      <c r="M1309" s="82">
        <v>33.5</v>
      </c>
      <c r="N1309" s="82">
        <v>34.4</v>
      </c>
      <c r="O1309" s="44">
        <f t="shared" si="62"/>
        <v>6.9006624510689587</v>
      </c>
      <c r="P1309">
        <f t="shared" si="64"/>
        <v>29.02</v>
      </c>
      <c r="Q1309" s="111">
        <v>0.223</v>
      </c>
      <c r="R1309">
        <v>0.37</v>
      </c>
      <c r="S1309" s="65">
        <v>10</v>
      </c>
      <c r="T1309">
        <v>23</v>
      </c>
      <c r="U1309" t="s">
        <v>54</v>
      </c>
      <c r="V1309" t="s">
        <v>1254</v>
      </c>
    </row>
    <row r="1310" spans="1:23" ht="16" x14ac:dyDescent="0.2">
      <c r="A1310" s="5" t="s">
        <v>1506</v>
      </c>
      <c r="B1310" s="6" t="s">
        <v>27</v>
      </c>
      <c r="C1310" s="6" t="s">
        <v>28</v>
      </c>
      <c r="D1310" s="65" t="str">
        <f t="shared" si="63"/>
        <v>116_S_a</v>
      </c>
      <c r="E1310">
        <v>4</v>
      </c>
      <c r="F1310" t="s">
        <v>63</v>
      </c>
      <c r="G1310" t="s">
        <v>1507</v>
      </c>
      <c r="I1310">
        <v>2.1895057866750101</v>
      </c>
      <c r="J1310" s="84">
        <v>7.8</v>
      </c>
      <c r="K1310" s="82">
        <v>9.8000000000000007</v>
      </c>
      <c r="L1310" s="82">
        <v>31.9</v>
      </c>
      <c r="M1310" s="82">
        <v>34.299999999999997</v>
      </c>
      <c r="N1310" s="82">
        <v>4.8</v>
      </c>
      <c r="O1310" s="44">
        <f t="shared" si="62"/>
        <v>9.4728719172633209</v>
      </c>
      <c r="P1310">
        <f t="shared" si="64"/>
        <v>17.72</v>
      </c>
      <c r="Q1310" s="111">
        <v>0.29399999999999998</v>
      </c>
      <c r="R1310">
        <v>0.42399999999999999</v>
      </c>
      <c r="S1310" s="65">
        <v>7</v>
      </c>
      <c r="T1310">
        <v>99</v>
      </c>
      <c r="U1310" t="s">
        <v>61</v>
      </c>
      <c r="V1310" t="s">
        <v>1254</v>
      </c>
    </row>
    <row r="1311" spans="1:23" ht="16" x14ac:dyDescent="0.2">
      <c r="A1311" s="1" t="s">
        <v>1506</v>
      </c>
      <c r="B1311" t="s">
        <v>33</v>
      </c>
      <c r="C1311" t="s">
        <v>28</v>
      </c>
      <c r="D1311" s="65" t="str">
        <f t="shared" si="63"/>
        <v>116_V_a</v>
      </c>
      <c r="E1311">
        <v>5</v>
      </c>
      <c r="F1311" t="s">
        <v>29</v>
      </c>
      <c r="G1311" t="s">
        <v>1508</v>
      </c>
      <c r="I1311">
        <v>3.0241680210026201</v>
      </c>
      <c r="J1311" s="84">
        <v>30.4</v>
      </c>
      <c r="K1311" s="82">
        <v>25.2</v>
      </c>
      <c r="L1311" s="82">
        <v>27.4</v>
      </c>
      <c r="M1311" s="82">
        <v>21.1</v>
      </c>
      <c r="N1311" s="82">
        <v>23</v>
      </c>
      <c r="O1311" s="44">
        <f t="shared" si="62"/>
        <v>0.5887608069164233</v>
      </c>
      <c r="P1311">
        <f t="shared" si="64"/>
        <v>25.419999999999998</v>
      </c>
      <c r="Q1311" s="111">
        <v>0.28899999999999998</v>
      </c>
      <c r="R1311">
        <v>0.39200000000000002</v>
      </c>
      <c r="S1311" s="65">
        <v>8</v>
      </c>
      <c r="T1311">
        <v>14</v>
      </c>
      <c r="U1311" t="s">
        <v>31</v>
      </c>
      <c r="V1311" t="s">
        <v>1254</v>
      </c>
    </row>
    <row r="1312" spans="1:23" x14ac:dyDescent="0.2">
      <c r="A1312" s="5" t="s">
        <v>1506</v>
      </c>
      <c r="B1312" s="6" t="s">
        <v>36</v>
      </c>
      <c r="C1312" s="6" t="s">
        <v>28</v>
      </c>
      <c r="D1312" s="65" t="str">
        <f t="shared" si="63"/>
        <v>116_O_a</v>
      </c>
      <c r="E1312">
        <v>29</v>
      </c>
      <c r="F1312" t="s">
        <v>29</v>
      </c>
      <c r="G1312" t="s">
        <v>1509</v>
      </c>
      <c r="I1312">
        <v>1.29682899207248</v>
      </c>
      <c r="J1312" s="43">
        <v>1.3</v>
      </c>
      <c r="K1312" s="82">
        <v>2.2999999999999998</v>
      </c>
      <c r="L1312" s="82">
        <v>9.8000000000000007</v>
      </c>
      <c r="M1312" s="82">
        <v>19</v>
      </c>
      <c r="N1312" s="82">
        <v>27.1</v>
      </c>
      <c r="O1312" s="44">
        <f t="shared" si="62"/>
        <v>8.2954732510288078</v>
      </c>
      <c r="P1312">
        <f t="shared" si="64"/>
        <v>11.9</v>
      </c>
      <c r="Q1312" s="111">
        <v>0.12</v>
      </c>
      <c r="R1312">
        <v>0.14499999999999999</v>
      </c>
      <c r="S1312" s="65">
        <v>10</v>
      </c>
      <c r="T1312">
        <v>34</v>
      </c>
      <c r="U1312" t="s">
        <v>72</v>
      </c>
      <c r="V1312" t="s">
        <v>1254</v>
      </c>
    </row>
    <row r="1313" spans="1:23" x14ac:dyDescent="0.2">
      <c r="A1313" s="5" t="s">
        <v>1506</v>
      </c>
      <c r="B1313" s="6" t="s">
        <v>36</v>
      </c>
      <c r="C1313" s="6" t="s">
        <v>38</v>
      </c>
      <c r="D1313" s="65" t="str">
        <f t="shared" si="63"/>
        <v>116_O_b</v>
      </c>
      <c r="E1313">
        <v>50</v>
      </c>
      <c r="F1313" t="s">
        <v>43</v>
      </c>
      <c r="G1313" t="s">
        <v>1510</v>
      </c>
      <c r="I1313">
        <v>1.3490735143375301</v>
      </c>
      <c r="J1313" s="82">
        <v>35.799999999999997</v>
      </c>
      <c r="K1313" s="82">
        <v>2.1</v>
      </c>
      <c r="L1313" s="82">
        <v>10.9</v>
      </c>
      <c r="M1313" s="82">
        <v>11</v>
      </c>
      <c r="N1313" s="82">
        <v>4.5</v>
      </c>
      <c r="O1313" s="44">
        <f t="shared" si="62"/>
        <v>14.088071348940915</v>
      </c>
      <c r="P1313">
        <f t="shared" si="64"/>
        <v>12.86</v>
      </c>
      <c r="Q1313" s="111">
        <v>4.3999999999999997E-2</v>
      </c>
      <c r="R1313">
        <v>0.108</v>
      </c>
      <c r="S1313" s="65">
        <v>6</v>
      </c>
      <c r="T1313" s="43">
        <v>34</v>
      </c>
      <c r="U1313" t="s">
        <v>31</v>
      </c>
      <c r="V1313" t="s">
        <v>1254</v>
      </c>
    </row>
    <row r="1314" spans="1:23" x14ac:dyDescent="0.2">
      <c r="A1314" s="5" t="s">
        <v>1506</v>
      </c>
      <c r="B1314" s="6" t="s">
        <v>27</v>
      </c>
      <c r="C1314" s="6" t="s">
        <v>38</v>
      </c>
      <c r="D1314" s="65" t="str">
        <f t="shared" si="63"/>
        <v>116_S_b</v>
      </c>
      <c r="E1314">
        <v>65</v>
      </c>
      <c r="F1314" t="s">
        <v>70</v>
      </c>
      <c r="G1314" t="s">
        <v>1511</v>
      </c>
      <c r="I1314">
        <v>2.9539690955915798</v>
      </c>
      <c r="J1314" s="82">
        <v>14.9</v>
      </c>
      <c r="K1314" s="82">
        <v>30.4</v>
      </c>
      <c r="L1314" t="s">
        <v>57</v>
      </c>
      <c r="M1314" s="82">
        <v>31.4</v>
      </c>
      <c r="N1314" s="82">
        <v>38.700000000000003</v>
      </c>
      <c r="O1314" s="44">
        <f t="shared" si="62"/>
        <v>3.3474576271186551</v>
      </c>
      <c r="P1314">
        <f t="shared" si="64"/>
        <v>28.849999999999998</v>
      </c>
      <c r="Q1314" s="111">
        <v>0.189</v>
      </c>
      <c r="R1314">
        <v>0.316</v>
      </c>
      <c r="S1314" s="65">
        <v>9</v>
      </c>
      <c r="T1314">
        <v>11</v>
      </c>
      <c r="U1314" t="s">
        <v>31</v>
      </c>
      <c r="V1314" t="s">
        <v>1254</v>
      </c>
    </row>
    <row r="1315" spans="1:23" x14ac:dyDescent="0.2">
      <c r="A1315" s="1" t="s">
        <v>1506</v>
      </c>
      <c r="B1315" t="s">
        <v>33</v>
      </c>
      <c r="C1315" t="s">
        <v>38</v>
      </c>
      <c r="D1315" s="65" t="str">
        <f t="shared" si="63"/>
        <v>116_V_b</v>
      </c>
      <c r="E1315">
        <v>67</v>
      </c>
      <c r="F1315" t="s">
        <v>68</v>
      </c>
      <c r="G1315" t="s">
        <v>1512</v>
      </c>
      <c r="I1315">
        <v>1.8827937478939301</v>
      </c>
      <c r="J1315" s="82">
        <v>3.1</v>
      </c>
      <c r="K1315" s="82">
        <v>17.8</v>
      </c>
      <c r="L1315" t="s">
        <v>57</v>
      </c>
      <c r="M1315" s="82">
        <v>27</v>
      </c>
      <c r="N1315" s="82">
        <v>38.6</v>
      </c>
      <c r="O1315" s="44">
        <f t="shared" si="62"/>
        <v>9.1016701461377778</v>
      </c>
      <c r="P1315">
        <f t="shared" si="64"/>
        <v>21.625</v>
      </c>
      <c r="Q1315" s="111">
        <v>0.12</v>
      </c>
      <c r="R1315">
        <v>0.34499999999999997</v>
      </c>
      <c r="S1315" s="65">
        <v>13</v>
      </c>
      <c r="T1315">
        <v>6</v>
      </c>
      <c r="U1315" t="s">
        <v>31</v>
      </c>
      <c r="V1315" t="s">
        <v>1254</v>
      </c>
    </row>
    <row r="1316" spans="1:23" x14ac:dyDescent="0.2">
      <c r="A1316" s="5" t="s">
        <v>1506</v>
      </c>
      <c r="B1316" s="6" t="s">
        <v>36</v>
      </c>
      <c r="C1316" s="6" t="s">
        <v>45</v>
      </c>
      <c r="D1316" s="65" t="str">
        <f t="shared" si="63"/>
        <v>116_O_c</v>
      </c>
      <c r="E1316">
        <v>74</v>
      </c>
      <c r="F1316" t="s">
        <v>41</v>
      </c>
      <c r="G1316" t="s">
        <v>1513</v>
      </c>
      <c r="I1316">
        <v>3.0724920990926701</v>
      </c>
      <c r="J1316" s="82">
        <v>26.5</v>
      </c>
      <c r="K1316" s="82">
        <v>29.6</v>
      </c>
      <c r="L1316" s="82">
        <v>37.5</v>
      </c>
      <c r="M1316" s="82">
        <v>30.4</v>
      </c>
      <c r="N1316" s="82">
        <v>35.700000000000003</v>
      </c>
      <c r="O1316" s="44">
        <f t="shared" si="62"/>
        <v>0.69698924731182488</v>
      </c>
      <c r="P1316">
        <f t="shared" si="64"/>
        <v>31.939999999999998</v>
      </c>
      <c r="Q1316" s="111">
        <v>0.17699999999999999</v>
      </c>
      <c r="R1316">
        <v>0.41499999999999998</v>
      </c>
      <c r="S1316" s="65">
        <v>14</v>
      </c>
      <c r="T1316">
        <v>55</v>
      </c>
      <c r="U1316" t="s">
        <v>51</v>
      </c>
      <c r="V1316" t="s">
        <v>1254</v>
      </c>
    </row>
    <row r="1317" spans="1:23" x14ac:dyDescent="0.2">
      <c r="A1317" s="5" t="s">
        <v>1506</v>
      </c>
      <c r="B1317" s="6" t="s">
        <v>33</v>
      </c>
      <c r="C1317" s="6" t="s">
        <v>45</v>
      </c>
      <c r="D1317" s="65" t="str">
        <f t="shared" si="63"/>
        <v>116_V_c</v>
      </c>
      <c r="E1317">
        <v>80</v>
      </c>
      <c r="F1317" t="s">
        <v>43</v>
      </c>
      <c r="G1317" t="s">
        <v>1514</v>
      </c>
      <c r="I1317">
        <v>3.0738799641965402</v>
      </c>
      <c r="J1317" s="82">
        <v>7.6</v>
      </c>
      <c r="K1317" s="82">
        <v>29.9</v>
      </c>
      <c r="L1317" s="82">
        <v>46.5</v>
      </c>
      <c r="M1317" t="s">
        <v>57</v>
      </c>
      <c r="N1317" s="82">
        <v>28.1</v>
      </c>
      <c r="O1317" s="44">
        <f t="shared" si="62"/>
        <v>13.6075</v>
      </c>
      <c r="P1317">
        <f t="shared" si="64"/>
        <v>28.024999999999999</v>
      </c>
      <c r="Q1317" s="111">
        <v>0.34599999999999997</v>
      </c>
      <c r="R1317">
        <v>0.66700000000000004</v>
      </c>
      <c r="S1317" s="65">
        <v>15</v>
      </c>
      <c r="T1317">
        <v>24</v>
      </c>
      <c r="U1317" t="s">
        <v>31</v>
      </c>
      <c r="V1317" t="s">
        <v>1254</v>
      </c>
    </row>
    <row r="1318" spans="1:23" x14ac:dyDescent="0.2">
      <c r="A1318" s="5" t="s">
        <v>1506</v>
      </c>
      <c r="B1318" s="6" t="s">
        <v>27</v>
      </c>
      <c r="C1318" s="6" t="s">
        <v>45</v>
      </c>
      <c r="D1318" s="65" t="str">
        <f t="shared" si="63"/>
        <v>116_S_c</v>
      </c>
      <c r="E1318">
        <v>90</v>
      </c>
      <c r="F1318" t="s">
        <v>43</v>
      </c>
      <c r="G1318" t="s">
        <v>1515</v>
      </c>
      <c r="I1318">
        <v>5.0282649523259204</v>
      </c>
      <c r="J1318" s="82">
        <v>22.3</v>
      </c>
      <c r="K1318" s="82">
        <v>12.3</v>
      </c>
      <c r="L1318" s="82">
        <v>34.5</v>
      </c>
      <c r="M1318" s="82">
        <v>6.3</v>
      </c>
      <c r="N1318" s="82">
        <v>39.6</v>
      </c>
      <c r="O1318" s="44">
        <f t="shared" si="62"/>
        <v>8.0854111405835596</v>
      </c>
      <c r="P1318">
        <f t="shared" si="64"/>
        <v>23</v>
      </c>
      <c r="Q1318" s="111">
        <v>0.41199999999999998</v>
      </c>
      <c r="R1318">
        <v>0.67300000000000004</v>
      </c>
      <c r="S1318" s="65">
        <v>32</v>
      </c>
      <c r="T1318">
        <v>58</v>
      </c>
      <c r="U1318" t="s">
        <v>51</v>
      </c>
      <c r="V1318" t="s">
        <v>1254</v>
      </c>
    </row>
    <row r="1319" spans="1:23" x14ac:dyDescent="0.2">
      <c r="A1319" s="5" t="s">
        <v>1506</v>
      </c>
      <c r="B1319" s="6" t="s">
        <v>36</v>
      </c>
      <c r="C1319" s="6" t="s">
        <v>52</v>
      </c>
      <c r="D1319" s="65" t="str">
        <f t="shared" si="63"/>
        <v>116_O_d</v>
      </c>
      <c r="E1319">
        <v>118</v>
      </c>
      <c r="F1319" t="s">
        <v>29</v>
      </c>
      <c r="G1319" t="s">
        <v>1516</v>
      </c>
      <c r="I1319">
        <v>3.9083048633440498</v>
      </c>
      <c r="J1319" s="82">
        <v>33.6</v>
      </c>
      <c r="K1319" s="82">
        <v>31.2</v>
      </c>
      <c r="L1319" s="82">
        <v>55.1</v>
      </c>
      <c r="M1319">
        <v>52.6</v>
      </c>
      <c r="N1319" s="82">
        <v>27.1</v>
      </c>
      <c r="O1319" s="44">
        <f t="shared" si="62"/>
        <v>3.6027632850241553</v>
      </c>
      <c r="P1319">
        <f t="shared" si="64"/>
        <v>39.92</v>
      </c>
      <c r="Q1319" s="111">
        <v>0.46700000000000003</v>
      </c>
      <c r="R1319">
        <v>0.38300000000000001</v>
      </c>
      <c r="S1319" s="65">
        <v>14</v>
      </c>
      <c r="T1319">
        <v>23</v>
      </c>
      <c r="U1319" t="s">
        <v>54</v>
      </c>
      <c r="V1319" t="s">
        <v>1254</v>
      </c>
    </row>
    <row r="1320" spans="1:23" x14ac:dyDescent="0.2">
      <c r="A1320" s="5" t="s">
        <v>1506</v>
      </c>
      <c r="B1320" s="6" t="s">
        <v>33</v>
      </c>
      <c r="C1320" s="6" t="s">
        <v>52</v>
      </c>
      <c r="D1320" s="65" t="str">
        <f t="shared" si="63"/>
        <v>116_V_d</v>
      </c>
      <c r="E1320">
        <v>118</v>
      </c>
      <c r="F1320" t="s">
        <v>49</v>
      </c>
      <c r="G1320" t="s">
        <v>1517</v>
      </c>
      <c r="I1320">
        <v>4.2502587419614102</v>
      </c>
      <c r="J1320" s="82">
        <v>21.7</v>
      </c>
      <c r="K1320" s="82">
        <v>8.3000000000000007</v>
      </c>
      <c r="L1320" s="82">
        <v>8.1999999999999993</v>
      </c>
      <c r="M1320">
        <v>19.8</v>
      </c>
      <c r="N1320" s="82">
        <v>5.5</v>
      </c>
      <c r="O1320" s="44">
        <f t="shared" si="62"/>
        <v>3.6335632183908033</v>
      </c>
      <c r="P1320">
        <f t="shared" si="64"/>
        <v>12.7</v>
      </c>
      <c r="Q1320" s="111">
        <v>0.53400000000000003</v>
      </c>
      <c r="R1320">
        <v>0.56699999999999995</v>
      </c>
      <c r="S1320" s="65">
        <v>19</v>
      </c>
      <c r="T1320">
        <v>12</v>
      </c>
      <c r="U1320" t="s">
        <v>54</v>
      </c>
      <c r="V1320" t="s">
        <v>1254</v>
      </c>
    </row>
    <row r="1321" spans="1:23" ht="16" x14ac:dyDescent="0.2">
      <c r="A1321" s="5" t="s">
        <v>1506</v>
      </c>
      <c r="B1321" s="6" t="s">
        <v>27</v>
      </c>
      <c r="C1321" s="6" t="s">
        <v>52</v>
      </c>
      <c r="D1321" s="65" t="str">
        <f t="shared" si="63"/>
        <v>116_S_d</v>
      </c>
      <c r="E1321">
        <v>137</v>
      </c>
      <c r="F1321" t="s">
        <v>43</v>
      </c>
      <c r="G1321" t="s">
        <v>1518</v>
      </c>
      <c r="H1321" t="s">
        <v>56</v>
      </c>
      <c r="I1321">
        <v>0</v>
      </c>
      <c r="J1321" s="81"/>
      <c r="K1321" s="82">
        <v>1</v>
      </c>
      <c r="L1321" s="84">
        <v>1</v>
      </c>
      <c r="M1321" s="82">
        <v>1</v>
      </c>
      <c r="N1321" s="82">
        <v>0.9</v>
      </c>
      <c r="O1321" s="44">
        <f t="shared" si="62"/>
        <v>0</v>
      </c>
      <c r="P1321">
        <f t="shared" si="64"/>
        <v>0.97499999999999998</v>
      </c>
      <c r="Q1321" s="111" t="s">
        <v>57</v>
      </c>
      <c r="R1321" t="s">
        <v>57</v>
      </c>
      <c r="S1321" s="65" t="s">
        <v>57</v>
      </c>
      <c r="T1321" t="s">
        <v>57</v>
      </c>
      <c r="V1321" t="s">
        <v>1254</v>
      </c>
      <c r="W1321" t="s">
        <v>67</v>
      </c>
    </row>
    <row r="1322" spans="1:23" x14ac:dyDescent="0.2">
      <c r="A1322" s="1" t="s">
        <v>1519</v>
      </c>
      <c r="B1322" t="s">
        <v>33</v>
      </c>
      <c r="C1322" t="s">
        <v>28</v>
      </c>
      <c r="D1322" s="65" t="str">
        <f t="shared" si="63"/>
        <v>117_V_a</v>
      </c>
      <c r="E1322">
        <v>24</v>
      </c>
      <c r="F1322" t="s">
        <v>63</v>
      </c>
      <c r="G1322" t="s">
        <v>1520</v>
      </c>
      <c r="I1322">
        <v>2.7079477159412502</v>
      </c>
      <c r="J1322" s="82">
        <v>21.4</v>
      </c>
      <c r="K1322" s="82">
        <v>31.9</v>
      </c>
      <c r="L1322" s="82">
        <v>37.700000000000003</v>
      </c>
      <c r="M1322" s="82">
        <v>19.399999999999999</v>
      </c>
      <c r="N1322" s="82">
        <v>35.4</v>
      </c>
      <c r="O1322" s="44">
        <f t="shared" si="62"/>
        <v>2.7316425120772871</v>
      </c>
      <c r="P1322">
        <f t="shared" si="64"/>
        <v>29.160000000000004</v>
      </c>
      <c r="Q1322" s="111">
        <v>0.22900000000000001</v>
      </c>
      <c r="R1322">
        <v>0.41099999999999998</v>
      </c>
      <c r="S1322" s="65">
        <v>10</v>
      </c>
      <c r="T1322">
        <v>17</v>
      </c>
      <c r="U1322" t="s">
        <v>31</v>
      </c>
      <c r="V1322" t="s">
        <v>1254</v>
      </c>
    </row>
    <row r="1323" spans="1:23" x14ac:dyDescent="0.2">
      <c r="A1323" s="5" t="s">
        <v>1519</v>
      </c>
      <c r="B1323" s="6" t="s">
        <v>36</v>
      </c>
      <c r="C1323" s="6" t="s">
        <v>28</v>
      </c>
      <c r="D1323" s="65" t="str">
        <f t="shared" si="63"/>
        <v>117_O_a</v>
      </c>
      <c r="E1323">
        <v>30</v>
      </c>
      <c r="F1323" t="s">
        <v>70</v>
      </c>
      <c r="G1323" t="s">
        <v>1521</v>
      </c>
      <c r="I1323">
        <v>4.6767680438307204</v>
      </c>
      <c r="J1323" s="82">
        <v>28</v>
      </c>
      <c r="K1323" s="82">
        <v>48.1</v>
      </c>
      <c r="L1323" s="82">
        <v>52.2</v>
      </c>
      <c r="M1323" s="82">
        <v>39.1</v>
      </c>
      <c r="N1323" s="82">
        <v>47.6</v>
      </c>
      <c r="O1323" s="44">
        <f t="shared" si="62"/>
        <v>2.7524492234169702</v>
      </c>
      <c r="P1323">
        <f t="shared" si="64"/>
        <v>43</v>
      </c>
      <c r="Q1323" s="111">
        <v>0.19400000000000001</v>
      </c>
      <c r="R1323">
        <v>0.502</v>
      </c>
      <c r="S1323" s="65">
        <v>12</v>
      </c>
      <c r="T1323">
        <v>6</v>
      </c>
      <c r="U1323" t="s">
        <v>72</v>
      </c>
      <c r="V1323" t="s">
        <v>1254</v>
      </c>
    </row>
    <row r="1324" spans="1:23" x14ac:dyDescent="0.2">
      <c r="A1324" s="5" t="s">
        <v>1519</v>
      </c>
      <c r="B1324" s="6" t="s">
        <v>27</v>
      </c>
      <c r="C1324" s="6" t="s">
        <v>28</v>
      </c>
      <c r="D1324" s="65" t="str">
        <f t="shared" si="63"/>
        <v>117_S_a</v>
      </c>
      <c r="E1324">
        <v>32</v>
      </c>
      <c r="F1324" t="s">
        <v>43</v>
      </c>
      <c r="G1324" t="s">
        <v>1522</v>
      </c>
      <c r="I1324">
        <v>6.1704057096081</v>
      </c>
      <c r="J1324" s="82">
        <v>23.8</v>
      </c>
      <c r="K1324" s="82">
        <v>26.4</v>
      </c>
      <c r="L1324" s="82">
        <v>24.4</v>
      </c>
      <c r="M1324" s="82">
        <v>32.5</v>
      </c>
      <c r="N1324" s="82">
        <v>18.600000000000001</v>
      </c>
      <c r="O1324" s="44">
        <f t="shared" si="62"/>
        <v>0.59019607843138144</v>
      </c>
      <c r="P1324">
        <f t="shared" si="64"/>
        <v>25.139999999999997</v>
      </c>
      <c r="Q1324" s="111">
        <v>0.42</v>
      </c>
      <c r="R1324">
        <v>0.72099999999999997</v>
      </c>
      <c r="S1324" s="65">
        <v>18</v>
      </c>
      <c r="T1324">
        <v>43</v>
      </c>
      <c r="U1324" t="s">
        <v>31</v>
      </c>
      <c r="V1324" t="s">
        <v>1254</v>
      </c>
    </row>
    <row r="1325" spans="1:23" x14ac:dyDescent="0.2">
      <c r="A1325" s="5" t="s">
        <v>1519</v>
      </c>
      <c r="B1325" s="6" t="s">
        <v>27</v>
      </c>
      <c r="C1325" s="6" t="s">
        <v>38</v>
      </c>
      <c r="D1325" s="65" t="str">
        <f t="shared" si="63"/>
        <v>117_S_b</v>
      </c>
      <c r="E1325">
        <v>48</v>
      </c>
      <c r="F1325" t="s">
        <v>43</v>
      </c>
      <c r="G1325" t="s">
        <v>1523</v>
      </c>
      <c r="I1325">
        <v>4.7085777051190396</v>
      </c>
      <c r="J1325" s="82">
        <v>8.3000000000000007</v>
      </c>
      <c r="K1325" s="82">
        <v>70.099999999999994</v>
      </c>
      <c r="L1325" s="82">
        <v>42.6</v>
      </c>
      <c r="M1325" s="82">
        <v>5.6</v>
      </c>
      <c r="N1325" s="82">
        <v>50.4</v>
      </c>
      <c r="O1325" s="44">
        <f t="shared" si="62"/>
        <v>29.72227488151659</v>
      </c>
      <c r="P1325">
        <f t="shared" si="64"/>
        <v>35.4</v>
      </c>
      <c r="Q1325" s="111">
        <v>0.42599999999999999</v>
      </c>
      <c r="R1325">
        <v>0.56699999999999995</v>
      </c>
      <c r="S1325" s="65">
        <v>13</v>
      </c>
      <c r="T1325">
        <v>6</v>
      </c>
      <c r="U1325" t="s">
        <v>57</v>
      </c>
      <c r="V1325" t="s">
        <v>1254</v>
      </c>
    </row>
    <row r="1326" spans="1:23" x14ac:dyDescent="0.2">
      <c r="A1326" s="1" t="s">
        <v>1519</v>
      </c>
      <c r="B1326" t="s">
        <v>33</v>
      </c>
      <c r="C1326" t="s">
        <v>38</v>
      </c>
      <c r="D1326" s="65" t="str">
        <f t="shared" si="63"/>
        <v>117_V_b</v>
      </c>
      <c r="E1326">
        <v>62</v>
      </c>
      <c r="F1326" t="s">
        <v>43</v>
      </c>
      <c r="G1326" t="s">
        <v>1524</v>
      </c>
      <c r="I1326">
        <v>3.5824313319019798</v>
      </c>
      <c r="J1326" s="82">
        <v>15</v>
      </c>
      <c r="K1326" s="82">
        <v>3.9</v>
      </c>
      <c r="L1326" s="82">
        <v>27.8</v>
      </c>
      <c r="M1326" s="82">
        <v>28.6</v>
      </c>
      <c r="N1326" s="82">
        <v>23.4</v>
      </c>
      <c r="O1326" s="44">
        <f t="shared" si="62"/>
        <v>7.3216024789729905</v>
      </c>
      <c r="P1326">
        <f t="shared" si="64"/>
        <v>19.740000000000002</v>
      </c>
      <c r="Q1326" s="111">
        <v>0.18</v>
      </c>
      <c r="R1326">
        <v>0.42599999999999999</v>
      </c>
      <c r="S1326" s="65">
        <v>13</v>
      </c>
      <c r="T1326">
        <v>15</v>
      </c>
      <c r="U1326" t="s">
        <v>31</v>
      </c>
      <c r="V1326" t="s">
        <v>1254</v>
      </c>
    </row>
    <row r="1327" spans="1:23" x14ac:dyDescent="0.2">
      <c r="A1327" s="5" t="s">
        <v>1519</v>
      </c>
      <c r="B1327" s="6" t="s">
        <v>36</v>
      </c>
      <c r="C1327" s="6" t="s">
        <v>38</v>
      </c>
      <c r="D1327" s="65" t="str">
        <f t="shared" si="63"/>
        <v>117_O_b</v>
      </c>
      <c r="E1327">
        <v>66</v>
      </c>
      <c r="F1327" t="s">
        <v>34</v>
      </c>
      <c r="G1327" t="s">
        <v>1525</v>
      </c>
      <c r="I1327">
        <v>4.4251780264496396</v>
      </c>
      <c r="J1327" s="82">
        <v>6.9</v>
      </c>
      <c r="K1327" s="82">
        <v>29.2</v>
      </c>
      <c r="L1327" t="s">
        <v>57</v>
      </c>
      <c r="M1327" s="82">
        <v>40.200000000000003</v>
      </c>
      <c r="N1327" s="82">
        <v>50.8</v>
      </c>
      <c r="O1327" s="44">
        <f t="shared" si="62"/>
        <v>11.318348623853201</v>
      </c>
      <c r="P1327">
        <f t="shared" si="64"/>
        <v>31.775000000000002</v>
      </c>
      <c r="Q1327" s="111">
        <v>0.27800000000000002</v>
      </c>
      <c r="R1327">
        <v>0.55500000000000005</v>
      </c>
      <c r="S1327" s="65">
        <v>24</v>
      </c>
      <c r="T1327">
        <v>17</v>
      </c>
      <c r="U1327" t="s">
        <v>31</v>
      </c>
      <c r="V1327" t="s">
        <v>1254</v>
      </c>
    </row>
    <row r="1328" spans="1:23" x14ac:dyDescent="0.2">
      <c r="A1328" s="5" t="s">
        <v>1519</v>
      </c>
      <c r="B1328" s="6" t="s">
        <v>27</v>
      </c>
      <c r="C1328" s="6" t="s">
        <v>45</v>
      </c>
      <c r="D1328" s="65" t="str">
        <f t="shared" si="63"/>
        <v>117_S_c</v>
      </c>
      <c r="E1328">
        <v>74</v>
      </c>
      <c r="F1328" t="s">
        <v>43</v>
      </c>
      <c r="G1328" t="s">
        <v>1526</v>
      </c>
      <c r="H1328" t="s">
        <v>56</v>
      </c>
      <c r="I1328">
        <v>0</v>
      </c>
      <c r="J1328" s="82">
        <v>1</v>
      </c>
      <c r="K1328" s="82">
        <v>1</v>
      </c>
      <c r="L1328" s="82">
        <v>1</v>
      </c>
      <c r="M1328" s="82">
        <v>1</v>
      </c>
      <c r="N1328" s="82">
        <v>0.9</v>
      </c>
      <c r="O1328" s="44">
        <f t="shared" si="62"/>
        <v>0</v>
      </c>
      <c r="P1328">
        <f t="shared" si="64"/>
        <v>0.98000000000000009</v>
      </c>
      <c r="Q1328" s="111" t="s">
        <v>57</v>
      </c>
      <c r="R1328" t="s">
        <v>57</v>
      </c>
      <c r="S1328" s="65" t="s">
        <v>57</v>
      </c>
      <c r="T1328" t="s">
        <v>57</v>
      </c>
      <c r="U1328" t="s">
        <v>208</v>
      </c>
      <c r="V1328" t="s">
        <v>1254</v>
      </c>
      <c r="W1328" t="s">
        <v>67</v>
      </c>
    </row>
    <row r="1329" spans="1:23" x14ac:dyDescent="0.2">
      <c r="A1329" s="5" t="s">
        <v>1519</v>
      </c>
      <c r="B1329" s="6" t="s">
        <v>36</v>
      </c>
      <c r="C1329" s="6" t="s">
        <v>45</v>
      </c>
      <c r="D1329" s="65" t="str">
        <f t="shared" si="63"/>
        <v>117_O_c</v>
      </c>
      <c r="E1329">
        <v>95</v>
      </c>
      <c r="F1329" t="s">
        <v>70</v>
      </c>
      <c r="G1329" t="s">
        <v>1527</v>
      </c>
      <c r="I1329">
        <v>3.1739355704698</v>
      </c>
      <c r="J1329" s="82">
        <v>32</v>
      </c>
      <c r="K1329" s="82">
        <v>36.5</v>
      </c>
      <c r="L1329" s="82">
        <v>27.9</v>
      </c>
      <c r="M1329">
        <v>32</v>
      </c>
      <c r="N1329" s="82">
        <v>17</v>
      </c>
      <c r="O1329" s="44">
        <f t="shared" si="62"/>
        <v>0.38442367601246119</v>
      </c>
      <c r="P1329">
        <f t="shared" si="64"/>
        <v>29.080000000000002</v>
      </c>
      <c r="Q1329" s="111">
        <v>0.36499999999999999</v>
      </c>
      <c r="R1329">
        <v>0.52600000000000002</v>
      </c>
      <c r="S1329" s="65">
        <v>17</v>
      </c>
      <c r="T1329">
        <v>18</v>
      </c>
      <c r="U1329" t="s">
        <v>31</v>
      </c>
      <c r="V1329" t="s">
        <v>1254</v>
      </c>
    </row>
    <row r="1330" spans="1:23" x14ac:dyDescent="0.2">
      <c r="A1330" s="5" t="s">
        <v>1519</v>
      </c>
      <c r="B1330" s="6" t="s">
        <v>33</v>
      </c>
      <c r="C1330" s="6" t="s">
        <v>45</v>
      </c>
      <c r="D1330" s="65" t="str">
        <f t="shared" si="63"/>
        <v>117_V_c</v>
      </c>
      <c r="E1330">
        <v>99</v>
      </c>
      <c r="F1330" t="s">
        <v>70</v>
      </c>
      <c r="G1330" t="s">
        <v>1528</v>
      </c>
      <c r="I1330">
        <v>3.06425518688321</v>
      </c>
      <c r="J1330" s="82">
        <v>35.6</v>
      </c>
      <c r="K1330" s="82">
        <v>32.6</v>
      </c>
      <c r="L1330" s="82">
        <v>45</v>
      </c>
      <c r="M1330">
        <v>28.6</v>
      </c>
      <c r="N1330" s="82">
        <v>35.4</v>
      </c>
      <c r="O1330" s="44">
        <f t="shared" si="62"/>
        <v>1.3753643629525107</v>
      </c>
      <c r="P1330">
        <f t="shared" si="64"/>
        <v>35.440000000000005</v>
      </c>
      <c r="Q1330" s="111">
        <v>0.189</v>
      </c>
      <c r="R1330">
        <v>0.34300000000000003</v>
      </c>
      <c r="S1330" s="65">
        <v>12</v>
      </c>
      <c r="T1330">
        <v>12</v>
      </c>
      <c r="U1330" t="s">
        <v>31</v>
      </c>
      <c r="V1330" t="s">
        <v>1254</v>
      </c>
    </row>
    <row r="1331" spans="1:23" ht="16" x14ac:dyDescent="0.2">
      <c r="A1331" s="5" t="s">
        <v>1519</v>
      </c>
      <c r="B1331" s="6" t="s">
        <v>33</v>
      </c>
      <c r="C1331" s="6" t="s">
        <v>52</v>
      </c>
      <c r="D1331" s="65" t="str">
        <f t="shared" si="63"/>
        <v>117_V_d</v>
      </c>
      <c r="E1331">
        <v>120</v>
      </c>
      <c r="F1331" t="s">
        <v>39</v>
      </c>
      <c r="G1331" t="s">
        <v>1529</v>
      </c>
      <c r="I1331">
        <v>0.73695270562495196</v>
      </c>
      <c r="J1331" s="82">
        <v>17.399999999999999</v>
      </c>
      <c r="K1331" s="82">
        <v>5.7</v>
      </c>
      <c r="L1331" s="84">
        <v>2.9</v>
      </c>
      <c r="M1331">
        <v>18.100000000000001</v>
      </c>
      <c r="N1331" s="82">
        <v>28.7</v>
      </c>
      <c r="O1331" s="44">
        <f t="shared" si="62"/>
        <v>5.5953892668178424</v>
      </c>
      <c r="P1331">
        <f t="shared" si="64"/>
        <v>14.559999999999999</v>
      </c>
      <c r="Q1331" s="111">
        <v>6.8000000000000005E-2</v>
      </c>
      <c r="R1331">
        <v>0.23400000000000001</v>
      </c>
      <c r="S1331" s="65">
        <v>2</v>
      </c>
      <c r="T1331">
        <v>9</v>
      </c>
      <c r="U1331" t="s">
        <v>54</v>
      </c>
      <c r="V1331" t="s">
        <v>1254</v>
      </c>
    </row>
    <row r="1332" spans="1:23" ht="16" x14ac:dyDescent="0.2">
      <c r="A1332" s="5" t="s">
        <v>1519</v>
      </c>
      <c r="B1332" s="6" t="s">
        <v>36</v>
      </c>
      <c r="C1332" s="6" t="s">
        <v>52</v>
      </c>
      <c r="D1332" s="65" t="str">
        <f t="shared" si="63"/>
        <v>117_O_d</v>
      </c>
      <c r="E1332">
        <v>130</v>
      </c>
      <c r="F1332" t="s">
        <v>29</v>
      </c>
      <c r="G1332" t="s">
        <v>1530</v>
      </c>
      <c r="I1332">
        <v>5.1646017699115001</v>
      </c>
      <c r="J1332" s="82">
        <v>33.299999999999997</v>
      </c>
      <c r="K1332" s="82">
        <v>35.6</v>
      </c>
      <c r="L1332" s="84">
        <v>31.3</v>
      </c>
      <c r="M1332">
        <v>32.6</v>
      </c>
      <c r="N1332" s="82">
        <v>36.200000000000003</v>
      </c>
      <c r="O1332" s="44">
        <f t="shared" si="62"/>
        <v>9.779116465863455E-2</v>
      </c>
      <c r="P1332">
        <f t="shared" si="64"/>
        <v>33.799999999999997</v>
      </c>
      <c r="Q1332" s="111">
        <v>0.33400000000000002</v>
      </c>
      <c r="R1332">
        <v>0.43</v>
      </c>
      <c r="S1332" s="65">
        <v>18</v>
      </c>
      <c r="T1332">
        <v>11</v>
      </c>
      <c r="U1332" t="s">
        <v>47</v>
      </c>
      <c r="V1332" t="s">
        <v>1254</v>
      </c>
    </row>
    <row r="1333" spans="1:23" ht="16" x14ac:dyDescent="0.2">
      <c r="A1333" s="5" t="s">
        <v>1519</v>
      </c>
      <c r="B1333" s="6" t="s">
        <v>27</v>
      </c>
      <c r="C1333" s="6" t="s">
        <v>52</v>
      </c>
      <c r="D1333" s="65" t="str">
        <f t="shared" si="63"/>
        <v>117_S_d</v>
      </c>
      <c r="E1333">
        <v>138</v>
      </c>
      <c r="F1333" t="s">
        <v>63</v>
      </c>
      <c r="G1333" t="s">
        <v>1531</v>
      </c>
      <c r="I1333">
        <v>2.7441790142122802</v>
      </c>
      <c r="J1333" s="81"/>
      <c r="K1333" s="82">
        <v>28.5</v>
      </c>
      <c r="L1333" s="84">
        <v>36.799999999999997</v>
      </c>
      <c r="M1333" s="82">
        <v>34.299999999999997</v>
      </c>
      <c r="N1333" s="82">
        <v>46.3</v>
      </c>
      <c r="O1333" s="44">
        <f t="shared" si="62"/>
        <v>0.54608433734940098</v>
      </c>
      <c r="P1333">
        <f t="shared" si="64"/>
        <v>36.474999999999994</v>
      </c>
      <c r="Q1333" s="111">
        <v>0.20699999999999999</v>
      </c>
      <c r="R1333">
        <v>0.34300000000000003</v>
      </c>
      <c r="S1333" s="65">
        <v>8</v>
      </c>
      <c r="T1333">
        <v>25</v>
      </c>
      <c r="U1333" t="s">
        <v>57</v>
      </c>
      <c r="V1333" t="s">
        <v>1254</v>
      </c>
    </row>
    <row r="1334" spans="1:23" ht="16" x14ac:dyDescent="0.2">
      <c r="A1334" s="5" t="s">
        <v>1532</v>
      </c>
      <c r="B1334" s="6" t="s">
        <v>27</v>
      </c>
      <c r="C1334" s="6" t="s">
        <v>28</v>
      </c>
      <c r="D1334" s="65" t="str">
        <f t="shared" si="63"/>
        <v>118_S_a</v>
      </c>
      <c r="E1334">
        <v>7</v>
      </c>
      <c r="F1334" t="s">
        <v>70</v>
      </c>
      <c r="G1334" t="s">
        <v>1533</v>
      </c>
      <c r="I1334">
        <v>0</v>
      </c>
      <c r="J1334" s="84">
        <v>1</v>
      </c>
      <c r="K1334" s="82">
        <v>1</v>
      </c>
      <c r="L1334" s="82">
        <v>1</v>
      </c>
      <c r="M1334" s="82">
        <v>1</v>
      </c>
      <c r="N1334" s="82">
        <v>0.9</v>
      </c>
      <c r="O1334" s="44">
        <f t="shared" si="62"/>
        <v>0</v>
      </c>
      <c r="P1334">
        <f t="shared" si="64"/>
        <v>0.98000000000000009</v>
      </c>
      <c r="Q1334" s="111">
        <v>2E-3</v>
      </c>
      <c r="R1334">
        <v>4.0000000000000001E-3</v>
      </c>
      <c r="S1334" s="65">
        <v>0</v>
      </c>
      <c r="T1334">
        <v>54</v>
      </c>
      <c r="U1334" t="s">
        <v>31</v>
      </c>
      <c r="V1334" t="s">
        <v>1254</v>
      </c>
      <c r="W1334" t="s">
        <v>1534</v>
      </c>
    </row>
    <row r="1335" spans="1:23" ht="16" x14ac:dyDescent="0.2">
      <c r="A1335" s="49" t="s">
        <v>1532</v>
      </c>
      <c r="B1335" s="47" t="s">
        <v>36</v>
      </c>
      <c r="C1335" s="47" t="s">
        <v>28</v>
      </c>
      <c r="D1335" s="67" t="str">
        <f t="shared" si="63"/>
        <v>118_O_a</v>
      </c>
      <c r="E1335" s="47">
        <v>9</v>
      </c>
      <c r="F1335" s="47" t="s">
        <v>39</v>
      </c>
      <c r="G1335" s="47" t="s">
        <v>1535</v>
      </c>
      <c r="H1335" s="47" t="s">
        <v>208</v>
      </c>
      <c r="I1335">
        <v>0</v>
      </c>
      <c r="J1335" s="84">
        <v>1</v>
      </c>
      <c r="K1335" s="82">
        <v>1</v>
      </c>
      <c r="L1335" s="82">
        <v>1</v>
      </c>
      <c r="M1335" s="82">
        <v>1</v>
      </c>
      <c r="N1335" s="82">
        <v>0.9</v>
      </c>
      <c r="O1335" s="48">
        <f t="shared" si="62"/>
        <v>0</v>
      </c>
      <c r="P1335">
        <f t="shared" si="64"/>
        <v>0.98000000000000009</v>
      </c>
      <c r="Q1335" s="111">
        <v>3.0000000000000001E-3</v>
      </c>
      <c r="R1335" s="47">
        <v>3.0000000000000001E-3</v>
      </c>
      <c r="S1335" s="65">
        <v>1</v>
      </c>
      <c r="T1335">
        <v>29</v>
      </c>
      <c r="U1335" t="s">
        <v>61</v>
      </c>
      <c r="V1335" t="s">
        <v>1254</v>
      </c>
      <c r="W1335" s="47" t="s">
        <v>1536</v>
      </c>
    </row>
    <row r="1336" spans="1:23" x14ac:dyDescent="0.2">
      <c r="A1336" s="1" t="s">
        <v>1532</v>
      </c>
      <c r="B1336" t="s">
        <v>33</v>
      </c>
      <c r="C1336" t="s">
        <v>28</v>
      </c>
      <c r="D1336" s="65" t="str">
        <f t="shared" si="63"/>
        <v>118_V_a</v>
      </c>
      <c r="E1336">
        <v>26</v>
      </c>
      <c r="F1336" t="s">
        <v>34</v>
      </c>
      <c r="G1336" t="s">
        <v>1537</v>
      </c>
      <c r="I1336">
        <v>0</v>
      </c>
      <c r="J1336" s="82">
        <v>1</v>
      </c>
      <c r="K1336" t="s">
        <v>57</v>
      </c>
      <c r="L1336" s="82">
        <v>1</v>
      </c>
      <c r="M1336" s="82">
        <v>1</v>
      </c>
      <c r="N1336" s="82">
        <v>0.9</v>
      </c>
      <c r="O1336" s="44">
        <f t="shared" si="62"/>
        <v>0</v>
      </c>
      <c r="P1336">
        <f t="shared" si="64"/>
        <v>0.97499999999999998</v>
      </c>
      <c r="Q1336" s="111">
        <v>3.2000000000000001E-2</v>
      </c>
      <c r="R1336">
        <v>4.0000000000000001E-3</v>
      </c>
      <c r="S1336" s="65">
        <v>0</v>
      </c>
      <c r="T1336">
        <v>30</v>
      </c>
      <c r="U1336" t="s">
        <v>31</v>
      </c>
      <c r="V1336" t="s">
        <v>1254</v>
      </c>
      <c r="W1336" t="s">
        <v>1534</v>
      </c>
    </row>
    <row r="1337" spans="1:23" x14ac:dyDescent="0.2">
      <c r="A1337" s="1" t="s">
        <v>1532</v>
      </c>
      <c r="B1337" t="s">
        <v>33</v>
      </c>
      <c r="C1337" t="s">
        <v>38</v>
      </c>
      <c r="D1337" s="65" t="str">
        <f t="shared" si="63"/>
        <v>118_V_b</v>
      </c>
      <c r="E1337">
        <v>53</v>
      </c>
      <c r="F1337" t="s">
        <v>68</v>
      </c>
      <c r="G1337" t="s">
        <v>1538</v>
      </c>
      <c r="I1337">
        <v>0</v>
      </c>
      <c r="J1337" s="82">
        <v>0.9</v>
      </c>
      <c r="K1337" s="82">
        <v>1</v>
      </c>
      <c r="L1337" s="82">
        <v>1</v>
      </c>
      <c r="M1337" s="82">
        <v>1.2</v>
      </c>
      <c r="N1337" s="82">
        <v>1</v>
      </c>
      <c r="O1337" s="44">
        <f t="shared" si="62"/>
        <v>1.544715447154482E-2</v>
      </c>
      <c r="P1337">
        <f t="shared" si="64"/>
        <v>1.02</v>
      </c>
      <c r="Q1337" s="111">
        <v>2E-3</v>
      </c>
      <c r="R1337">
        <v>1.7999999999999999E-2</v>
      </c>
      <c r="S1337" s="65">
        <v>1</v>
      </c>
      <c r="T1337" s="43">
        <v>44</v>
      </c>
      <c r="U1337" t="s">
        <v>31</v>
      </c>
      <c r="V1337" t="s">
        <v>1254</v>
      </c>
    </row>
    <row r="1338" spans="1:23" x14ac:dyDescent="0.2">
      <c r="A1338" s="5" t="s">
        <v>1532</v>
      </c>
      <c r="B1338" s="6" t="s">
        <v>36</v>
      </c>
      <c r="C1338" s="6" t="s">
        <v>38</v>
      </c>
      <c r="D1338" s="65" t="str">
        <f t="shared" si="63"/>
        <v>118_O_b</v>
      </c>
      <c r="E1338">
        <v>65</v>
      </c>
      <c r="F1338" t="s">
        <v>63</v>
      </c>
      <c r="G1338" t="s">
        <v>1539</v>
      </c>
      <c r="I1338">
        <v>0</v>
      </c>
      <c r="J1338" s="81">
        <v>36.4</v>
      </c>
      <c r="K1338" s="81">
        <v>35</v>
      </c>
      <c r="L1338" t="s">
        <v>57</v>
      </c>
      <c r="M1338" s="82">
        <v>1</v>
      </c>
      <c r="N1338" s="82">
        <v>1.4</v>
      </c>
      <c r="O1338" s="44">
        <f t="shared" si="62"/>
        <v>16.651381215469602</v>
      </c>
      <c r="P1338">
        <f t="shared" si="64"/>
        <v>18.450000000000003</v>
      </c>
      <c r="Q1338" s="111">
        <v>2E-3</v>
      </c>
      <c r="R1338">
        <v>4.0000000000000001E-3</v>
      </c>
      <c r="S1338" s="65">
        <v>0</v>
      </c>
      <c r="T1338">
        <v>12</v>
      </c>
      <c r="U1338" t="s">
        <v>31</v>
      </c>
      <c r="V1338" t="s">
        <v>1254</v>
      </c>
    </row>
    <row r="1339" spans="1:23" x14ac:dyDescent="0.2">
      <c r="A1339" s="5" t="s">
        <v>1532</v>
      </c>
      <c r="B1339" s="6" t="s">
        <v>27</v>
      </c>
      <c r="C1339" s="6" t="s">
        <v>38</v>
      </c>
      <c r="D1339" s="65" t="str">
        <f t="shared" si="63"/>
        <v>118_S_b</v>
      </c>
      <c r="E1339">
        <v>66</v>
      </c>
      <c r="F1339" t="s">
        <v>82</v>
      </c>
      <c r="G1339" t="s">
        <v>1540</v>
      </c>
      <c r="I1339">
        <v>0</v>
      </c>
      <c r="J1339" s="82">
        <v>1</v>
      </c>
      <c r="K1339" s="82">
        <v>1</v>
      </c>
      <c r="L1339" t="s">
        <v>57</v>
      </c>
      <c r="M1339" s="82">
        <v>0.9</v>
      </c>
      <c r="N1339" s="82">
        <v>1.4</v>
      </c>
      <c r="O1339" s="44">
        <f t="shared" si="62"/>
        <v>3.4482758620689642E-3</v>
      </c>
      <c r="P1339">
        <f t="shared" si="64"/>
        <v>1.075</v>
      </c>
      <c r="Q1339" s="111">
        <v>6.0000000000000001E-3</v>
      </c>
      <c r="R1339">
        <v>6.0000000000000001E-3</v>
      </c>
      <c r="S1339" s="65">
        <v>0</v>
      </c>
      <c r="T1339">
        <v>75</v>
      </c>
      <c r="U1339" t="s">
        <v>31</v>
      </c>
      <c r="V1339" t="s">
        <v>1254</v>
      </c>
    </row>
    <row r="1340" spans="1:23" x14ac:dyDescent="0.2">
      <c r="A1340" s="5" t="s">
        <v>1532</v>
      </c>
      <c r="B1340" s="6" t="s">
        <v>33</v>
      </c>
      <c r="C1340" s="6" t="s">
        <v>45</v>
      </c>
      <c r="D1340" s="65" t="str">
        <f t="shared" si="63"/>
        <v>118_V_c</v>
      </c>
      <c r="E1340">
        <v>79</v>
      </c>
      <c r="F1340" t="s">
        <v>82</v>
      </c>
      <c r="G1340" t="s">
        <v>1541</v>
      </c>
      <c r="I1340">
        <v>0.26428924860394398</v>
      </c>
      <c r="J1340" s="82">
        <v>1</v>
      </c>
      <c r="K1340" s="82">
        <v>1</v>
      </c>
      <c r="L1340" s="82">
        <v>1</v>
      </c>
      <c r="M1340" s="70" t="s">
        <v>57</v>
      </c>
      <c r="N1340" s="82">
        <v>0.9</v>
      </c>
      <c r="O1340" s="44">
        <f t="shared" ref="O1340:O1403" si="65">VAR(J1340:M1340)/AVERAGE(J1340:M1340)</f>
        <v>0</v>
      </c>
      <c r="P1340">
        <f t="shared" si="64"/>
        <v>0.97499999999999998</v>
      </c>
      <c r="Q1340" s="111">
        <v>0</v>
      </c>
      <c r="R1340">
        <v>6.0000000000000001E-3</v>
      </c>
      <c r="S1340" s="65">
        <v>0</v>
      </c>
      <c r="T1340">
        <v>10</v>
      </c>
      <c r="U1340" t="s">
        <v>51</v>
      </c>
      <c r="V1340" t="s">
        <v>1254</v>
      </c>
    </row>
    <row r="1341" spans="1:23" x14ac:dyDescent="0.2">
      <c r="A1341" s="5" t="s">
        <v>1532</v>
      </c>
      <c r="B1341" s="6" t="s">
        <v>36</v>
      </c>
      <c r="C1341" s="6" t="s">
        <v>45</v>
      </c>
      <c r="D1341" s="65" t="str">
        <f t="shared" si="63"/>
        <v>118_O_c</v>
      </c>
      <c r="E1341">
        <v>82</v>
      </c>
      <c r="F1341" t="s">
        <v>70</v>
      </c>
      <c r="G1341" t="s">
        <v>1542</v>
      </c>
      <c r="I1341">
        <v>0</v>
      </c>
      <c r="J1341" s="82">
        <v>1.1000000000000001</v>
      </c>
      <c r="K1341" s="82">
        <v>1</v>
      </c>
      <c r="L1341" s="82">
        <v>1</v>
      </c>
      <c r="M1341" s="82">
        <v>1</v>
      </c>
      <c r="N1341" s="82">
        <v>0.9</v>
      </c>
      <c r="O1341" s="44">
        <f t="shared" si="65"/>
        <v>2.4390243902439068E-3</v>
      </c>
      <c r="P1341">
        <f t="shared" si="64"/>
        <v>1</v>
      </c>
      <c r="Q1341" s="111">
        <v>7.0000000000000001E-3</v>
      </c>
      <c r="R1341">
        <v>1.2999999999999999E-2</v>
      </c>
      <c r="S1341" s="65">
        <v>0</v>
      </c>
      <c r="T1341">
        <v>52</v>
      </c>
      <c r="U1341" t="s">
        <v>72</v>
      </c>
      <c r="V1341" t="s">
        <v>1254</v>
      </c>
      <c r="W1341" t="s">
        <v>1543</v>
      </c>
    </row>
    <row r="1342" spans="1:23" x14ac:dyDescent="0.2">
      <c r="A1342" s="5" t="s">
        <v>1532</v>
      </c>
      <c r="B1342" s="6" t="s">
        <v>27</v>
      </c>
      <c r="C1342" s="6" t="s">
        <v>45</v>
      </c>
      <c r="D1342" s="65" t="str">
        <f t="shared" si="63"/>
        <v>118_S_c</v>
      </c>
      <c r="E1342">
        <v>103</v>
      </c>
      <c r="F1342" t="s">
        <v>63</v>
      </c>
      <c r="G1342" t="s">
        <v>1544</v>
      </c>
      <c r="I1342">
        <v>0</v>
      </c>
      <c r="J1342" s="82">
        <v>1</v>
      </c>
      <c r="K1342" s="82">
        <v>1</v>
      </c>
      <c r="L1342" s="82">
        <v>1</v>
      </c>
      <c r="M1342">
        <v>1</v>
      </c>
      <c r="N1342" s="82">
        <v>1</v>
      </c>
      <c r="O1342" s="44">
        <f t="shared" si="65"/>
        <v>0</v>
      </c>
      <c r="P1342">
        <f t="shared" si="64"/>
        <v>1</v>
      </c>
      <c r="Q1342" s="111">
        <v>8.9999999999999993E-3</v>
      </c>
      <c r="R1342">
        <v>1E-3</v>
      </c>
      <c r="S1342" s="65">
        <v>0</v>
      </c>
      <c r="T1342">
        <v>115</v>
      </c>
      <c r="U1342" t="s">
        <v>72</v>
      </c>
      <c r="V1342" t="s">
        <v>1254</v>
      </c>
      <c r="W1342" t="s">
        <v>1545</v>
      </c>
    </row>
    <row r="1343" spans="1:23" x14ac:dyDescent="0.2">
      <c r="A1343" s="5" t="s">
        <v>1532</v>
      </c>
      <c r="B1343" s="6" t="s">
        <v>33</v>
      </c>
      <c r="C1343" s="6" t="s">
        <v>52</v>
      </c>
      <c r="D1343" s="65" t="str">
        <f t="shared" si="63"/>
        <v>118_V_d</v>
      </c>
      <c r="E1343">
        <v>112</v>
      </c>
      <c r="F1343" t="s">
        <v>63</v>
      </c>
      <c r="G1343" t="s">
        <v>1546</v>
      </c>
      <c r="I1343">
        <v>0</v>
      </c>
      <c r="J1343" s="82">
        <v>1.1000000000000001</v>
      </c>
      <c r="K1343" s="82">
        <v>1</v>
      </c>
      <c r="L1343" s="82">
        <v>1</v>
      </c>
      <c r="M1343">
        <v>1</v>
      </c>
      <c r="N1343" s="82">
        <v>1</v>
      </c>
      <c r="O1343" s="44">
        <f t="shared" si="65"/>
        <v>2.4390243902439068E-3</v>
      </c>
      <c r="P1343">
        <f t="shared" si="64"/>
        <v>1.02</v>
      </c>
      <c r="Q1343" s="111">
        <v>8.0000000000000002E-3</v>
      </c>
      <c r="R1343">
        <v>3.0000000000000001E-3</v>
      </c>
      <c r="S1343" s="65">
        <v>2</v>
      </c>
      <c r="T1343">
        <v>38</v>
      </c>
      <c r="U1343" t="s">
        <v>54</v>
      </c>
      <c r="V1343" t="s">
        <v>1254</v>
      </c>
      <c r="W1343" t="s">
        <v>1547</v>
      </c>
    </row>
    <row r="1344" spans="1:23" ht="16" x14ac:dyDescent="0.2">
      <c r="A1344" s="5" t="s">
        <v>1532</v>
      </c>
      <c r="B1344" s="6" t="s">
        <v>27</v>
      </c>
      <c r="C1344" s="6" t="s">
        <v>52</v>
      </c>
      <c r="D1344" s="65" t="str">
        <f t="shared" si="63"/>
        <v>118_S_d</v>
      </c>
      <c r="E1344">
        <v>132</v>
      </c>
      <c r="F1344" t="s">
        <v>68</v>
      </c>
      <c r="G1344" t="s">
        <v>1548</v>
      </c>
      <c r="H1344" t="s">
        <v>1038</v>
      </c>
      <c r="I1344">
        <v>0.34403380639488002</v>
      </c>
      <c r="J1344" s="81">
        <v>1.1000000000000001</v>
      </c>
      <c r="K1344" s="81">
        <v>1</v>
      </c>
      <c r="L1344" s="84">
        <v>45.4</v>
      </c>
      <c r="M1344">
        <v>26.5</v>
      </c>
      <c r="N1344" s="82">
        <v>0.9</v>
      </c>
      <c r="O1344" s="44">
        <f t="shared" si="65"/>
        <v>25.164324324324323</v>
      </c>
      <c r="P1344">
        <f t="shared" si="64"/>
        <v>14.98</v>
      </c>
      <c r="Q1344" s="111">
        <v>1E-3</v>
      </c>
      <c r="R1344" t="s">
        <v>57</v>
      </c>
      <c r="S1344" s="65">
        <v>0</v>
      </c>
      <c r="T1344">
        <v>42</v>
      </c>
      <c r="U1344" t="s">
        <v>47</v>
      </c>
      <c r="V1344" t="s">
        <v>1254</v>
      </c>
      <c r="W1344" t="s">
        <v>1549</v>
      </c>
    </row>
    <row r="1345" spans="1:23" ht="16" x14ac:dyDescent="0.2">
      <c r="A1345" s="5" t="s">
        <v>1532</v>
      </c>
      <c r="B1345" s="6" t="s">
        <v>36</v>
      </c>
      <c r="C1345" s="6" t="s">
        <v>52</v>
      </c>
      <c r="D1345" s="65" t="str">
        <f t="shared" si="63"/>
        <v>118_O_d</v>
      </c>
      <c r="E1345">
        <v>136</v>
      </c>
      <c r="F1345" t="s">
        <v>49</v>
      </c>
      <c r="G1345" t="s">
        <v>1550</v>
      </c>
      <c r="I1345">
        <v>0</v>
      </c>
      <c r="J1345" s="82">
        <v>1.1000000000000001</v>
      </c>
      <c r="K1345" s="82">
        <v>1</v>
      </c>
      <c r="L1345" s="84">
        <v>1</v>
      </c>
      <c r="M1345" s="82">
        <v>1</v>
      </c>
      <c r="N1345" s="82">
        <v>0.9</v>
      </c>
      <c r="O1345" s="44">
        <f t="shared" si="65"/>
        <v>2.4390243902439068E-3</v>
      </c>
      <c r="P1345">
        <f t="shared" si="64"/>
        <v>1</v>
      </c>
      <c r="Q1345" s="111">
        <v>1E-3</v>
      </c>
      <c r="R1345">
        <v>1E-3</v>
      </c>
      <c r="S1345" s="65">
        <v>0</v>
      </c>
      <c r="T1345">
        <v>14</v>
      </c>
      <c r="U1345" t="s">
        <v>72</v>
      </c>
      <c r="V1345" t="s">
        <v>1254</v>
      </c>
    </row>
    <row r="1346" spans="1:23" ht="16" x14ac:dyDescent="0.2">
      <c r="A1346" s="1" t="s">
        <v>1551</v>
      </c>
      <c r="B1346" t="s">
        <v>33</v>
      </c>
      <c r="C1346" t="s">
        <v>28</v>
      </c>
      <c r="D1346" s="65" t="str">
        <f t="shared" ref="D1346:D1409" si="66">A1346&amp;"_"&amp;B1346&amp;"_"&amp;C1346</f>
        <v>119_V_a</v>
      </c>
      <c r="E1346">
        <v>1</v>
      </c>
      <c r="F1346" t="s">
        <v>82</v>
      </c>
      <c r="G1346" t="s">
        <v>1552</v>
      </c>
      <c r="I1346">
        <v>1.13693776956254</v>
      </c>
      <c r="J1346" s="84">
        <v>20.3</v>
      </c>
      <c r="K1346" s="82">
        <v>23.5</v>
      </c>
      <c r="L1346" s="82">
        <v>31.2</v>
      </c>
      <c r="M1346" s="82">
        <v>27.1</v>
      </c>
      <c r="N1346" s="82">
        <v>37.1</v>
      </c>
      <c r="O1346" s="44">
        <f t="shared" si="65"/>
        <v>0.86304276852759454</v>
      </c>
      <c r="P1346">
        <f t="shared" ref="P1346:P1409" si="67">AVERAGE(J1346:N1346)</f>
        <v>27.839999999999996</v>
      </c>
      <c r="Q1346" s="111">
        <v>0.19600000000000001</v>
      </c>
      <c r="R1346">
        <v>0.34899999999999998</v>
      </c>
      <c r="S1346" s="65">
        <v>8</v>
      </c>
      <c r="T1346">
        <v>14</v>
      </c>
      <c r="U1346" t="s">
        <v>31</v>
      </c>
      <c r="V1346" t="s">
        <v>1254</v>
      </c>
    </row>
    <row r="1347" spans="1:23" ht="16" x14ac:dyDescent="0.2">
      <c r="A1347" s="5" t="s">
        <v>1551</v>
      </c>
      <c r="B1347" s="6" t="s">
        <v>27</v>
      </c>
      <c r="C1347" s="6" t="s">
        <v>28</v>
      </c>
      <c r="D1347" s="65" t="str">
        <f t="shared" si="66"/>
        <v>119_S_a</v>
      </c>
      <c r="E1347">
        <v>13</v>
      </c>
      <c r="F1347" t="s">
        <v>68</v>
      </c>
      <c r="G1347" t="s">
        <v>1553</v>
      </c>
      <c r="I1347">
        <v>4.06007345225603</v>
      </c>
      <c r="J1347" s="84">
        <v>16.2</v>
      </c>
      <c r="K1347" s="82">
        <v>25.7</v>
      </c>
      <c r="L1347" s="82">
        <v>41.5</v>
      </c>
      <c r="M1347" s="82">
        <v>47.3</v>
      </c>
      <c r="N1347" s="82">
        <v>54.1</v>
      </c>
      <c r="O1347" s="44">
        <f t="shared" si="65"/>
        <v>6.2417495536852838</v>
      </c>
      <c r="P1347">
        <f t="shared" si="67"/>
        <v>36.959999999999994</v>
      </c>
      <c r="Q1347" s="111">
        <v>0.52600000000000002</v>
      </c>
      <c r="R1347">
        <v>0.51200000000000001</v>
      </c>
      <c r="S1347" s="65">
        <v>26</v>
      </c>
      <c r="T1347">
        <v>21</v>
      </c>
      <c r="U1347" t="s">
        <v>72</v>
      </c>
      <c r="V1347" t="s">
        <v>1254</v>
      </c>
    </row>
    <row r="1348" spans="1:23" x14ac:dyDescent="0.2">
      <c r="A1348" s="5" t="s">
        <v>1551</v>
      </c>
      <c r="B1348" s="6" t="s">
        <v>36</v>
      </c>
      <c r="C1348" s="6" t="s">
        <v>28</v>
      </c>
      <c r="D1348" s="65" t="str">
        <f t="shared" si="66"/>
        <v>119_O_a</v>
      </c>
      <c r="E1348">
        <v>31</v>
      </c>
      <c r="F1348" t="s">
        <v>63</v>
      </c>
      <c r="G1348" t="s">
        <v>1554</v>
      </c>
      <c r="I1348">
        <v>5.1343549988964901</v>
      </c>
      <c r="J1348" s="82">
        <v>24.8</v>
      </c>
      <c r="K1348" s="82">
        <v>28.5</v>
      </c>
      <c r="L1348" s="82">
        <v>35.299999999999997</v>
      </c>
      <c r="M1348" s="82">
        <v>40.200000000000003</v>
      </c>
      <c r="N1348" s="82">
        <v>55.8</v>
      </c>
      <c r="O1348" s="44">
        <f t="shared" si="65"/>
        <v>1.4706004140786695</v>
      </c>
      <c r="P1348">
        <f t="shared" si="67"/>
        <v>36.92</v>
      </c>
      <c r="Q1348" s="111">
        <v>0.40799999999999997</v>
      </c>
      <c r="R1348">
        <v>0.53800000000000003</v>
      </c>
      <c r="S1348" s="65">
        <v>21</v>
      </c>
      <c r="T1348">
        <v>6</v>
      </c>
      <c r="U1348" t="s">
        <v>31</v>
      </c>
      <c r="V1348" t="s">
        <v>1254</v>
      </c>
    </row>
    <row r="1349" spans="1:23" x14ac:dyDescent="0.2">
      <c r="A1349" s="5" t="s">
        <v>1551</v>
      </c>
      <c r="B1349" s="6" t="s">
        <v>36</v>
      </c>
      <c r="C1349" s="6" t="s">
        <v>38</v>
      </c>
      <c r="D1349" s="65" t="str">
        <f t="shared" si="66"/>
        <v>119_O_b</v>
      </c>
      <c r="E1349">
        <v>37</v>
      </c>
      <c r="F1349" t="s">
        <v>49</v>
      </c>
      <c r="G1349" t="s">
        <v>1555</v>
      </c>
      <c r="I1349">
        <v>2.0510032481140001</v>
      </c>
      <c r="J1349" s="82">
        <v>31.3</v>
      </c>
      <c r="K1349" s="82">
        <v>13.1</v>
      </c>
      <c r="L1349" s="82">
        <v>38.4</v>
      </c>
      <c r="M1349" s="82">
        <v>36.5</v>
      </c>
      <c r="N1349" s="82">
        <v>35.9</v>
      </c>
      <c r="O1349" s="44">
        <f t="shared" si="65"/>
        <v>4.4703827884884015</v>
      </c>
      <c r="P1349">
        <f t="shared" si="67"/>
        <v>31.04</v>
      </c>
      <c r="Q1349" s="111">
        <v>0.26500000000000001</v>
      </c>
      <c r="R1349">
        <v>0.312</v>
      </c>
      <c r="S1349" s="65">
        <v>6</v>
      </c>
      <c r="T1349">
        <v>5</v>
      </c>
      <c r="U1349" t="s">
        <v>31</v>
      </c>
      <c r="V1349" t="s">
        <v>1254</v>
      </c>
    </row>
    <row r="1350" spans="1:23" x14ac:dyDescent="0.2">
      <c r="A1350" s="5" t="s">
        <v>1551</v>
      </c>
      <c r="B1350" s="6" t="s">
        <v>27</v>
      </c>
      <c r="C1350" s="6" t="s">
        <v>38</v>
      </c>
      <c r="D1350" s="65" t="str">
        <f t="shared" si="66"/>
        <v>119_S_b</v>
      </c>
      <c r="E1350">
        <v>54</v>
      </c>
      <c r="F1350" t="s">
        <v>70</v>
      </c>
      <c r="G1350" t="s">
        <v>1556</v>
      </c>
      <c r="I1350">
        <v>1.85369262562541</v>
      </c>
      <c r="J1350" s="82">
        <v>1.7</v>
      </c>
      <c r="K1350" s="82">
        <v>8.1</v>
      </c>
      <c r="L1350" s="82">
        <v>3.4</v>
      </c>
      <c r="M1350" s="82">
        <v>40.4</v>
      </c>
      <c r="N1350" s="82">
        <v>13.8</v>
      </c>
      <c r="O1350" s="44">
        <f t="shared" si="65"/>
        <v>24.725870646766172</v>
      </c>
      <c r="P1350">
        <f t="shared" si="67"/>
        <v>13.479999999999999</v>
      </c>
      <c r="Q1350" s="111">
        <v>9.2999999999999999E-2</v>
      </c>
      <c r="R1350">
        <v>0.29899999999999999</v>
      </c>
      <c r="S1350" s="65">
        <v>14</v>
      </c>
      <c r="T1350" s="43">
        <v>12</v>
      </c>
      <c r="U1350" t="s">
        <v>31</v>
      </c>
      <c r="V1350" t="s">
        <v>1254</v>
      </c>
    </row>
    <row r="1351" spans="1:23" x14ac:dyDescent="0.2">
      <c r="A1351" s="1" t="s">
        <v>1551</v>
      </c>
      <c r="B1351" t="s">
        <v>33</v>
      </c>
      <c r="C1351" t="s">
        <v>38</v>
      </c>
      <c r="D1351" s="65" t="str">
        <f t="shared" si="66"/>
        <v>119_V_b</v>
      </c>
      <c r="E1351">
        <v>69</v>
      </c>
      <c r="F1351" t="s">
        <v>68</v>
      </c>
      <c r="G1351" t="s">
        <v>1557</v>
      </c>
      <c r="I1351">
        <v>3.5658504353233802</v>
      </c>
      <c r="J1351" s="82" t="s">
        <v>57</v>
      </c>
      <c r="K1351" s="82">
        <v>29.5</v>
      </c>
      <c r="L1351" s="82">
        <v>25.7</v>
      </c>
      <c r="M1351" s="82">
        <v>35.4</v>
      </c>
      <c r="N1351" s="82">
        <v>35.799999999999997</v>
      </c>
      <c r="O1351" s="44">
        <f t="shared" si="65"/>
        <v>0.79105960264900999</v>
      </c>
      <c r="P1351">
        <f t="shared" si="67"/>
        <v>31.599999999999998</v>
      </c>
      <c r="Q1351" s="111">
        <v>0.28999999999999998</v>
      </c>
      <c r="R1351">
        <v>0.57299999999999995</v>
      </c>
      <c r="S1351" s="65">
        <v>13</v>
      </c>
      <c r="T1351">
        <v>14</v>
      </c>
      <c r="U1351" t="s">
        <v>31</v>
      </c>
      <c r="V1351" t="s">
        <v>1254</v>
      </c>
    </row>
    <row r="1352" spans="1:23" x14ac:dyDescent="0.2">
      <c r="A1352" s="5" t="s">
        <v>1551</v>
      </c>
      <c r="B1352" s="6" t="s">
        <v>36</v>
      </c>
      <c r="C1352" s="6" t="s">
        <v>45</v>
      </c>
      <c r="D1352" s="65" t="str">
        <f t="shared" si="66"/>
        <v>119_O_c</v>
      </c>
      <c r="E1352">
        <v>86</v>
      </c>
      <c r="F1352" t="s">
        <v>39</v>
      </c>
      <c r="G1352" t="s">
        <v>1558</v>
      </c>
      <c r="I1352">
        <v>4.8731151832460702</v>
      </c>
      <c r="J1352" s="82">
        <v>7.4</v>
      </c>
      <c r="K1352" s="82">
        <v>16.2</v>
      </c>
      <c r="L1352" s="82">
        <v>24.8</v>
      </c>
      <c r="M1352" s="82">
        <v>40.6</v>
      </c>
      <c r="N1352" s="82">
        <v>40.4</v>
      </c>
      <c r="O1352" s="44">
        <f t="shared" si="65"/>
        <v>8.9940074906367098</v>
      </c>
      <c r="P1352">
        <f t="shared" si="67"/>
        <v>25.880000000000003</v>
      </c>
      <c r="Q1352" s="111">
        <v>0.38800000000000001</v>
      </c>
      <c r="R1352">
        <v>0.64900000000000002</v>
      </c>
      <c r="S1352" s="65">
        <v>15</v>
      </c>
      <c r="T1352">
        <v>21</v>
      </c>
      <c r="U1352" t="s">
        <v>72</v>
      </c>
      <c r="V1352" t="s">
        <v>1254</v>
      </c>
    </row>
    <row r="1353" spans="1:23" x14ac:dyDescent="0.2">
      <c r="A1353" s="5" t="s">
        <v>1551</v>
      </c>
      <c r="B1353" s="6" t="s">
        <v>33</v>
      </c>
      <c r="C1353" s="6" t="s">
        <v>45</v>
      </c>
      <c r="D1353" s="65" t="str">
        <f t="shared" si="66"/>
        <v>119_V_c</v>
      </c>
      <c r="E1353">
        <v>104</v>
      </c>
      <c r="F1353" t="s">
        <v>70</v>
      </c>
      <c r="G1353" t="s">
        <v>1559</v>
      </c>
      <c r="I1353">
        <v>4.80225517770391</v>
      </c>
      <c r="J1353" s="82">
        <v>32.6</v>
      </c>
      <c r="K1353" s="82">
        <v>18.7</v>
      </c>
      <c r="L1353" s="82">
        <v>14.1</v>
      </c>
      <c r="M1353">
        <v>19.7</v>
      </c>
      <c r="N1353" s="82">
        <v>30.6</v>
      </c>
      <c r="O1353" s="44">
        <f t="shared" si="65"/>
        <v>2.9588327457892687</v>
      </c>
      <c r="P1353">
        <f t="shared" si="67"/>
        <v>23.139999999999997</v>
      </c>
      <c r="Q1353" s="111">
        <v>0.438</v>
      </c>
      <c r="R1353">
        <v>0.56399999999999995</v>
      </c>
      <c r="S1353" s="65">
        <v>14</v>
      </c>
      <c r="T1353">
        <v>22</v>
      </c>
      <c r="U1353" t="s">
        <v>72</v>
      </c>
      <c r="V1353" t="s">
        <v>1254</v>
      </c>
    </row>
    <row r="1354" spans="1:23" x14ac:dyDescent="0.2">
      <c r="A1354" s="5" t="s">
        <v>1551</v>
      </c>
      <c r="B1354" s="6" t="s">
        <v>27</v>
      </c>
      <c r="C1354" s="6" t="s">
        <v>45</v>
      </c>
      <c r="D1354" s="65" t="str">
        <f t="shared" si="66"/>
        <v>119_S_c</v>
      </c>
      <c r="E1354">
        <v>107</v>
      </c>
      <c r="F1354" t="s">
        <v>39</v>
      </c>
      <c r="G1354" t="s">
        <v>1560</v>
      </c>
      <c r="I1354">
        <v>4.5596656602106203</v>
      </c>
      <c r="J1354" s="82">
        <v>35.5</v>
      </c>
      <c r="K1354" s="82">
        <v>32.5</v>
      </c>
      <c r="L1354" s="82">
        <v>31.2</v>
      </c>
      <c r="M1354">
        <v>30.9</v>
      </c>
      <c r="N1354" s="82">
        <v>38.5</v>
      </c>
      <c r="O1354" s="44">
        <f t="shared" si="65"/>
        <v>0.13576735844222398</v>
      </c>
      <c r="P1354">
        <f t="shared" si="67"/>
        <v>33.72</v>
      </c>
      <c r="Q1354" s="111">
        <v>0.54500000000000004</v>
      </c>
      <c r="R1354">
        <v>0.65400000000000003</v>
      </c>
      <c r="S1354" s="65">
        <v>56</v>
      </c>
      <c r="T1354">
        <v>179</v>
      </c>
      <c r="U1354" t="s">
        <v>72</v>
      </c>
      <c r="V1354" t="s">
        <v>1254</v>
      </c>
    </row>
    <row r="1355" spans="1:23" x14ac:dyDescent="0.2">
      <c r="A1355" s="5" t="s">
        <v>1551</v>
      </c>
      <c r="B1355" s="6" t="s">
        <v>27</v>
      </c>
      <c r="C1355" s="6" t="s">
        <v>52</v>
      </c>
      <c r="D1355" s="65" t="str">
        <f t="shared" si="66"/>
        <v>119_S_d</v>
      </c>
      <c r="E1355">
        <v>113</v>
      </c>
      <c r="F1355" t="s">
        <v>34</v>
      </c>
      <c r="G1355" t="s">
        <v>1561</v>
      </c>
      <c r="H1355" t="s">
        <v>56</v>
      </c>
      <c r="I1355">
        <v>0</v>
      </c>
      <c r="J1355" s="82">
        <v>1.1000000000000001</v>
      </c>
      <c r="K1355" s="82">
        <v>1</v>
      </c>
      <c r="L1355" s="82">
        <v>1</v>
      </c>
      <c r="M1355">
        <v>1</v>
      </c>
      <c r="N1355" s="82">
        <v>1</v>
      </c>
      <c r="O1355" s="44">
        <f t="shared" si="65"/>
        <v>2.4390243902439068E-3</v>
      </c>
      <c r="P1355">
        <f t="shared" si="67"/>
        <v>1.02</v>
      </c>
      <c r="Q1355" s="111" t="s">
        <v>57</v>
      </c>
      <c r="R1355" t="s">
        <v>57</v>
      </c>
      <c r="S1355" s="65" t="s">
        <v>57</v>
      </c>
      <c r="T1355" t="s">
        <v>57</v>
      </c>
      <c r="U1355" t="s">
        <v>57</v>
      </c>
      <c r="V1355" t="s">
        <v>1254</v>
      </c>
      <c r="W1355" t="s">
        <v>67</v>
      </c>
    </row>
    <row r="1356" spans="1:23" ht="16" x14ac:dyDescent="0.2">
      <c r="A1356" s="5" t="s">
        <v>1551</v>
      </c>
      <c r="B1356" s="6" t="s">
        <v>33</v>
      </c>
      <c r="C1356" s="6" t="s">
        <v>52</v>
      </c>
      <c r="D1356" s="65" t="str">
        <f t="shared" si="66"/>
        <v>119_V_d</v>
      </c>
      <c r="E1356">
        <v>124</v>
      </c>
      <c r="F1356" t="s">
        <v>68</v>
      </c>
      <c r="G1356" t="s">
        <v>1562</v>
      </c>
      <c r="I1356">
        <v>3.1712744921804799</v>
      </c>
      <c r="J1356" s="82">
        <v>25.7</v>
      </c>
      <c r="K1356" s="82">
        <v>16.100000000000001</v>
      </c>
      <c r="L1356" s="84">
        <v>38.4</v>
      </c>
      <c r="M1356">
        <v>55</v>
      </c>
      <c r="N1356" s="82">
        <v>36.4</v>
      </c>
      <c r="O1356" s="44">
        <f t="shared" si="65"/>
        <v>8.377712031558195</v>
      </c>
      <c r="P1356">
        <f t="shared" si="67"/>
        <v>34.32</v>
      </c>
      <c r="Q1356" s="111">
        <v>0.19900000000000001</v>
      </c>
      <c r="R1356">
        <v>0.52800000000000002</v>
      </c>
      <c r="S1356" s="65">
        <v>22</v>
      </c>
      <c r="T1356">
        <v>7</v>
      </c>
      <c r="U1356" t="s">
        <v>51</v>
      </c>
      <c r="V1356" t="s">
        <v>1254</v>
      </c>
    </row>
    <row r="1357" spans="1:23" ht="16" x14ac:dyDescent="0.2">
      <c r="A1357" s="5" t="s">
        <v>1551</v>
      </c>
      <c r="B1357" s="6" t="s">
        <v>36</v>
      </c>
      <c r="C1357" s="6" t="s">
        <v>52</v>
      </c>
      <c r="D1357" s="65" t="str">
        <f t="shared" si="66"/>
        <v>119_O_d</v>
      </c>
      <c r="E1357">
        <v>143</v>
      </c>
      <c r="F1357" t="s">
        <v>68</v>
      </c>
      <c r="G1357" t="s">
        <v>1563</v>
      </c>
      <c r="I1357">
        <v>2.2565946320079999</v>
      </c>
      <c r="J1357" s="82">
        <v>3.3</v>
      </c>
      <c r="K1357" s="82">
        <v>6.6</v>
      </c>
      <c r="L1357" s="84">
        <v>18.8</v>
      </c>
      <c r="M1357" s="82">
        <v>27.3</v>
      </c>
      <c r="N1357" s="82">
        <v>31.6</v>
      </c>
      <c r="O1357" s="44">
        <f t="shared" si="65"/>
        <v>8.7900000000000009</v>
      </c>
      <c r="P1357">
        <f t="shared" si="67"/>
        <v>17.52</v>
      </c>
      <c r="Q1357" s="111">
        <v>0.14799999999999999</v>
      </c>
      <c r="R1357">
        <v>0.20200000000000001</v>
      </c>
      <c r="S1357" s="65">
        <v>6</v>
      </c>
      <c r="T1357">
        <v>20</v>
      </c>
      <c r="U1357" t="s">
        <v>54</v>
      </c>
      <c r="V1357" t="s">
        <v>1254</v>
      </c>
    </row>
    <row r="1358" spans="1:23" ht="16" x14ac:dyDescent="0.2">
      <c r="A1358" s="5" t="s">
        <v>1564</v>
      </c>
      <c r="B1358" s="6" t="s">
        <v>36</v>
      </c>
      <c r="C1358" s="6" t="s">
        <v>28</v>
      </c>
      <c r="D1358" s="65" t="str">
        <f t="shared" si="66"/>
        <v>120_O_a</v>
      </c>
      <c r="E1358">
        <v>16</v>
      </c>
      <c r="F1358" t="s">
        <v>39</v>
      </c>
      <c r="G1358" t="s">
        <v>1565</v>
      </c>
      <c r="I1358">
        <v>2.3868884732749298</v>
      </c>
      <c r="J1358" s="84">
        <v>37.5</v>
      </c>
      <c r="K1358" s="82">
        <v>26.3</v>
      </c>
      <c r="L1358" s="82">
        <v>30.3</v>
      </c>
      <c r="M1358" s="82">
        <v>35.700000000000003</v>
      </c>
      <c r="N1358" s="82">
        <v>38.5</v>
      </c>
      <c r="O1358" s="44">
        <f t="shared" si="65"/>
        <v>0.80647149460708067</v>
      </c>
      <c r="P1358">
        <f t="shared" si="67"/>
        <v>33.660000000000004</v>
      </c>
      <c r="Q1358" s="111">
        <v>0.185</v>
      </c>
      <c r="R1358">
        <v>0.214</v>
      </c>
      <c r="S1358" s="65">
        <v>4</v>
      </c>
      <c r="T1358">
        <v>4</v>
      </c>
      <c r="U1358" s="47" t="s">
        <v>31</v>
      </c>
      <c r="V1358" t="s">
        <v>1254</v>
      </c>
    </row>
    <row r="1359" spans="1:23" ht="16" x14ac:dyDescent="0.2">
      <c r="A1359" s="5" t="s">
        <v>1564</v>
      </c>
      <c r="B1359" s="6" t="s">
        <v>27</v>
      </c>
      <c r="C1359" s="6" t="s">
        <v>28</v>
      </c>
      <c r="D1359" s="65" t="str">
        <f t="shared" si="66"/>
        <v>120_S_a</v>
      </c>
      <c r="E1359">
        <v>18</v>
      </c>
      <c r="F1359" t="s">
        <v>43</v>
      </c>
      <c r="G1359" t="s">
        <v>1566</v>
      </c>
      <c r="I1359">
        <v>3.1272429145921099</v>
      </c>
      <c r="J1359" s="84">
        <v>38.799999999999997</v>
      </c>
      <c r="K1359" s="82">
        <v>29.1</v>
      </c>
      <c r="L1359" s="82">
        <v>39.1</v>
      </c>
      <c r="M1359" s="82">
        <v>35.5</v>
      </c>
      <c r="N1359" s="82">
        <v>49.3</v>
      </c>
      <c r="O1359" s="44">
        <f t="shared" si="65"/>
        <v>0.6058245614035126</v>
      </c>
      <c r="P1359">
        <f t="shared" si="67"/>
        <v>38.36</v>
      </c>
      <c r="Q1359" s="111">
        <v>0.45700000000000002</v>
      </c>
      <c r="R1359">
        <v>0.61299999999999999</v>
      </c>
      <c r="S1359" s="65">
        <v>20</v>
      </c>
      <c r="T1359">
        <v>12</v>
      </c>
      <c r="U1359" t="s">
        <v>51</v>
      </c>
      <c r="V1359" t="s">
        <v>1254</v>
      </c>
    </row>
    <row r="1360" spans="1:23" x14ac:dyDescent="0.2">
      <c r="A1360" s="1" t="s">
        <v>1564</v>
      </c>
      <c r="B1360" t="s">
        <v>33</v>
      </c>
      <c r="C1360" t="s">
        <v>28</v>
      </c>
      <c r="D1360" s="65" t="str">
        <f t="shared" si="66"/>
        <v>120_V_a</v>
      </c>
      <c r="E1360">
        <v>29</v>
      </c>
      <c r="F1360" t="s">
        <v>34</v>
      </c>
      <c r="G1360" t="s">
        <v>1567</v>
      </c>
      <c r="I1360">
        <v>2.0255945639864099</v>
      </c>
      <c r="J1360" s="82">
        <v>8.3000000000000007</v>
      </c>
      <c r="K1360" s="82">
        <v>45.4</v>
      </c>
      <c r="L1360" s="82">
        <v>14.4</v>
      </c>
      <c r="M1360" s="82">
        <v>32.700000000000003</v>
      </c>
      <c r="N1360" s="82">
        <v>42.7</v>
      </c>
      <c r="O1360" s="44">
        <f t="shared" si="65"/>
        <v>11.462169312169298</v>
      </c>
      <c r="P1360">
        <f t="shared" si="67"/>
        <v>28.7</v>
      </c>
      <c r="Q1360" s="111">
        <v>0.23699999999999999</v>
      </c>
      <c r="R1360" s="116" t="s">
        <v>57</v>
      </c>
      <c r="S1360" s="65">
        <v>16</v>
      </c>
      <c r="T1360">
        <v>15</v>
      </c>
      <c r="U1360" t="s">
        <v>51</v>
      </c>
      <c r="V1360" t="s">
        <v>1254</v>
      </c>
      <c r="W1360" t="s">
        <v>513</v>
      </c>
    </row>
    <row r="1361" spans="1:23" x14ac:dyDescent="0.2">
      <c r="A1361" s="1" t="s">
        <v>1564</v>
      </c>
      <c r="B1361" t="s">
        <v>33</v>
      </c>
      <c r="C1361" t="s">
        <v>38</v>
      </c>
      <c r="D1361" s="65" t="str">
        <f t="shared" si="66"/>
        <v>120_V_b</v>
      </c>
      <c r="E1361">
        <v>48</v>
      </c>
      <c r="F1361" t="s">
        <v>63</v>
      </c>
      <c r="G1361" t="s">
        <v>1568</v>
      </c>
      <c r="I1361">
        <v>3.0840349443138901</v>
      </c>
      <c r="J1361" s="82">
        <v>22.4</v>
      </c>
      <c r="K1361" s="82">
        <v>22.2</v>
      </c>
      <c r="L1361" s="82">
        <v>24.8</v>
      </c>
      <c r="M1361" s="82">
        <v>13.1</v>
      </c>
      <c r="N1361" s="82">
        <v>33.299999999999997</v>
      </c>
      <c r="O1361" s="44">
        <f t="shared" si="65"/>
        <v>1.2878787878787956</v>
      </c>
      <c r="P1361">
        <f t="shared" si="67"/>
        <v>23.159999999999997</v>
      </c>
      <c r="Q1361" s="111">
        <v>9.9000000000000005E-2</v>
      </c>
      <c r="R1361">
        <v>0.24</v>
      </c>
      <c r="S1361" s="65">
        <v>9</v>
      </c>
      <c r="T1361" s="43">
        <v>11</v>
      </c>
      <c r="U1361" t="s">
        <v>31</v>
      </c>
      <c r="V1361" t="s">
        <v>1254</v>
      </c>
    </row>
    <row r="1362" spans="1:23" x14ac:dyDescent="0.2">
      <c r="A1362" s="5" t="s">
        <v>1564</v>
      </c>
      <c r="B1362" s="6" t="s">
        <v>27</v>
      </c>
      <c r="C1362" s="6" t="s">
        <v>38</v>
      </c>
      <c r="D1362" s="65" t="str">
        <f t="shared" si="66"/>
        <v>120_S_b</v>
      </c>
      <c r="E1362">
        <v>49</v>
      </c>
      <c r="F1362" t="s">
        <v>82</v>
      </c>
      <c r="G1362" t="s">
        <v>1569</v>
      </c>
      <c r="I1362">
        <v>1.5002614216357499</v>
      </c>
      <c r="J1362" s="82">
        <v>1.2</v>
      </c>
      <c r="K1362" s="82">
        <v>2</v>
      </c>
      <c r="L1362" s="82">
        <v>3.2</v>
      </c>
      <c r="M1362" s="82">
        <v>30.5</v>
      </c>
      <c r="N1362" s="82">
        <v>2.2999999999999998</v>
      </c>
      <c r="O1362" s="44">
        <f t="shared" si="65"/>
        <v>21.879945799457992</v>
      </c>
      <c r="P1362">
        <f t="shared" si="67"/>
        <v>7.839999999999999</v>
      </c>
      <c r="Q1362" s="111">
        <v>7.0000000000000001E-3</v>
      </c>
      <c r="R1362">
        <v>4.5999999999999999E-2</v>
      </c>
      <c r="S1362" s="65">
        <v>2</v>
      </c>
      <c r="T1362" s="43">
        <v>13</v>
      </c>
      <c r="U1362" t="s">
        <v>54</v>
      </c>
      <c r="V1362" t="s">
        <v>1254</v>
      </c>
    </row>
    <row r="1363" spans="1:23" x14ac:dyDescent="0.2">
      <c r="A1363" s="5" t="s">
        <v>1564</v>
      </c>
      <c r="B1363" s="6" t="s">
        <v>36</v>
      </c>
      <c r="C1363" s="6" t="s">
        <v>38</v>
      </c>
      <c r="D1363" s="65" t="str">
        <f t="shared" si="66"/>
        <v>120_O_b</v>
      </c>
      <c r="E1363">
        <v>60</v>
      </c>
      <c r="F1363" t="s">
        <v>63</v>
      </c>
      <c r="G1363" t="s">
        <v>1570</v>
      </c>
      <c r="I1363">
        <v>1.8475856873823</v>
      </c>
      <c r="J1363" s="82">
        <v>20.100000000000001</v>
      </c>
      <c r="K1363" s="82">
        <v>8.9</v>
      </c>
      <c r="L1363" s="82">
        <v>17.8</v>
      </c>
      <c r="M1363" s="82">
        <v>33.200000000000003</v>
      </c>
      <c r="N1363" s="82">
        <v>46.6</v>
      </c>
      <c r="O1363" s="44">
        <f t="shared" si="65"/>
        <v>5.0383333333333358</v>
      </c>
      <c r="P1363">
        <f t="shared" si="67"/>
        <v>25.32</v>
      </c>
      <c r="Q1363" s="111">
        <v>0.108</v>
      </c>
      <c r="R1363">
        <v>0.23499999999999999</v>
      </c>
      <c r="S1363" s="65">
        <v>21</v>
      </c>
      <c r="T1363">
        <v>33</v>
      </c>
      <c r="U1363" t="s">
        <v>31</v>
      </c>
      <c r="V1363" t="s">
        <v>1254</v>
      </c>
    </row>
    <row r="1364" spans="1:23" x14ac:dyDescent="0.2">
      <c r="A1364" s="5" t="s">
        <v>1564</v>
      </c>
      <c r="B1364" s="6" t="s">
        <v>27</v>
      </c>
      <c r="C1364" s="6" t="s">
        <v>45</v>
      </c>
      <c r="D1364" s="65" t="str">
        <f t="shared" si="66"/>
        <v>120_S_c</v>
      </c>
      <c r="E1364">
        <v>79</v>
      </c>
      <c r="F1364" t="s">
        <v>63</v>
      </c>
      <c r="G1364" t="s">
        <v>1571</v>
      </c>
      <c r="H1364" t="s">
        <v>56</v>
      </c>
      <c r="I1364">
        <v>0</v>
      </c>
      <c r="J1364" s="82">
        <v>1</v>
      </c>
      <c r="K1364" s="82">
        <v>1</v>
      </c>
      <c r="L1364" s="82">
        <v>1</v>
      </c>
      <c r="M1364" s="70" t="s">
        <v>57</v>
      </c>
      <c r="N1364" s="82">
        <v>1</v>
      </c>
      <c r="O1364" s="44">
        <f t="shared" si="65"/>
        <v>0</v>
      </c>
      <c r="P1364">
        <f t="shared" si="67"/>
        <v>1</v>
      </c>
      <c r="Q1364" s="111" t="s">
        <v>57</v>
      </c>
      <c r="R1364" s="6" t="s">
        <v>57</v>
      </c>
      <c r="S1364" s="65" t="s">
        <v>57</v>
      </c>
      <c r="T1364" s="6" t="s">
        <v>57</v>
      </c>
      <c r="U1364" t="s">
        <v>57</v>
      </c>
      <c r="V1364" t="s">
        <v>1254</v>
      </c>
      <c r="W1364" t="s">
        <v>67</v>
      </c>
    </row>
    <row r="1365" spans="1:23" x14ac:dyDescent="0.2">
      <c r="A1365" s="5" t="s">
        <v>1564</v>
      </c>
      <c r="B1365" s="6" t="s">
        <v>36</v>
      </c>
      <c r="C1365" s="6" t="s">
        <v>45</v>
      </c>
      <c r="D1365" s="65" t="str">
        <f t="shared" si="66"/>
        <v>120_O_c</v>
      </c>
      <c r="E1365">
        <v>88</v>
      </c>
      <c r="F1365" t="s">
        <v>39</v>
      </c>
      <c r="G1365" t="s">
        <v>1572</v>
      </c>
      <c r="I1365">
        <v>4.3523568244378898</v>
      </c>
      <c r="J1365" s="82">
        <v>31</v>
      </c>
      <c r="L1365" s="82">
        <v>14.8</v>
      </c>
      <c r="M1365" s="82">
        <v>35</v>
      </c>
      <c r="N1365" s="82">
        <v>31.2</v>
      </c>
      <c r="O1365" s="44">
        <f t="shared" si="65"/>
        <v>4.2480198019802007</v>
      </c>
      <c r="P1365">
        <f t="shared" si="67"/>
        <v>28</v>
      </c>
      <c r="Q1365" s="111">
        <v>0.28399999999999997</v>
      </c>
      <c r="R1365">
        <v>0.38500000000000001</v>
      </c>
      <c r="S1365" s="65">
        <v>23</v>
      </c>
      <c r="T1365">
        <v>86</v>
      </c>
      <c r="U1365" t="s">
        <v>72</v>
      </c>
      <c r="V1365" t="s">
        <v>1254</v>
      </c>
    </row>
    <row r="1366" spans="1:23" x14ac:dyDescent="0.2">
      <c r="A1366" s="5" t="s">
        <v>1564</v>
      </c>
      <c r="B1366" s="6" t="s">
        <v>33</v>
      </c>
      <c r="C1366" s="6" t="s">
        <v>45</v>
      </c>
      <c r="D1366" s="65" t="str">
        <f t="shared" si="66"/>
        <v>120_V_c</v>
      </c>
      <c r="E1366">
        <v>106</v>
      </c>
      <c r="F1366" t="s">
        <v>41</v>
      </c>
      <c r="G1366" t="s">
        <v>1573</v>
      </c>
      <c r="I1366">
        <v>1.6343690470061301</v>
      </c>
      <c r="J1366" s="82">
        <v>14.7</v>
      </c>
      <c r="K1366" s="82">
        <v>14.1</v>
      </c>
      <c r="L1366" s="82">
        <v>7.4</v>
      </c>
      <c r="M1366">
        <v>17.100000000000001</v>
      </c>
      <c r="N1366" s="82">
        <v>34.700000000000003</v>
      </c>
      <c r="O1366" s="44">
        <f t="shared" si="65"/>
        <v>1.2969981238273913</v>
      </c>
      <c r="P1366">
        <f t="shared" si="67"/>
        <v>17.600000000000001</v>
      </c>
      <c r="Q1366" s="111">
        <v>0.157</v>
      </c>
      <c r="R1366">
        <v>0.26300000000000001</v>
      </c>
      <c r="S1366" s="65">
        <v>15</v>
      </c>
      <c r="T1366">
        <v>8</v>
      </c>
      <c r="U1366" t="s">
        <v>72</v>
      </c>
      <c r="V1366" t="s">
        <v>1254</v>
      </c>
    </row>
    <row r="1367" spans="1:23" ht="16" x14ac:dyDescent="0.2">
      <c r="A1367" s="5" t="s">
        <v>1564</v>
      </c>
      <c r="B1367" s="6" t="s">
        <v>33</v>
      </c>
      <c r="C1367" s="6" t="s">
        <v>52</v>
      </c>
      <c r="D1367" s="65" t="str">
        <f t="shared" si="66"/>
        <v>120_V_d</v>
      </c>
      <c r="E1367">
        <v>134</v>
      </c>
      <c r="F1367" t="s">
        <v>70</v>
      </c>
      <c r="G1367" t="s">
        <v>1574</v>
      </c>
      <c r="I1367">
        <v>2.9704839792189701</v>
      </c>
      <c r="J1367" s="82">
        <v>27.3</v>
      </c>
      <c r="K1367" s="82">
        <v>19.3</v>
      </c>
      <c r="L1367" s="84">
        <v>25.2</v>
      </c>
      <c r="M1367" s="82">
        <v>6.3</v>
      </c>
      <c r="N1367" s="82">
        <v>21.1</v>
      </c>
      <c r="O1367" s="44">
        <f t="shared" si="65"/>
        <v>4.5686299615877175</v>
      </c>
      <c r="P1367">
        <f t="shared" si="67"/>
        <v>19.839999999999996</v>
      </c>
      <c r="Q1367" s="111">
        <v>0.20599999999999999</v>
      </c>
      <c r="R1367">
        <v>0.48299999999999998</v>
      </c>
      <c r="S1367" s="65">
        <v>16</v>
      </c>
      <c r="T1367">
        <v>23</v>
      </c>
      <c r="U1367" t="s">
        <v>54</v>
      </c>
      <c r="V1367" t="s">
        <v>1254</v>
      </c>
    </row>
    <row r="1368" spans="1:23" ht="16" x14ac:dyDescent="0.2">
      <c r="A1368" s="5" t="s">
        <v>1564</v>
      </c>
      <c r="B1368" s="6" t="s">
        <v>36</v>
      </c>
      <c r="C1368" s="6" t="s">
        <v>52</v>
      </c>
      <c r="D1368" s="65" t="str">
        <f t="shared" si="66"/>
        <v>120_O_d</v>
      </c>
      <c r="E1368">
        <v>139</v>
      </c>
      <c r="F1368" t="s">
        <v>49</v>
      </c>
      <c r="G1368" t="s">
        <v>1575</v>
      </c>
      <c r="I1368">
        <v>2.9530923276983101</v>
      </c>
      <c r="J1368" s="82">
        <v>43.1</v>
      </c>
      <c r="K1368" s="82">
        <v>29.9</v>
      </c>
      <c r="L1368" s="84">
        <v>35</v>
      </c>
      <c r="M1368" s="82">
        <v>29.7</v>
      </c>
      <c r="N1368" s="82">
        <v>41.4</v>
      </c>
      <c r="O1368" s="44">
        <f t="shared" si="65"/>
        <v>1.146332607116928</v>
      </c>
      <c r="P1368">
        <f t="shared" si="67"/>
        <v>35.82</v>
      </c>
      <c r="Q1368" s="111">
        <v>0.41</v>
      </c>
      <c r="R1368">
        <v>0.53200000000000003</v>
      </c>
      <c r="S1368" s="65">
        <v>23</v>
      </c>
      <c r="T1368">
        <v>14</v>
      </c>
      <c r="U1368" t="s">
        <v>72</v>
      </c>
      <c r="V1368" t="s">
        <v>1254</v>
      </c>
    </row>
    <row r="1369" spans="1:23" ht="16" x14ac:dyDescent="0.2">
      <c r="A1369" s="5" t="s">
        <v>1564</v>
      </c>
      <c r="B1369" s="6" t="s">
        <v>27</v>
      </c>
      <c r="C1369" s="6" t="s">
        <v>52</v>
      </c>
      <c r="D1369" s="65" t="str">
        <f t="shared" si="66"/>
        <v>120_S_d</v>
      </c>
      <c r="E1369">
        <v>143</v>
      </c>
      <c r="F1369" t="s">
        <v>70</v>
      </c>
      <c r="G1369" t="s">
        <v>1576</v>
      </c>
      <c r="I1369">
        <v>4.2721756517726703</v>
      </c>
      <c r="J1369" s="82">
        <v>10.5</v>
      </c>
      <c r="K1369" s="82">
        <v>34.9</v>
      </c>
      <c r="L1369" s="84">
        <v>43.8</v>
      </c>
      <c r="M1369" s="82">
        <v>31.7</v>
      </c>
      <c r="N1369" s="82">
        <v>45.5</v>
      </c>
      <c r="O1369" s="44">
        <f t="shared" si="65"/>
        <v>6.5882271850013874</v>
      </c>
      <c r="P1369">
        <f t="shared" si="67"/>
        <v>33.279999999999994</v>
      </c>
      <c r="Q1369" s="111">
        <v>0.45500000000000002</v>
      </c>
      <c r="R1369">
        <v>0.502</v>
      </c>
      <c r="S1369" s="65">
        <v>9</v>
      </c>
      <c r="T1369">
        <v>33</v>
      </c>
      <c r="U1369" t="s">
        <v>54</v>
      </c>
      <c r="V1369" t="s">
        <v>1254</v>
      </c>
    </row>
    <row r="1370" spans="1:23" ht="16" x14ac:dyDescent="0.2">
      <c r="A1370" s="5" t="s">
        <v>1577</v>
      </c>
      <c r="B1370" s="6" t="s">
        <v>36</v>
      </c>
      <c r="C1370" s="6" t="s">
        <v>28</v>
      </c>
      <c r="D1370" s="65" t="str">
        <f t="shared" si="66"/>
        <v>121_O_a</v>
      </c>
      <c r="E1370">
        <v>6</v>
      </c>
      <c r="F1370" t="s">
        <v>68</v>
      </c>
      <c r="G1370" t="s">
        <v>1578</v>
      </c>
      <c r="I1370">
        <v>0.495753705602685</v>
      </c>
      <c r="J1370" s="84">
        <v>22</v>
      </c>
      <c r="K1370" s="82">
        <v>8.3000000000000007</v>
      </c>
      <c r="L1370" s="82">
        <v>12</v>
      </c>
      <c r="M1370" s="82">
        <v>27.7</v>
      </c>
      <c r="N1370" s="82">
        <v>30.3</v>
      </c>
      <c r="O1370" s="44">
        <f t="shared" si="65"/>
        <v>4.5558095238095211</v>
      </c>
      <c r="P1370">
        <f t="shared" si="67"/>
        <v>20.059999999999999</v>
      </c>
      <c r="Q1370" s="111">
        <v>6.2E-2</v>
      </c>
      <c r="R1370">
        <v>0.19400000000000001</v>
      </c>
      <c r="S1370" s="65">
        <v>8</v>
      </c>
      <c r="T1370">
        <v>3</v>
      </c>
      <c r="U1370" t="s">
        <v>54</v>
      </c>
      <c r="V1370" t="s">
        <v>1254</v>
      </c>
    </row>
    <row r="1371" spans="1:23" ht="16" x14ac:dyDescent="0.2">
      <c r="A1371" s="45" t="s">
        <v>1577</v>
      </c>
      <c r="B1371" s="46" t="s">
        <v>33</v>
      </c>
      <c r="C1371" s="46" t="s">
        <v>28</v>
      </c>
      <c r="D1371" s="67" t="str">
        <f t="shared" si="66"/>
        <v>121_V_a</v>
      </c>
      <c r="E1371" s="47">
        <v>13</v>
      </c>
      <c r="F1371" s="47" t="s">
        <v>34</v>
      </c>
      <c r="G1371" s="47" t="s">
        <v>1579</v>
      </c>
      <c r="H1371" s="47"/>
      <c r="I1371">
        <v>0</v>
      </c>
      <c r="J1371" s="41" t="s">
        <v>57</v>
      </c>
      <c r="K1371" s="82">
        <v>1</v>
      </c>
      <c r="L1371" s="82">
        <v>1</v>
      </c>
      <c r="M1371" s="82">
        <v>1</v>
      </c>
      <c r="N1371" s="82">
        <v>1</v>
      </c>
      <c r="O1371" s="48">
        <f t="shared" si="65"/>
        <v>0</v>
      </c>
      <c r="P1371">
        <f t="shared" si="67"/>
        <v>1</v>
      </c>
      <c r="Q1371" s="113">
        <v>0</v>
      </c>
      <c r="R1371" s="47">
        <v>4.0000000000000001E-3</v>
      </c>
      <c r="S1371" s="67">
        <v>0</v>
      </c>
      <c r="T1371" s="47">
        <v>3</v>
      </c>
      <c r="U1371" s="47" t="s">
        <v>72</v>
      </c>
      <c r="V1371" t="s">
        <v>1254</v>
      </c>
      <c r="W1371" s="47"/>
    </row>
    <row r="1372" spans="1:23" x14ac:dyDescent="0.2">
      <c r="A1372" s="5" t="s">
        <v>1577</v>
      </c>
      <c r="B1372" s="6" t="s">
        <v>27</v>
      </c>
      <c r="C1372" s="6" t="s">
        <v>28</v>
      </c>
      <c r="D1372" s="65" t="str">
        <f t="shared" si="66"/>
        <v>121_S_a</v>
      </c>
      <c r="E1372">
        <v>27</v>
      </c>
      <c r="F1372" t="s">
        <v>70</v>
      </c>
      <c r="G1372" t="s">
        <v>1580</v>
      </c>
      <c r="H1372" t="s">
        <v>56</v>
      </c>
      <c r="I1372">
        <v>0</v>
      </c>
      <c r="J1372" s="82">
        <v>1</v>
      </c>
      <c r="K1372" t="s">
        <v>57</v>
      </c>
      <c r="L1372" s="82">
        <v>1</v>
      </c>
      <c r="M1372" s="82">
        <v>1</v>
      </c>
      <c r="N1372" s="82">
        <v>0.9</v>
      </c>
      <c r="O1372" s="44">
        <f t="shared" si="65"/>
        <v>0</v>
      </c>
      <c r="P1372">
        <f t="shared" si="67"/>
        <v>0.97499999999999998</v>
      </c>
      <c r="Q1372" s="111" t="s">
        <v>57</v>
      </c>
      <c r="R1372" t="s">
        <v>57</v>
      </c>
      <c r="S1372" s="65" t="s">
        <v>57</v>
      </c>
      <c r="T1372" t="s">
        <v>57</v>
      </c>
      <c r="U1372" t="s">
        <v>57</v>
      </c>
      <c r="V1372" t="s">
        <v>1254</v>
      </c>
      <c r="W1372" t="s">
        <v>67</v>
      </c>
    </row>
    <row r="1373" spans="1:23" x14ac:dyDescent="0.2">
      <c r="A1373" s="5" t="s">
        <v>1577</v>
      </c>
      <c r="B1373" s="6" t="s">
        <v>27</v>
      </c>
      <c r="C1373" s="6" t="s">
        <v>38</v>
      </c>
      <c r="D1373" s="65" t="str">
        <f t="shared" si="66"/>
        <v>121_S_b</v>
      </c>
      <c r="E1373">
        <v>38</v>
      </c>
      <c r="F1373" t="s">
        <v>63</v>
      </c>
      <c r="G1373" t="s">
        <v>1581</v>
      </c>
      <c r="I1373">
        <v>0</v>
      </c>
      <c r="J1373" s="82">
        <v>1</v>
      </c>
      <c r="K1373" s="82">
        <v>1</v>
      </c>
      <c r="L1373" s="82">
        <v>1</v>
      </c>
      <c r="M1373" s="82">
        <v>2.5</v>
      </c>
      <c r="N1373" s="82">
        <v>3.3</v>
      </c>
      <c r="O1373" s="44">
        <f t="shared" si="65"/>
        <v>0.40909090909090912</v>
      </c>
      <c r="P1373">
        <f t="shared" si="67"/>
        <v>1.7600000000000002</v>
      </c>
      <c r="Q1373" s="111">
        <v>2E-3</v>
      </c>
      <c r="R1373">
        <v>1.2999999999999999E-2</v>
      </c>
      <c r="S1373" s="65">
        <v>1</v>
      </c>
      <c r="T1373">
        <v>3</v>
      </c>
      <c r="U1373" t="s">
        <v>31</v>
      </c>
      <c r="V1373" t="s">
        <v>1254</v>
      </c>
    </row>
    <row r="1374" spans="1:23" x14ac:dyDescent="0.2">
      <c r="A1374" s="5" t="s">
        <v>1577</v>
      </c>
      <c r="B1374" s="6" t="s">
        <v>36</v>
      </c>
      <c r="C1374" s="6" t="s">
        <v>38</v>
      </c>
      <c r="D1374" s="65" t="str">
        <f t="shared" si="66"/>
        <v>121_O_b</v>
      </c>
      <c r="E1374">
        <v>51</v>
      </c>
      <c r="F1374" t="s">
        <v>68</v>
      </c>
      <c r="G1374" t="s">
        <v>1582</v>
      </c>
      <c r="I1374">
        <v>0</v>
      </c>
      <c r="J1374" s="82">
        <v>1</v>
      </c>
      <c r="K1374" s="82">
        <v>1</v>
      </c>
      <c r="L1374" s="82">
        <v>1</v>
      </c>
      <c r="M1374" s="82">
        <v>0.9</v>
      </c>
      <c r="N1374" s="82">
        <v>1</v>
      </c>
      <c r="O1374" s="44">
        <f t="shared" si="65"/>
        <v>2.5641025641025632E-3</v>
      </c>
      <c r="P1374">
        <f t="shared" si="67"/>
        <v>0.98000000000000009</v>
      </c>
      <c r="Q1374" s="111">
        <v>4.0000000000000001E-3</v>
      </c>
      <c r="R1374">
        <v>8.9999999999999993E-3</v>
      </c>
      <c r="S1374" s="65">
        <v>0</v>
      </c>
      <c r="T1374" s="43">
        <v>0</v>
      </c>
      <c r="U1374" t="s">
        <v>54</v>
      </c>
      <c r="V1374" t="s">
        <v>1254</v>
      </c>
      <c r="W1374" t="s">
        <v>168</v>
      </c>
    </row>
    <row r="1375" spans="1:23" x14ac:dyDescent="0.2">
      <c r="A1375" s="1" t="s">
        <v>1577</v>
      </c>
      <c r="B1375" t="s">
        <v>33</v>
      </c>
      <c r="C1375" t="s">
        <v>38</v>
      </c>
      <c r="D1375" s="65" t="str">
        <f t="shared" si="66"/>
        <v>121_V_b</v>
      </c>
      <c r="E1375">
        <v>56</v>
      </c>
      <c r="F1375" t="s">
        <v>39</v>
      </c>
      <c r="G1375" t="s">
        <v>1583</v>
      </c>
      <c r="I1375">
        <v>0.59449131513647602</v>
      </c>
      <c r="J1375" s="82">
        <v>1</v>
      </c>
      <c r="K1375" s="82">
        <v>1</v>
      </c>
      <c r="L1375" s="82">
        <v>1.9</v>
      </c>
      <c r="M1375" s="82">
        <v>1.4</v>
      </c>
      <c r="N1375" s="82">
        <v>0.9</v>
      </c>
      <c r="O1375" s="44">
        <f t="shared" si="65"/>
        <v>0.13773584905660363</v>
      </c>
      <c r="P1375">
        <f t="shared" si="67"/>
        <v>1.24</v>
      </c>
      <c r="Q1375" s="111">
        <v>1E-3</v>
      </c>
      <c r="R1375">
        <v>7.0000000000000001E-3</v>
      </c>
      <c r="S1375" s="65">
        <v>1</v>
      </c>
      <c r="T1375">
        <v>12</v>
      </c>
      <c r="U1375" t="s">
        <v>31</v>
      </c>
      <c r="V1375" t="s">
        <v>1254</v>
      </c>
      <c r="W1375" t="s">
        <v>168</v>
      </c>
    </row>
    <row r="1376" spans="1:23" x14ac:dyDescent="0.2">
      <c r="A1376" s="5" t="s">
        <v>1577</v>
      </c>
      <c r="B1376" s="6" t="s">
        <v>36</v>
      </c>
      <c r="C1376" s="6" t="s">
        <v>45</v>
      </c>
      <c r="D1376" s="65" t="str">
        <f t="shared" si="66"/>
        <v>121_O_c</v>
      </c>
      <c r="E1376">
        <v>88</v>
      </c>
      <c r="F1376" t="s">
        <v>34</v>
      </c>
      <c r="G1376" t="s">
        <v>1584</v>
      </c>
      <c r="I1376">
        <v>2.03646439794402</v>
      </c>
      <c r="J1376" s="82">
        <v>3.2</v>
      </c>
      <c r="L1376" s="82">
        <v>39.200000000000003</v>
      </c>
      <c r="M1376" s="82">
        <v>33</v>
      </c>
      <c r="N1376" s="82">
        <v>32.200000000000003</v>
      </c>
      <c r="O1376" s="44">
        <f t="shared" si="65"/>
        <v>14.737931034482756</v>
      </c>
      <c r="P1376">
        <f t="shared" si="67"/>
        <v>26.900000000000002</v>
      </c>
      <c r="Q1376" s="111">
        <v>7.0999999999999994E-2</v>
      </c>
      <c r="R1376">
        <v>0.245</v>
      </c>
      <c r="S1376" s="65">
        <v>2</v>
      </c>
      <c r="T1376">
        <v>2</v>
      </c>
      <c r="U1376" t="s">
        <v>1585</v>
      </c>
      <c r="V1376" t="s">
        <v>1254</v>
      </c>
      <c r="W1376" t="s">
        <v>1586</v>
      </c>
    </row>
    <row r="1377" spans="1:23" x14ac:dyDescent="0.2">
      <c r="A1377" s="5" t="s">
        <v>1577</v>
      </c>
      <c r="B1377" s="6" t="s">
        <v>27</v>
      </c>
      <c r="C1377" s="6" t="s">
        <v>45</v>
      </c>
      <c r="D1377" s="65" t="str">
        <f t="shared" si="66"/>
        <v>121_S_c</v>
      </c>
      <c r="E1377">
        <v>102</v>
      </c>
      <c r="F1377" t="s">
        <v>41</v>
      </c>
      <c r="G1377" t="s">
        <v>1587</v>
      </c>
      <c r="I1377">
        <v>0</v>
      </c>
      <c r="J1377" s="82">
        <v>1</v>
      </c>
      <c r="K1377" s="82">
        <v>1</v>
      </c>
      <c r="L1377" s="82">
        <v>0.9</v>
      </c>
      <c r="M1377">
        <v>1</v>
      </c>
      <c r="N1377" s="82">
        <v>1</v>
      </c>
      <c r="O1377" s="44">
        <f t="shared" si="65"/>
        <v>2.5641025641025632E-3</v>
      </c>
      <c r="P1377">
        <f t="shared" si="67"/>
        <v>0.98000000000000009</v>
      </c>
      <c r="Q1377" s="111">
        <v>4.0000000000000001E-3</v>
      </c>
      <c r="R1377">
        <v>2.3E-2</v>
      </c>
      <c r="S1377" s="65">
        <v>2</v>
      </c>
      <c r="T1377">
        <v>1</v>
      </c>
      <c r="U1377" t="s">
        <v>72</v>
      </c>
      <c r="V1377" t="s">
        <v>1254</v>
      </c>
    </row>
    <row r="1378" spans="1:23" x14ac:dyDescent="0.2">
      <c r="A1378" s="5" t="s">
        <v>1577</v>
      </c>
      <c r="B1378" s="6" t="s">
        <v>33</v>
      </c>
      <c r="C1378" s="6" t="s">
        <v>45</v>
      </c>
      <c r="D1378" s="65" t="str">
        <f t="shared" si="66"/>
        <v>121_V_c</v>
      </c>
      <c r="E1378">
        <v>104</v>
      </c>
      <c r="F1378" t="s">
        <v>34</v>
      </c>
      <c r="G1378" t="s">
        <v>1588</v>
      </c>
      <c r="I1378">
        <v>0</v>
      </c>
      <c r="J1378" s="82">
        <v>1</v>
      </c>
      <c r="K1378" s="82">
        <v>1</v>
      </c>
      <c r="L1378" s="82">
        <v>1</v>
      </c>
      <c r="M1378">
        <v>1</v>
      </c>
      <c r="N1378" s="82">
        <v>1</v>
      </c>
      <c r="O1378" s="44">
        <f t="shared" si="65"/>
        <v>0</v>
      </c>
      <c r="P1378">
        <f t="shared" si="67"/>
        <v>1</v>
      </c>
      <c r="Q1378" s="111">
        <v>1.0999999999999999E-2</v>
      </c>
      <c r="R1378">
        <v>4.0000000000000001E-3</v>
      </c>
      <c r="S1378" s="65">
        <v>0</v>
      </c>
      <c r="T1378">
        <v>0</v>
      </c>
      <c r="U1378" t="s">
        <v>72</v>
      </c>
      <c r="V1378" t="s">
        <v>1254</v>
      </c>
      <c r="W1378" t="s">
        <v>1589</v>
      </c>
    </row>
    <row r="1379" spans="1:23" ht="16" x14ac:dyDescent="0.2">
      <c r="A1379" s="5" t="s">
        <v>1577</v>
      </c>
      <c r="B1379" s="6" t="s">
        <v>36</v>
      </c>
      <c r="C1379" s="6" t="s">
        <v>52</v>
      </c>
      <c r="D1379" s="65" t="str">
        <f t="shared" si="66"/>
        <v>121_O_d</v>
      </c>
      <c r="E1379">
        <v>120</v>
      </c>
      <c r="F1379" t="s">
        <v>41</v>
      </c>
      <c r="G1379" t="s">
        <v>1590</v>
      </c>
      <c r="I1379">
        <v>1.6946218230849499</v>
      </c>
      <c r="J1379" s="82">
        <v>11.2</v>
      </c>
      <c r="K1379" s="82">
        <v>34.5</v>
      </c>
      <c r="L1379" s="84">
        <v>22.1</v>
      </c>
      <c r="M1379">
        <v>20.5</v>
      </c>
      <c r="N1379" s="82">
        <v>38.200000000000003</v>
      </c>
      <c r="O1379" s="44">
        <f t="shared" si="65"/>
        <v>4.1544356360890866</v>
      </c>
      <c r="P1379">
        <f t="shared" si="67"/>
        <v>25.300000000000004</v>
      </c>
      <c r="Q1379" s="111">
        <v>0.183</v>
      </c>
      <c r="R1379">
        <v>0.32700000000000001</v>
      </c>
      <c r="S1379" s="65">
        <v>10</v>
      </c>
      <c r="T1379">
        <v>12</v>
      </c>
      <c r="U1379" t="s">
        <v>31</v>
      </c>
      <c r="V1379" t="s">
        <v>1254</v>
      </c>
    </row>
    <row r="1380" spans="1:23" ht="16" x14ac:dyDescent="0.2">
      <c r="A1380" s="5" t="s">
        <v>1577</v>
      </c>
      <c r="B1380" s="6" t="s">
        <v>33</v>
      </c>
      <c r="C1380" s="6" t="s">
        <v>52</v>
      </c>
      <c r="D1380" s="65" t="str">
        <f t="shared" si="66"/>
        <v>121_V_d</v>
      </c>
      <c r="E1380">
        <v>127</v>
      </c>
      <c r="F1380" t="s">
        <v>43</v>
      </c>
      <c r="G1380" t="s">
        <v>1591</v>
      </c>
      <c r="I1380">
        <v>0</v>
      </c>
      <c r="J1380" s="82">
        <v>3.4</v>
      </c>
      <c r="K1380" s="82">
        <v>2.5</v>
      </c>
      <c r="L1380" s="84">
        <v>1.7</v>
      </c>
      <c r="M1380">
        <v>4.4000000000000004</v>
      </c>
      <c r="N1380" s="82">
        <v>22.7</v>
      </c>
      <c r="O1380" s="44">
        <f t="shared" si="65"/>
        <v>0.45111111111111141</v>
      </c>
      <c r="P1380">
        <f t="shared" si="67"/>
        <v>6.94</v>
      </c>
      <c r="Q1380" s="111">
        <v>5.0999999999999997E-2</v>
      </c>
      <c r="R1380">
        <v>8.8999999999999996E-2</v>
      </c>
      <c r="S1380" s="65">
        <v>3</v>
      </c>
      <c r="T1380">
        <v>6</v>
      </c>
      <c r="U1380" t="s">
        <v>54</v>
      </c>
      <c r="V1380" t="s">
        <v>1254</v>
      </c>
    </row>
    <row r="1381" spans="1:23" ht="16" x14ac:dyDescent="0.2">
      <c r="A1381" s="5" t="s">
        <v>1577</v>
      </c>
      <c r="B1381" s="6" t="s">
        <v>27</v>
      </c>
      <c r="C1381" s="6" t="s">
        <v>52</v>
      </c>
      <c r="D1381" s="65" t="str">
        <f t="shared" si="66"/>
        <v>121_S_d</v>
      </c>
      <c r="E1381">
        <v>129</v>
      </c>
      <c r="F1381" t="s">
        <v>43</v>
      </c>
      <c r="G1381" t="s">
        <v>1592</v>
      </c>
      <c r="I1381">
        <v>2.23850147463865</v>
      </c>
      <c r="J1381" s="82">
        <v>28.2</v>
      </c>
      <c r="K1381" s="82">
        <v>32.799999999999997</v>
      </c>
      <c r="L1381" s="84">
        <v>12.6</v>
      </c>
      <c r="M1381">
        <v>31.3</v>
      </c>
      <c r="N1381" s="82">
        <v>49.6</v>
      </c>
      <c r="O1381" s="44">
        <f t="shared" si="65"/>
        <v>3.2860184302510351</v>
      </c>
      <c r="P1381">
        <f t="shared" si="67"/>
        <v>30.9</v>
      </c>
      <c r="Q1381" s="111">
        <v>0.373</v>
      </c>
      <c r="R1381">
        <v>0.502</v>
      </c>
      <c r="S1381" s="65">
        <v>5</v>
      </c>
      <c r="T1381">
        <v>0</v>
      </c>
      <c r="U1381" t="s">
        <v>47</v>
      </c>
      <c r="V1381" t="s">
        <v>1254</v>
      </c>
    </row>
    <row r="1382" spans="1:23" ht="16" x14ac:dyDescent="0.2">
      <c r="A1382" s="5" t="s">
        <v>1593</v>
      </c>
      <c r="B1382" s="6" t="s">
        <v>27</v>
      </c>
      <c r="C1382" s="6" t="s">
        <v>28</v>
      </c>
      <c r="D1382" s="65" t="str">
        <f t="shared" si="66"/>
        <v>122_S_a</v>
      </c>
      <c r="E1382">
        <v>6</v>
      </c>
      <c r="F1382" t="s">
        <v>70</v>
      </c>
      <c r="G1382" t="s">
        <v>1594</v>
      </c>
      <c r="I1382">
        <v>2.6445837606040801</v>
      </c>
      <c r="J1382" s="84">
        <v>20</v>
      </c>
      <c r="K1382" s="82">
        <v>16.100000000000001</v>
      </c>
      <c r="L1382" s="82">
        <v>21.4</v>
      </c>
      <c r="M1382" s="82">
        <v>27.3</v>
      </c>
      <c r="N1382" s="82">
        <v>40.200000000000003</v>
      </c>
      <c r="O1382" s="44">
        <f t="shared" si="65"/>
        <v>1.0172955974842774</v>
      </c>
      <c r="P1382">
        <f t="shared" si="67"/>
        <v>25</v>
      </c>
      <c r="Q1382" s="111">
        <v>0.17399999999999999</v>
      </c>
      <c r="R1382">
        <v>0.28299999999999997</v>
      </c>
      <c r="S1382" s="65">
        <v>10</v>
      </c>
      <c r="T1382">
        <v>82</v>
      </c>
      <c r="U1382" t="s">
        <v>54</v>
      </c>
      <c r="V1382" t="s">
        <v>1254</v>
      </c>
    </row>
    <row r="1383" spans="1:23" ht="16" x14ac:dyDescent="0.2">
      <c r="A1383" s="1" t="s">
        <v>1593</v>
      </c>
      <c r="B1383" t="s">
        <v>33</v>
      </c>
      <c r="C1383" t="s">
        <v>28</v>
      </c>
      <c r="D1383" s="65" t="str">
        <f t="shared" si="66"/>
        <v>122_V_a</v>
      </c>
      <c r="E1383">
        <v>17</v>
      </c>
      <c r="F1383" t="s">
        <v>29</v>
      </c>
      <c r="G1383" t="s">
        <v>1595</v>
      </c>
      <c r="I1383">
        <v>2.8764261067469299</v>
      </c>
      <c r="J1383" s="84">
        <v>29.8</v>
      </c>
      <c r="K1383" s="97">
        <v>18.2</v>
      </c>
      <c r="L1383" s="82">
        <v>28.4</v>
      </c>
      <c r="M1383" s="82">
        <v>9</v>
      </c>
      <c r="N1383" s="82">
        <v>29.3</v>
      </c>
      <c r="O1383" s="44">
        <f t="shared" si="65"/>
        <v>4.4270101483216227</v>
      </c>
      <c r="P1383">
        <f t="shared" si="67"/>
        <v>22.94</v>
      </c>
      <c r="Q1383" s="111">
        <v>0.193</v>
      </c>
      <c r="R1383">
        <v>0.378</v>
      </c>
      <c r="S1383" s="65">
        <v>21</v>
      </c>
      <c r="T1383">
        <v>43</v>
      </c>
      <c r="U1383" t="s">
        <v>31</v>
      </c>
      <c r="V1383" t="s">
        <v>1254</v>
      </c>
    </row>
    <row r="1384" spans="1:23" ht="16" x14ac:dyDescent="0.2">
      <c r="A1384" s="5" t="s">
        <v>1593</v>
      </c>
      <c r="B1384" s="6" t="s">
        <v>36</v>
      </c>
      <c r="C1384" s="6" t="s">
        <v>28</v>
      </c>
      <c r="D1384" s="65" t="str">
        <f t="shared" si="66"/>
        <v>122_O_a</v>
      </c>
      <c r="E1384">
        <v>20</v>
      </c>
      <c r="F1384" t="s">
        <v>68</v>
      </c>
      <c r="G1384" t="s">
        <v>1596</v>
      </c>
      <c r="I1384">
        <v>2.1116396787957501</v>
      </c>
      <c r="J1384" s="84">
        <v>6.8</v>
      </c>
      <c r="K1384" s="82">
        <v>11.4</v>
      </c>
      <c r="L1384" s="82">
        <v>21</v>
      </c>
      <c r="M1384" s="82">
        <v>10.4</v>
      </c>
      <c r="N1384" s="82">
        <v>32.4</v>
      </c>
      <c r="O1384" s="44">
        <f t="shared" si="65"/>
        <v>2.9655913978494604</v>
      </c>
      <c r="P1384">
        <f t="shared" si="67"/>
        <v>16.399999999999999</v>
      </c>
      <c r="Q1384" s="111">
        <v>0.11</v>
      </c>
      <c r="R1384">
        <v>0.18099999999999999</v>
      </c>
      <c r="S1384" s="65">
        <v>9</v>
      </c>
      <c r="T1384">
        <v>58</v>
      </c>
      <c r="V1384" t="s">
        <v>1254</v>
      </c>
    </row>
    <row r="1385" spans="1:23" x14ac:dyDescent="0.2">
      <c r="A1385" s="1" t="s">
        <v>1593</v>
      </c>
      <c r="B1385" t="s">
        <v>33</v>
      </c>
      <c r="C1385" t="s">
        <v>38</v>
      </c>
      <c r="D1385" s="65" t="str">
        <f t="shared" si="66"/>
        <v>122_V_b</v>
      </c>
      <c r="E1385">
        <v>53</v>
      </c>
      <c r="F1385" t="s">
        <v>29</v>
      </c>
      <c r="G1385" t="s">
        <v>1597</v>
      </c>
      <c r="I1385">
        <v>1.38830769230769</v>
      </c>
      <c r="J1385" s="82">
        <v>21.6</v>
      </c>
      <c r="K1385" s="82">
        <v>23.8</v>
      </c>
      <c r="L1385" s="82">
        <v>25.6</v>
      </c>
      <c r="M1385" s="82">
        <v>19.7</v>
      </c>
      <c r="N1385" s="82">
        <v>25.7</v>
      </c>
      <c r="O1385" s="44">
        <f t="shared" si="65"/>
        <v>0.29147372289599427</v>
      </c>
      <c r="P1385">
        <f t="shared" si="67"/>
        <v>23.28</v>
      </c>
      <c r="Q1385" s="111">
        <v>0.109</v>
      </c>
      <c r="R1385">
        <v>0.308</v>
      </c>
      <c r="S1385" s="65">
        <v>7</v>
      </c>
      <c r="T1385">
        <v>75</v>
      </c>
      <c r="U1385" t="s">
        <v>31</v>
      </c>
      <c r="V1385" t="s">
        <v>1254</v>
      </c>
    </row>
    <row r="1386" spans="1:23" x14ac:dyDescent="0.2">
      <c r="A1386" s="5" t="s">
        <v>1593</v>
      </c>
      <c r="B1386" s="6" t="s">
        <v>27</v>
      </c>
      <c r="C1386" s="6" t="s">
        <v>38</v>
      </c>
      <c r="D1386" s="65" t="str">
        <f t="shared" si="66"/>
        <v>122_S_b</v>
      </c>
      <c r="E1386">
        <v>56</v>
      </c>
      <c r="F1386" t="s">
        <v>82</v>
      </c>
      <c r="G1386" t="s">
        <v>1598</v>
      </c>
      <c r="I1386">
        <v>6.2304491315136499</v>
      </c>
      <c r="J1386" s="82">
        <v>8.4</v>
      </c>
      <c r="K1386" s="82">
        <v>18.5</v>
      </c>
      <c r="L1386" s="82">
        <v>12.3</v>
      </c>
      <c r="M1386" s="82">
        <v>18.2</v>
      </c>
      <c r="N1386" s="82">
        <v>6.5</v>
      </c>
      <c r="O1386" s="44">
        <f t="shared" si="65"/>
        <v>1.6643437862949999</v>
      </c>
      <c r="P1386">
        <f t="shared" si="67"/>
        <v>12.780000000000001</v>
      </c>
      <c r="Q1386" s="111">
        <v>0.25600000000000001</v>
      </c>
      <c r="R1386">
        <v>0.52800000000000002</v>
      </c>
      <c r="S1386" s="65">
        <v>18</v>
      </c>
      <c r="T1386">
        <v>50</v>
      </c>
      <c r="U1386" t="s">
        <v>31</v>
      </c>
      <c r="V1386" t="s">
        <v>1254</v>
      </c>
    </row>
    <row r="1387" spans="1:23" x14ac:dyDescent="0.2">
      <c r="A1387" s="5" t="s">
        <v>1593</v>
      </c>
      <c r="B1387" s="6" t="s">
        <v>36</v>
      </c>
      <c r="C1387" s="6" t="s">
        <v>38</v>
      </c>
      <c r="D1387" s="65" t="str">
        <f t="shared" si="66"/>
        <v>122_O_b</v>
      </c>
      <c r="E1387">
        <v>64</v>
      </c>
      <c r="F1387" t="s">
        <v>34</v>
      </c>
      <c r="G1387" t="s">
        <v>1599</v>
      </c>
      <c r="I1387">
        <v>1.3382284949507199</v>
      </c>
      <c r="J1387" s="82">
        <v>13.6</v>
      </c>
      <c r="K1387" s="82">
        <v>9.1</v>
      </c>
      <c r="L1387" s="82">
        <v>51</v>
      </c>
      <c r="M1387" s="82">
        <v>25.1</v>
      </c>
      <c r="N1387" s="82">
        <v>34.200000000000003</v>
      </c>
      <c r="O1387" s="44">
        <f t="shared" si="65"/>
        <v>14.283670715249656</v>
      </c>
      <c r="P1387">
        <f t="shared" si="67"/>
        <v>26.6</v>
      </c>
      <c r="Q1387" s="111">
        <v>6.7000000000000004E-2</v>
      </c>
      <c r="R1387">
        <v>0.13900000000000001</v>
      </c>
      <c r="S1387" s="65">
        <v>2</v>
      </c>
      <c r="T1387">
        <v>18</v>
      </c>
      <c r="U1387" t="s">
        <v>31</v>
      </c>
      <c r="V1387" t="s">
        <v>1254</v>
      </c>
    </row>
    <row r="1388" spans="1:23" x14ac:dyDescent="0.2">
      <c r="A1388" s="5" t="s">
        <v>1593</v>
      </c>
      <c r="B1388" s="6" t="s">
        <v>27</v>
      </c>
      <c r="C1388" s="6" t="s">
        <v>45</v>
      </c>
      <c r="D1388" s="65" t="str">
        <f t="shared" si="66"/>
        <v>122_S_c</v>
      </c>
      <c r="E1388">
        <v>82</v>
      </c>
      <c r="F1388" t="s">
        <v>63</v>
      </c>
      <c r="G1388" t="s">
        <v>1600</v>
      </c>
      <c r="I1388">
        <v>0</v>
      </c>
      <c r="J1388" s="82">
        <v>1.1000000000000001</v>
      </c>
      <c r="K1388" s="82">
        <v>1</v>
      </c>
      <c r="L1388" s="82">
        <v>1</v>
      </c>
      <c r="M1388" s="82">
        <v>1</v>
      </c>
      <c r="N1388" s="82">
        <v>1</v>
      </c>
      <c r="O1388" s="44">
        <f t="shared" si="65"/>
        <v>2.4390243902439068E-3</v>
      </c>
      <c r="P1388">
        <f t="shared" si="67"/>
        <v>1.02</v>
      </c>
      <c r="Q1388" s="111" t="s">
        <v>57</v>
      </c>
      <c r="R1388" t="s">
        <v>57</v>
      </c>
      <c r="S1388" s="65" t="s">
        <v>57</v>
      </c>
      <c r="T1388" t="s">
        <v>57</v>
      </c>
      <c r="U1388" t="s">
        <v>57</v>
      </c>
      <c r="V1388" t="s">
        <v>1254</v>
      </c>
      <c r="W1388" t="s">
        <v>517</v>
      </c>
    </row>
    <row r="1389" spans="1:23" x14ac:dyDescent="0.2">
      <c r="A1389" s="5" t="s">
        <v>1593</v>
      </c>
      <c r="B1389" s="6" t="s">
        <v>36</v>
      </c>
      <c r="C1389" s="6" t="s">
        <v>45</v>
      </c>
      <c r="D1389" s="65" t="str">
        <f t="shared" si="66"/>
        <v>122_O_c</v>
      </c>
      <c r="E1389">
        <v>93</v>
      </c>
      <c r="F1389" t="s">
        <v>39</v>
      </c>
      <c r="G1389" t="s">
        <v>1601</v>
      </c>
      <c r="I1389">
        <v>4.1652379544782701</v>
      </c>
      <c r="J1389" s="82">
        <v>26.4</v>
      </c>
      <c r="K1389" s="82">
        <v>8.3000000000000007</v>
      </c>
      <c r="L1389" s="82">
        <v>39.299999999999997</v>
      </c>
      <c r="M1389">
        <v>5.5</v>
      </c>
      <c r="N1389" s="82">
        <v>32.299999999999997</v>
      </c>
      <c r="O1389" s="44">
        <f t="shared" si="65"/>
        <v>12.755178197064986</v>
      </c>
      <c r="P1389">
        <f t="shared" si="67"/>
        <v>22.36</v>
      </c>
      <c r="Q1389" s="111">
        <v>0.16200000000000001</v>
      </c>
      <c r="R1389">
        <v>0.436</v>
      </c>
      <c r="S1389" s="65">
        <v>21</v>
      </c>
      <c r="T1389">
        <v>17</v>
      </c>
      <c r="U1389" t="s">
        <v>31</v>
      </c>
      <c r="V1389" t="s">
        <v>1254</v>
      </c>
    </row>
    <row r="1390" spans="1:23" x14ac:dyDescent="0.2">
      <c r="A1390" s="5" t="s">
        <v>1593</v>
      </c>
      <c r="B1390" s="6" t="s">
        <v>33</v>
      </c>
      <c r="C1390" s="6" t="s">
        <v>45</v>
      </c>
      <c r="D1390" s="65" t="str">
        <f t="shared" si="66"/>
        <v>122_V_c</v>
      </c>
      <c r="E1390">
        <v>108</v>
      </c>
      <c r="F1390" t="s">
        <v>41</v>
      </c>
      <c r="G1390" t="s">
        <v>1602</v>
      </c>
      <c r="I1390">
        <v>1.12273646371602</v>
      </c>
      <c r="J1390" s="82">
        <v>19.100000000000001</v>
      </c>
      <c r="K1390" s="82">
        <v>21.3</v>
      </c>
      <c r="L1390" s="82">
        <v>34.6</v>
      </c>
      <c r="M1390">
        <v>3.6</v>
      </c>
      <c r="N1390" s="82">
        <v>46.7</v>
      </c>
      <c r="O1390" s="44">
        <f t="shared" si="65"/>
        <v>8.212553011026305</v>
      </c>
      <c r="P1390">
        <f t="shared" si="67"/>
        <v>25.06</v>
      </c>
      <c r="Q1390" s="111">
        <v>0.16600000000000001</v>
      </c>
      <c r="R1390">
        <v>0.37</v>
      </c>
      <c r="S1390" s="65">
        <v>6</v>
      </c>
      <c r="T1390">
        <v>27</v>
      </c>
      <c r="U1390" t="s">
        <v>47</v>
      </c>
      <c r="V1390" t="s">
        <v>1254</v>
      </c>
    </row>
    <row r="1391" spans="1:23" x14ac:dyDescent="0.2">
      <c r="A1391" s="5" t="s">
        <v>1593</v>
      </c>
      <c r="B1391" s="6" t="s">
        <v>36</v>
      </c>
      <c r="C1391" s="6" t="s">
        <v>52</v>
      </c>
      <c r="D1391" s="65" t="str">
        <f t="shared" si="66"/>
        <v>122_O_d</v>
      </c>
      <c r="E1391">
        <v>117</v>
      </c>
      <c r="F1391" t="s">
        <v>63</v>
      </c>
      <c r="G1391" t="s">
        <v>1603</v>
      </c>
      <c r="I1391">
        <v>1.1914605004217</v>
      </c>
      <c r="J1391" s="82">
        <v>3.6</v>
      </c>
      <c r="K1391" s="82">
        <v>5.4</v>
      </c>
      <c r="L1391" s="82">
        <v>33.9</v>
      </c>
      <c r="M1391">
        <v>31.8</v>
      </c>
      <c r="N1391" s="82">
        <v>36.1</v>
      </c>
      <c r="O1391" s="44">
        <f t="shared" si="65"/>
        <v>14.414056224899593</v>
      </c>
      <c r="P1391">
        <f t="shared" si="67"/>
        <v>22.160000000000004</v>
      </c>
      <c r="Q1391" s="111">
        <v>0.13100000000000001</v>
      </c>
      <c r="R1391">
        <v>0.27200000000000002</v>
      </c>
      <c r="S1391" s="65">
        <v>24</v>
      </c>
      <c r="T1391">
        <v>46</v>
      </c>
      <c r="U1391" t="s">
        <v>72</v>
      </c>
      <c r="V1391" t="s">
        <v>1254</v>
      </c>
    </row>
    <row r="1392" spans="1:23" ht="16" x14ac:dyDescent="0.2">
      <c r="A1392" s="5" t="s">
        <v>1593</v>
      </c>
      <c r="B1392" s="6" t="s">
        <v>27</v>
      </c>
      <c r="C1392" s="6" t="s">
        <v>52</v>
      </c>
      <c r="D1392" s="65" t="str">
        <f t="shared" si="66"/>
        <v>122_S_d</v>
      </c>
      <c r="E1392">
        <v>125</v>
      </c>
      <c r="F1392" t="s">
        <v>39</v>
      </c>
      <c r="G1392" t="s">
        <v>1604</v>
      </c>
      <c r="H1392" t="s">
        <v>56</v>
      </c>
      <c r="I1392">
        <v>0</v>
      </c>
      <c r="J1392" s="82">
        <v>1</v>
      </c>
      <c r="K1392" s="82">
        <v>1</v>
      </c>
      <c r="L1392" s="84">
        <v>1</v>
      </c>
      <c r="M1392">
        <v>1</v>
      </c>
      <c r="N1392" s="82">
        <v>0.9</v>
      </c>
      <c r="O1392" s="44">
        <f t="shared" si="65"/>
        <v>0</v>
      </c>
      <c r="P1392">
        <f t="shared" si="67"/>
        <v>0.98000000000000009</v>
      </c>
      <c r="Q1392" s="111" t="s">
        <v>57</v>
      </c>
      <c r="R1392" t="s">
        <v>57</v>
      </c>
      <c r="S1392" s="65" t="s">
        <v>57</v>
      </c>
      <c r="T1392" t="s">
        <v>57</v>
      </c>
      <c r="V1392" t="s">
        <v>1254</v>
      </c>
      <c r="W1392" t="s">
        <v>67</v>
      </c>
    </row>
    <row r="1393" spans="1:23" ht="16" x14ac:dyDescent="0.2">
      <c r="A1393" s="5" t="s">
        <v>1593</v>
      </c>
      <c r="B1393" s="6" t="s">
        <v>33</v>
      </c>
      <c r="C1393" s="6" t="s">
        <v>52</v>
      </c>
      <c r="D1393" s="65" t="str">
        <f t="shared" si="66"/>
        <v>122_V_d</v>
      </c>
      <c r="E1393">
        <v>140</v>
      </c>
      <c r="F1393" t="s">
        <v>43</v>
      </c>
      <c r="G1393" t="s">
        <v>1605</v>
      </c>
      <c r="I1393">
        <v>4.18739707227813</v>
      </c>
      <c r="J1393" s="82">
        <v>23.2</v>
      </c>
      <c r="K1393" s="82">
        <v>28.9</v>
      </c>
      <c r="L1393" s="84">
        <v>15</v>
      </c>
      <c r="M1393" s="82">
        <v>27.6</v>
      </c>
      <c r="N1393" s="82">
        <v>49.3</v>
      </c>
      <c r="O1393" s="44">
        <f t="shared" si="65"/>
        <v>1.6640267511439699</v>
      </c>
      <c r="P1393">
        <f t="shared" si="67"/>
        <v>28.8</v>
      </c>
      <c r="Q1393" s="111">
        <v>0.27400000000000002</v>
      </c>
      <c r="R1393">
        <v>0.59499999999999997</v>
      </c>
      <c r="S1393" s="65">
        <v>19</v>
      </c>
      <c r="T1393">
        <v>20</v>
      </c>
      <c r="U1393" t="s">
        <v>54</v>
      </c>
      <c r="V1393" t="s">
        <v>1254</v>
      </c>
    </row>
    <row r="1394" spans="1:23" ht="16" x14ac:dyDescent="0.2">
      <c r="A1394" s="1" t="s">
        <v>1606</v>
      </c>
      <c r="B1394" t="s">
        <v>33</v>
      </c>
      <c r="C1394" t="s">
        <v>28</v>
      </c>
      <c r="D1394" s="65" t="str">
        <f t="shared" si="66"/>
        <v>123_V_a</v>
      </c>
      <c r="E1394">
        <v>16</v>
      </c>
      <c r="F1394" t="s">
        <v>82</v>
      </c>
      <c r="G1394" t="s">
        <v>1607</v>
      </c>
      <c r="I1394">
        <v>1.13805984841028</v>
      </c>
      <c r="J1394" s="84">
        <v>12.8</v>
      </c>
      <c r="K1394" s="82">
        <v>11.5</v>
      </c>
      <c r="L1394" s="82">
        <v>17.399999999999999</v>
      </c>
      <c r="M1394" s="82">
        <v>14.8</v>
      </c>
      <c r="N1394" s="82">
        <v>6.5</v>
      </c>
      <c r="O1394" s="44">
        <f t="shared" si="65"/>
        <v>0.467905604719761</v>
      </c>
      <c r="P1394">
        <f t="shared" si="67"/>
        <v>12.6</v>
      </c>
      <c r="Q1394" s="111">
        <v>8.2000000000000003E-2</v>
      </c>
      <c r="R1394">
        <v>0.221</v>
      </c>
      <c r="S1394" s="65">
        <v>10</v>
      </c>
      <c r="T1394">
        <v>43</v>
      </c>
      <c r="U1394" s="47" t="s">
        <v>31</v>
      </c>
      <c r="V1394" t="s">
        <v>1254</v>
      </c>
    </row>
    <row r="1395" spans="1:23" ht="16" x14ac:dyDescent="0.2">
      <c r="A1395" s="5" t="s">
        <v>1606</v>
      </c>
      <c r="B1395" s="6" t="s">
        <v>36</v>
      </c>
      <c r="C1395" s="6" t="s">
        <v>28</v>
      </c>
      <c r="D1395" s="65" t="str">
        <f t="shared" si="66"/>
        <v>123_O_a</v>
      </c>
      <c r="E1395">
        <v>17</v>
      </c>
      <c r="F1395" t="s">
        <v>63</v>
      </c>
      <c r="G1395" t="s">
        <v>1608</v>
      </c>
      <c r="I1395">
        <v>0.98072094559870804</v>
      </c>
      <c r="J1395" s="84">
        <v>9.6</v>
      </c>
      <c r="K1395" s="97">
        <v>6.5</v>
      </c>
      <c r="L1395" s="82">
        <v>27.6</v>
      </c>
      <c r="M1395" s="82">
        <v>30.7</v>
      </c>
      <c r="N1395" s="82">
        <v>34.1</v>
      </c>
      <c r="O1395" s="44">
        <f t="shared" si="65"/>
        <v>8.1508960573476692</v>
      </c>
      <c r="P1395">
        <f t="shared" si="67"/>
        <v>21.7</v>
      </c>
      <c r="Q1395" s="111">
        <v>0.122</v>
      </c>
      <c r="R1395">
        <v>0.184</v>
      </c>
      <c r="S1395" s="65">
        <v>10</v>
      </c>
      <c r="T1395">
        <v>41</v>
      </c>
      <c r="U1395" s="47" t="s">
        <v>31</v>
      </c>
      <c r="V1395" t="s">
        <v>1254</v>
      </c>
    </row>
    <row r="1396" spans="1:23" x14ac:dyDescent="0.2">
      <c r="A1396" s="58" t="s">
        <v>1606</v>
      </c>
      <c r="B1396" s="59" t="s">
        <v>27</v>
      </c>
      <c r="C1396" s="59" t="s">
        <v>28</v>
      </c>
      <c r="D1396" s="68" t="str">
        <f t="shared" si="66"/>
        <v>123_S_a</v>
      </c>
      <c r="E1396" s="43">
        <v>23</v>
      </c>
      <c r="F1396" s="43" t="s">
        <v>49</v>
      </c>
      <c r="G1396" s="43" t="s">
        <v>1609</v>
      </c>
      <c r="H1396" s="43"/>
      <c r="I1396">
        <v>0</v>
      </c>
      <c r="J1396" s="82">
        <v>0.9</v>
      </c>
      <c r="K1396" s="82">
        <v>3.3</v>
      </c>
      <c r="L1396" s="82">
        <v>1</v>
      </c>
      <c r="M1396" s="82">
        <v>1</v>
      </c>
      <c r="N1396" s="82">
        <v>0.9</v>
      </c>
      <c r="O1396" s="56">
        <f t="shared" si="65"/>
        <v>0.87956989247311779</v>
      </c>
      <c r="P1396" s="43">
        <f t="shared" si="67"/>
        <v>1.4200000000000002</v>
      </c>
      <c r="Q1396" s="114">
        <v>5.0000000000000001E-3</v>
      </c>
      <c r="R1396" s="43">
        <v>1.4999999999999999E-2</v>
      </c>
      <c r="S1396" s="68">
        <v>6</v>
      </c>
      <c r="T1396" s="43">
        <v>49</v>
      </c>
      <c r="U1396" t="s">
        <v>31</v>
      </c>
      <c r="V1396" t="s">
        <v>1254</v>
      </c>
      <c r="W1396" s="43" t="s">
        <v>168</v>
      </c>
    </row>
    <row r="1397" spans="1:23" x14ac:dyDescent="0.2">
      <c r="A1397" s="1" t="s">
        <v>1606</v>
      </c>
      <c r="B1397" t="s">
        <v>33</v>
      </c>
      <c r="C1397" t="s">
        <v>38</v>
      </c>
      <c r="D1397" s="65" t="str">
        <f t="shared" si="66"/>
        <v>123_V_b</v>
      </c>
      <c r="E1397">
        <v>45</v>
      </c>
      <c r="F1397" t="s">
        <v>49</v>
      </c>
      <c r="G1397" t="s">
        <v>1610</v>
      </c>
      <c r="I1397">
        <v>1.6556500505220599</v>
      </c>
      <c r="J1397" s="82">
        <v>5.2</v>
      </c>
      <c r="K1397" s="82">
        <v>3.6</v>
      </c>
      <c r="L1397" s="82">
        <v>1.5</v>
      </c>
      <c r="M1397" s="82">
        <v>15.4</v>
      </c>
      <c r="N1397" s="82">
        <v>16.8</v>
      </c>
      <c r="O1397" s="44">
        <f t="shared" si="65"/>
        <v>5.9293125810635532</v>
      </c>
      <c r="P1397">
        <f t="shared" si="67"/>
        <v>8.5</v>
      </c>
      <c r="Q1397" s="111">
        <v>0.05</v>
      </c>
      <c r="R1397">
        <v>9.6000000000000002E-2</v>
      </c>
      <c r="S1397" s="65">
        <v>2</v>
      </c>
      <c r="T1397" s="43">
        <v>26</v>
      </c>
      <c r="U1397" t="s">
        <v>85</v>
      </c>
      <c r="V1397" t="s">
        <v>1254</v>
      </c>
    </row>
    <row r="1398" spans="1:23" x14ac:dyDescent="0.2">
      <c r="A1398" s="5" t="s">
        <v>1606</v>
      </c>
      <c r="B1398" s="6" t="s">
        <v>36</v>
      </c>
      <c r="C1398" s="6" t="s">
        <v>38</v>
      </c>
      <c r="D1398" s="65" t="str">
        <f t="shared" si="66"/>
        <v>123_O_b</v>
      </c>
      <c r="E1398">
        <v>56</v>
      </c>
      <c r="F1398" t="s">
        <v>70</v>
      </c>
      <c r="G1398" t="s">
        <v>1611</v>
      </c>
      <c r="I1398">
        <v>2.2788833746898298</v>
      </c>
      <c r="J1398" s="82">
        <v>4.2</v>
      </c>
      <c r="K1398" s="81">
        <v>1.9</v>
      </c>
      <c r="L1398" s="82">
        <v>25.1</v>
      </c>
      <c r="M1398" s="82">
        <v>27.8</v>
      </c>
      <c r="N1398" s="82">
        <v>35.700000000000003</v>
      </c>
      <c r="O1398" s="44">
        <f t="shared" si="65"/>
        <v>12.516384180790963</v>
      </c>
      <c r="P1398">
        <f t="shared" si="67"/>
        <v>18.940000000000001</v>
      </c>
      <c r="Q1398" s="111">
        <v>8.6999999999999994E-2</v>
      </c>
      <c r="R1398">
        <v>0.16200000000000001</v>
      </c>
      <c r="S1398" s="65">
        <v>11</v>
      </c>
      <c r="T1398">
        <v>7</v>
      </c>
      <c r="U1398" t="s">
        <v>31</v>
      </c>
      <c r="V1398" t="s">
        <v>1254</v>
      </c>
    </row>
    <row r="1399" spans="1:23" x14ac:dyDescent="0.2">
      <c r="A1399" s="5" t="s">
        <v>1606</v>
      </c>
      <c r="B1399" s="6" t="s">
        <v>27</v>
      </c>
      <c r="C1399" s="6" t="s">
        <v>38</v>
      </c>
      <c r="D1399" s="65" t="str">
        <f t="shared" si="66"/>
        <v>123_S_b</v>
      </c>
      <c r="E1399">
        <v>72</v>
      </c>
      <c r="F1399" t="s">
        <v>29</v>
      </c>
      <c r="G1399" t="s">
        <v>1612</v>
      </c>
      <c r="I1399">
        <v>1.68065325969187</v>
      </c>
      <c r="J1399" s="43">
        <v>1.1000000000000001</v>
      </c>
      <c r="K1399" s="82">
        <v>29.2</v>
      </c>
      <c r="L1399" s="43">
        <v>1.4</v>
      </c>
      <c r="M1399" s="82">
        <v>5.3</v>
      </c>
      <c r="N1399" s="82">
        <v>23.3</v>
      </c>
      <c r="O1399" s="44">
        <f t="shared" si="65"/>
        <v>19.518918918918924</v>
      </c>
      <c r="P1399">
        <f t="shared" si="67"/>
        <v>12.059999999999999</v>
      </c>
      <c r="Q1399" s="111">
        <v>2.4E-2</v>
      </c>
      <c r="R1399">
        <v>5.3999999999999999E-2</v>
      </c>
      <c r="S1399" s="65">
        <v>1</v>
      </c>
      <c r="T1399">
        <v>26</v>
      </c>
      <c r="U1399" t="s">
        <v>31</v>
      </c>
      <c r="V1399" t="s">
        <v>1254</v>
      </c>
    </row>
    <row r="1400" spans="1:23" x14ac:dyDescent="0.2">
      <c r="A1400" s="5" t="s">
        <v>1606</v>
      </c>
      <c r="B1400" s="6" t="s">
        <v>33</v>
      </c>
      <c r="C1400" s="6" t="s">
        <v>45</v>
      </c>
      <c r="D1400" s="65" t="str">
        <f t="shared" si="66"/>
        <v>123_V_c</v>
      </c>
      <c r="E1400">
        <v>77</v>
      </c>
      <c r="F1400" t="s">
        <v>39</v>
      </c>
      <c r="G1400" t="s">
        <v>1613</v>
      </c>
      <c r="I1400">
        <v>0.31676149947403698</v>
      </c>
      <c r="J1400" s="82">
        <v>15.4</v>
      </c>
      <c r="K1400" s="82">
        <v>10</v>
      </c>
      <c r="L1400" s="82">
        <v>7.6</v>
      </c>
      <c r="M1400" s="82">
        <v>15.8</v>
      </c>
      <c r="N1400" s="82">
        <v>23.2</v>
      </c>
      <c r="O1400" s="44">
        <f t="shared" si="65"/>
        <v>1.3442622950819716</v>
      </c>
      <c r="P1400">
        <f t="shared" si="67"/>
        <v>14.4</v>
      </c>
      <c r="Q1400" s="111">
        <v>3.5999999999999997E-2</v>
      </c>
      <c r="R1400">
        <v>0.09</v>
      </c>
      <c r="S1400" s="65">
        <v>1</v>
      </c>
      <c r="T1400">
        <v>58</v>
      </c>
      <c r="U1400" t="s">
        <v>51</v>
      </c>
      <c r="V1400" t="s">
        <v>1254</v>
      </c>
    </row>
    <row r="1401" spans="1:23" x14ac:dyDescent="0.2">
      <c r="A1401" s="5" t="s">
        <v>1606</v>
      </c>
      <c r="B1401" s="6" t="s">
        <v>27</v>
      </c>
      <c r="C1401" s="6" t="s">
        <v>45</v>
      </c>
      <c r="D1401" s="65" t="str">
        <f t="shared" si="66"/>
        <v>123_S_c</v>
      </c>
      <c r="E1401">
        <v>90</v>
      </c>
      <c r="F1401" t="s">
        <v>41</v>
      </c>
      <c r="G1401" t="s">
        <v>1614</v>
      </c>
      <c r="I1401">
        <v>0.95268708465761298</v>
      </c>
      <c r="J1401" s="82">
        <v>5.7</v>
      </c>
      <c r="K1401" s="82">
        <v>9.6999999999999993</v>
      </c>
      <c r="L1401" s="82">
        <v>23.9</v>
      </c>
      <c r="M1401" s="82">
        <v>12.4</v>
      </c>
      <c r="N1401" s="82">
        <v>21</v>
      </c>
      <c r="O1401" s="44">
        <f t="shared" si="65"/>
        <v>4.7279819471308864</v>
      </c>
      <c r="P1401">
        <f t="shared" si="67"/>
        <v>14.539999999999997</v>
      </c>
      <c r="Q1401" s="111">
        <v>6.9000000000000006E-2</v>
      </c>
      <c r="R1401">
        <v>0.14299999999999999</v>
      </c>
      <c r="S1401" s="65">
        <v>3</v>
      </c>
      <c r="T1401">
        <v>100</v>
      </c>
      <c r="U1401" t="s">
        <v>51</v>
      </c>
      <c r="V1401" t="s">
        <v>1254</v>
      </c>
    </row>
    <row r="1402" spans="1:23" x14ac:dyDescent="0.2">
      <c r="A1402" s="5" t="s">
        <v>1606</v>
      </c>
      <c r="B1402" s="6" t="s">
        <v>36</v>
      </c>
      <c r="C1402" s="6" t="s">
        <v>45</v>
      </c>
      <c r="D1402" s="65" t="str">
        <f t="shared" si="66"/>
        <v>123_O_c</v>
      </c>
      <c r="E1402">
        <v>107</v>
      </c>
      <c r="F1402" t="s">
        <v>68</v>
      </c>
      <c r="G1402" t="s">
        <v>1615</v>
      </c>
      <c r="I1402">
        <v>1.88820237130864</v>
      </c>
      <c r="J1402" s="82">
        <v>21.4</v>
      </c>
      <c r="K1402" s="82">
        <v>16.600000000000001</v>
      </c>
      <c r="L1402" s="82">
        <v>33.1</v>
      </c>
      <c r="M1402">
        <v>23.5</v>
      </c>
      <c r="N1402" s="82">
        <v>38.299999999999997</v>
      </c>
      <c r="O1402" s="44">
        <f t="shared" si="65"/>
        <v>2.0308668076110021</v>
      </c>
      <c r="P1402">
        <f t="shared" si="67"/>
        <v>26.579999999999995</v>
      </c>
      <c r="Q1402" s="111">
        <v>9.8000000000000004E-2</v>
      </c>
      <c r="R1402">
        <v>0.17199999999999999</v>
      </c>
      <c r="S1402" s="65">
        <v>16</v>
      </c>
      <c r="T1402">
        <v>8</v>
      </c>
      <c r="U1402" t="s">
        <v>72</v>
      </c>
      <c r="V1402" t="s">
        <v>1254</v>
      </c>
    </row>
    <row r="1403" spans="1:23" ht="16" x14ac:dyDescent="0.2">
      <c r="A1403" s="5" t="s">
        <v>1606</v>
      </c>
      <c r="B1403" s="6" t="s">
        <v>27</v>
      </c>
      <c r="C1403" s="6" t="s">
        <v>52</v>
      </c>
      <c r="D1403" s="65" t="str">
        <f t="shared" si="66"/>
        <v>123_S_d</v>
      </c>
      <c r="E1403">
        <v>129</v>
      </c>
      <c r="F1403" t="s">
        <v>82</v>
      </c>
      <c r="G1403" t="s">
        <v>1616</v>
      </c>
      <c r="H1403" t="s">
        <v>56</v>
      </c>
      <c r="I1403">
        <v>0</v>
      </c>
      <c r="J1403" s="82">
        <v>1.1000000000000001</v>
      </c>
      <c r="K1403" s="82">
        <v>1</v>
      </c>
      <c r="L1403" s="84">
        <v>1</v>
      </c>
      <c r="M1403">
        <v>1</v>
      </c>
      <c r="N1403" s="82">
        <v>0.9</v>
      </c>
      <c r="O1403" s="44">
        <f t="shared" si="65"/>
        <v>2.4390243902439068E-3</v>
      </c>
      <c r="P1403">
        <f t="shared" si="67"/>
        <v>1</v>
      </c>
      <c r="Q1403" s="111" t="s">
        <v>57</v>
      </c>
      <c r="R1403" t="s">
        <v>57</v>
      </c>
      <c r="S1403" s="65" t="s">
        <v>57</v>
      </c>
      <c r="T1403" t="s">
        <v>57</v>
      </c>
      <c r="V1403" t="s">
        <v>1254</v>
      </c>
      <c r="W1403" t="s">
        <v>67</v>
      </c>
    </row>
    <row r="1404" spans="1:23" ht="16" x14ac:dyDescent="0.2">
      <c r="A1404" s="5" t="s">
        <v>1606</v>
      </c>
      <c r="B1404" s="6" t="s">
        <v>36</v>
      </c>
      <c r="C1404" s="6" t="s">
        <v>52</v>
      </c>
      <c r="D1404" s="65" t="str">
        <f t="shared" si="66"/>
        <v>123_O_d</v>
      </c>
      <c r="E1404">
        <v>139</v>
      </c>
      <c r="F1404" t="s">
        <v>34</v>
      </c>
      <c r="G1404" t="s">
        <v>1617</v>
      </c>
      <c r="I1404">
        <v>4.0916566970090997</v>
      </c>
      <c r="J1404" s="82">
        <v>27.8</v>
      </c>
      <c r="K1404" s="82">
        <v>13.5</v>
      </c>
      <c r="L1404" s="84">
        <v>26.3</v>
      </c>
      <c r="M1404" s="82">
        <v>24.9</v>
      </c>
      <c r="N1404" s="82">
        <v>41.2</v>
      </c>
      <c r="O1404" s="44">
        <f t="shared" ref="O1404:O1467" si="68">VAR(J1404:M1404)/AVERAGE(J1404:M1404)</f>
        <v>1.8411171171171166</v>
      </c>
      <c r="P1404">
        <f t="shared" si="67"/>
        <v>26.74</v>
      </c>
      <c r="Q1404" s="111">
        <v>0.35599999999999998</v>
      </c>
      <c r="R1404">
        <v>0.48099999999999998</v>
      </c>
      <c r="S1404" s="65">
        <v>19</v>
      </c>
      <c r="T1404">
        <v>59</v>
      </c>
      <c r="U1404" t="s">
        <v>72</v>
      </c>
      <c r="V1404" t="s">
        <v>1254</v>
      </c>
    </row>
    <row r="1405" spans="1:23" ht="16" x14ac:dyDescent="0.2">
      <c r="A1405" s="5" t="s">
        <v>1606</v>
      </c>
      <c r="B1405" s="6" t="s">
        <v>33</v>
      </c>
      <c r="C1405" s="6" t="s">
        <v>52</v>
      </c>
      <c r="D1405" s="65" t="str">
        <f t="shared" si="66"/>
        <v>123_V_d</v>
      </c>
      <c r="E1405">
        <v>143</v>
      </c>
      <c r="F1405" t="s">
        <v>39</v>
      </c>
      <c r="G1405" t="s">
        <v>1618</v>
      </c>
      <c r="I1405">
        <v>1.9160116896100901</v>
      </c>
      <c r="J1405" s="82">
        <v>30.5</v>
      </c>
      <c r="K1405" s="82">
        <v>3.1</v>
      </c>
      <c r="L1405" s="84">
        <v>34.200000000000003</v>
      </c>
      <c r="M1405" s="82">
        <v>33.299999999999997</v>
      </c>
      <c r="N1405" s="82">
        <v>20.2</v>
      </c>
      <c r="O1405" s="44">
        <f t="shared" si="68"/>
        <v>8.7449719749422954</v>
      </c>
      <c r="P1405">
        <f t="shared" si="67"/>
        <v>24.26</v>
      </c>
      <c r="Q1405" s="111">
        <v>0.16700000000000001</v>
      </c>
      <c r="R1405">
        <v>0.39900000000000002</v>
      </c>
      <c r="S1405" s="65">
        <v>7</v>
      </c>
      <c r="T1405">
        <v>23</v>
      </c>
      <c r="U1405" t="s">
        <v>54</v>
      </c>
      <c r="V1405" t="s">
        <v>1254</v>
      </c>
    </row>
    <row r="1406" spans="1:23" ht="16" x14ac:dyDescent="0.2">
      <c r="A1406" s="5" t="s">
        <v>1619</v>
      </c>
      <c r="B1406" s="6" t="s">
        <v>36</v>
      </c>
      <c r="C1406" s="6" t="s">
        <v>28</v>
      </c>
      <c r="D1406" s="65" t="str">
        <f t="shared" si="66"/>
        <v>EXC_O_a</v>
      </c>
      <c r="E1406">
        <v>1</v>
      </c>
      <c r="F1406" t="s">
        <v>39</v>
      </c>
      <c r="G1406" t="s">
        <v>1620</v>
      </c>
      <c r="I1406">
        <v>0</v>
      </c>
      <c r="J1406" s="84">
        <v>1</v>
      </c>
      <c r="K1406" s="82">
        <v>1</v>
      </c>
      <c r="L1406" s="82">
        <v>1</v>
      </c>
      <c r="M1406" s="82">
        <v>1</v>
      </c>
      <c r="N1406" s="82">
        <v>0.9</v>
      </c>
      <c r="O1406" s="44">
        <f t="shared" si="68"/>
        <v>0</v>
      </c>
      <c r="P1406">
        <f t="shared" si="67"/>
        <v>0.98000000000000009</v>
      </c>
      <c r="Q1406" s="111">
        <v>8.0000000000000002E-3</v>
      </c>
      <c r="R1406">
        <v>6.0000000000000001E-3</v>
      </c>
      <c r="S1406" s="65">
        <v>1</v>
      </c>
      <c r="T1406">
        <v>12</v>
      </c>
      <c r="U1406" t="s">
        <v>31</v>
      </c>
      <c r="W1406" t="s">
        <v>168</v>
      </c>
    </row>
    <row r="1407" spans="1:23" ht="16" x14ac:dyDescent="0.2">
      <c r="A1407" s="5" t="s">
        <v>1619</v>
      </c>
      <c r="B1407" s="6" t="s">
        <v>27</v>
      </c>
      <c r="C1407" s="6" t="s">
        <v>28</v>
      </c>
      <c r="D1407" s="65" t="str">
        <f t="shared" si="66"/>
        <v>EXC_S_a</v>
      </c>
      <c r="E1407">
        <v>12</v>
      </c>
      <c r="F1407" t="s">
        <v>43</v>
      </c>
      <c r="G1407" t="s">
        <v>1621</v>
      </c>
      <c r="I1407">
        <v>0.27502502730251199</v>
      </c>
      <c r="J1407" s="84">
        <v>2.9</v>
      </c>
      <c r="K1407" s="82">
        <v>1</v>
      </c>
      <c r="L1407" s="82">
        <v>1</v>
      </c>
      <c r="M1407" s="82">
        <v>1</v>
      </c>
      <c r="N1407" s="82">
        <v>0.9</v>
      </c>
      <c r="O1407" s="44">
        <f t="shared" si="68"/>
        <v>0.61186440677966092</v>
      </c>
      <c r="P1407">
        <f t="shared" si="67"/>
        <v>1.36</v>
      </c>
      <c r="Q1407" s="111">
        <v>0</v>
      </c>
      <c r="R1407">
        <v>0.09</v>
      </c>
      <c r="S1407" s="65">
        <v>0</v>
      </c>
      <c r="T1407" s="47">
        <v>1</v>
      </c>
      <c r="U1407" s="47" t="s">
        <v>54</v>
      </c>
    </row>
    <row r="1408" spans="1:23" x14ac:dyDescent="0.2">
      <c r="A1408" s="1" t="s">
        <v>1619</v>
      </c>
      <c r="B1408" t="s">
        <v>33</v>
      </c>
      <c r="C1408" t="s">
        <v>28</v>
      </c>
      <c r="D1408" s="65" t="str">
        <f t="shared" si="66"/>
        <v>EXC_V_a</v>
      </c>
      <c r="E1408">
        <v>36</v>
      </c>
      <c r="F1408" t="s">
        <v>49</v>
      </c>
      <c r="G1408" t="s">
        <v>1622</v>
      </c>
      <c r="I1408">
        <v>0</v>
      </c>
      <c r="J1408" s="82">
        <v>1.7</v>
      </c>
      <c r="K1408" s="82">
        <v>1</v>
      </c>
      <c r="L1408" s="82">
        <v>1</v>
      </c>
      <c r="M1408" s="82">
        <v>0.9</v>
      </c>
      <c r="N1408" s="82">
        <v>0.9</v>
      </c>
      <c r="O1408" s="44">
        <f t="shared" si="68"/>
        <v>0.11884057971014444</v>
      </c>
      <c r="P1408">
        <f t="shared" si="67"/>
        <v>1.1000000000000001</v>
      </c>
      <c r="Q1408" s="111">
        <v>1.6E-2</v>
      </c>
      <c r="R1408">
        <v>3.0000000000000001E-3</v>
      </c>
      <c r="S1408" s="65">
        <v>0</v>
      </c>
      <c r="T1408">
        <v>0</v>
      </c>
      <c r="U1408" t="s">
        <v>31</v>
      </c>
    </row>
    <row r="1409" spans="1:23" x14ac:dyDescent="0.2">
      <c r="A1409" s="5" t="s">
        <v>1619</v>
      </c>
      <c r="B1409" s="6" t="s">
        <v>27</v>
      </c>
      <c r="C1409" s="6" t="s">
        <v>38</v>
      </c>
      <c r="D1409" s="65" t="str">
        <f t="shared" si="66"/>
        <v>EXC_S_b</v>
      </c>
      <c r="E1409">
        <v>39</v>
      </c>
      <c r="F1409" t="s">
        <v>68</v>
      </c>
      <c r="G1409" t="s">
        <v>1623</v>
      </c>
      <c r="I1409">
        <v>0</v>
      </c>
      <c r="J1409" s="82">
        <v>1</v>
      </c>
      <c r="K1409" s="82">
        <v>1</v>
      </c>
      <c r="L1409" s="82">
        <v>2.2000000000000002</v>
      </c>
      <c r="M1409" s="82">
        <v>1</v>
      </c>
      <c r="N1409" s="82">
        <v>2.7</v>
      </c>
      <c r="O1409" s="44">
        <f t="shared" si="68"/>
        <v>0.27692307692307694</v>
      </c>
      <c r="P1409">
        <f t="shared" si="67"/>
        <v>1.58</v>
      </c>
      <c r="Q1409" s="111">
        <v>0</v>
      </c>
      <c r="R1409">
        <v>1.7000000000000001E-2</v>
      </c>
      <c r="S1409" s="65">
        <v>0</v>
      </c>
      <c r="T1409">
        <v>0</v>
      </c>
      <c r="U1409" t="s">
        <v>31</v>
      </c>
    </row>
    <row r="1410" spans="1:23" x14ac:dyDescent="0.2">
      <c r="A1410" s="1" t="s">
        <v>1619</v>
      </c>
      <c r="B1410" t="s">
        <v>33</v>
      </c>
      <c r="C1410" t="s">
        <v>38</v>
      </c>
      <c r="D1410" s="65" t="str">
        <f t="shared" ref="D1410:D1473" si="69">A1410&amp;"_"&amp;B1410&amp;"_"&amp;C1410</f>
        <v>EXC_V_b</v>
      </c>
      <c r="E1410">
        <v>48</v>
      </c>
      <c r="F1410" t="s">
        <v>41</v>
      </c>
      <c r="G1410" t="s">
        <v>1624</v>
      </c>
      <c r="H1410" t="s">
        <v>56</v>
      </c>
      <c r="I1410">
        <v>0</v>
      </c>
      <c r="J1410" s="82">
        <v>1</v>
      </c>
      <c r="K1410" s="82">
        <v>0.9</v>
      </c>
      <c r="L1410" s="82">
        <v>1</v>
      </c>
      <c r="M1410" s="82">
        <v>0.9</v>
      </c>
      <c r="N1410" s="82">
        <v>0.9</v>
      </c>
      <c r="O1410" s="44">
        <f t="shared" si="68"/>
        <v>3.5087719298245602E-3</v>
      </c>
      <c r="P1410">
        <f t="shared" ref="P1410:P1475" si="70">AVERAGE(J1410:N1410)</f>
        <v>0.94000000000000006</v>
      </c>
      <c r="Q1410" s="111" t="s">
        <v>57</v>
      </c>
      <c r="R1410" t="s">
        <v>57</v>
      </c>
      <c r="S1410" s="65" t="s">
        <v>57</v>
      </c>
      <c r="T1410" t="s">
        <v>57</v>
      </c>
      <c r="U1410" t="s">
        <v>57</v>
      </c>
      <c r="W1410" t="s">
        <v>67</v>
      </c>
    </row>
    <row r="1411" spans="1:23" x14ac:dyDescent="0.2">
      <c r="A1411" s="5" t="s">
        <v>1619</v>
      </c>
      <c r="B1411" s="6" t="s">
        <v>36</v>
      </c>
      <c r="C1411" s="6" t="s">
        <v>38</v>
      </c>
      <c r="D1411" s="65" t="str">
        <f t="shared" si="69"/>
        <v>EXC_O_b</v>
      </c>
      <c r="E1411">
        <v>60</v>
      </c>
      <c r="F1411" t="s">
        <v>43</v>
      </c>
      <c r="G1411" t="s">
        <v>1625</v>
      </c>
      <c r="I1411">
        <v>0</v>
      </c>
      <c r="J1411" s="82">
        <v>1</v>
      </c>
      <c r="K1411" s="82">
        <v>1</v>
      </c>
      <c r="L1411" s="82">
        <v>38.200000000000003</v>
      </c>
      <c r="M1411" s="82">
        <v>1.1000000000000001</v>
      </c>
      <c r="N1411" s="82">
        <v>0.9</v>
      </c>
      <c r="O1411" s="44">
        <f t="shared" si="68"/>
        <v>33.447215496368038</v>
      </c>
      <c r="P1411">
        <f t="shared" si="70"/>
        <v>8.4400000000000013</v>
      </c>
      <c r="Q1411" s="111">
        <v>8.0000000000000002E-3</v>
      </c>
      <c r="R1411">
        <v>1E-3</v>
      </c>
      <c r="S1411" s="65">
        <v>0</v>
      </c>
      <c r="T1411">
        <v>0</v>
      </c>
      <c r="U1411" t="s">
        <v>31</v>
      </c>
    </row>
    <row r="1412" spans="1:23" x14ac:dyDescent="0.2">
      <c r="A1412" s="5" t="s">
        <v>1619</v>
      </c>
      <c r="B1412" s="6" t="s">
        <v>27</v>
      </c>
      <c r="C1412" s="6" t="s">
        <v>45</v>
      </c>
      <c r="D1412" s="65" t="str">
        <f t="shared" si="69"/>
        <v>EXC_S_c</v>
      </c>
      <c r="E1412">
        <v>91</v>
      </c>
      <c r="F1412" t="s">
        <v>49</v>
      </c>
      <c r="G1412" t="s">
        <v>1626</v>
      </c>
      <c r="H1412" t="s">
        <v>56</v>
      </c>
      <c r="I1412">
        <v>0</v>
      </c>
      <c r="J1412" s="82">
        <v>1.1000000000000001</v>
      </c>
      <c r="K1412" s="82">
        <v>1</v>
      </c>
      <c r="L1412" s="82">
        <v>0.9</v>
      </c>
      <c r="M1412">
        <v>1</v>
      </c>
      <c r="N1412" s="82">
        <v>0.9</v>
      </c>
      <c r="O1412" s="44">
        <f t="shared" si="68"/>
        <v>6.6666666666666706E-3</v>
      </c>
      <c r="P1412">
        <f t="shared" si="70"/>
        <v>0.98000000000000009</v>
      </c>
      <c r="Q1412" s="111" t="s">
        <v>57</v>
      </c>
      <c r="R1412" s="6" t="s">
        <v>57</v>
      </c>
      <c r="S1412" s="65" t="s">
        <v>57</v>
      </c>
      <c r="T1412" s="6" t="s">
        <v>57</v>
      </c>
      <c r="U1412" s="6" t="s">
        <v>57</v>
      </c>
      <c r="W1412" t="s">
        <v>67</v>
      </c>
    </row>
    <row r="1413" spans="1:23" x14ac:dyDescent="0.2">
      <c r="A1413" s="5" t="s">
        <v>1619</v>
      </c>
      <c r="B1413" s="6" t="s">
        <v>33</v>
      </c>
      <c r="C1413" s="6" t="s">
        <v>45</v>
      </c>
      <c r="D1413" s="65" t="str">
        <f t="shared" si="69"/>
        <v>EXC_V_c</v>
      </c>
      <c r="E1413">
        <v>92</v>
      </c>
      <c r="F1413" t="s">
        <v>29</v>
      </c>
      <c r="G1413" t="s">
        <v>1627</v>
      </c>
      <c r="I1413">
        <v>0</v>
      </c>
      <c r="J1413" s="82">
        <v>1.1000000000000001</v>
      </c>
      <c r="K1413" s="82">
        <v>1</v>
      </c>
      <c r="L1413" s="82">
        <v>1</v>
      </c>
      <c r="M1413">
        <v>1</v>
      </c>
      <c r="N1413" s="82">
        <v>1</v>
      </c>
      <c r="O1413" s="44">
        <f t="shared" si="68"/>
        <v>2.4390243902439068E-3</v>
      </c>
      <c r="P1413">
        <f t="shared" si="70"/>
        <v>1.02</v>
      </c>
      <c r="Q1413" s="111">
        <v>8.0000000000000002E-3</v>
      </c>
      <c r="R1413">
        <v>2E-3</v>
      </c>
      <c r="S1413" s="65">
        <v>0</v>
      </c>
      <c r="T1413">
        <v>0</v>
      </c>
      <c r="U1413" t="s">
        <v>54</v>
      </c>
    </row>
    <row r="1414" spans="1:23" x14ac:dyDescent="0.2">
      <c r="A1414" s="5" t="s">
        <v>1619</v>
      </c>
      <c r="B1414" s="6" t="s">
        <v>36</v>
      </c>
      <c r="C1414" s="6" t="s">
        <v>45</v>
      </c>
      <c r="D1414" s="65" t="str">
        <f t="shared" si="69"/>
        <v>EXC_O_c</v>
      </c>
      <c r="E1414">
        <v>108</v>
      </c>
      <c r="F1414" t="s">
        <v>34</v>
      </c>
      <c r="G1414" t="s">
        <v>1628</v>
      </c>
      <c r="I1414">
        <v>0.345248258818243</v>
      </c>
      <c r="J1414" s="82">
        <v>1</v>
      </c>
      <c r="K1414" s="82">
        <v>1</v>
      </c>
      <c r="L1414" s="82">
        <v>1</v>
      </c>
      <c r="M1414">
        <v>1</v>
      </c>
      <c r="N1414" s="82">
        <v>0.9</v>
      </c>
      <c r="O1414" s="44">
        <f t="shared" si="68"/>
        <v>0</v>
      </c>
      <c r="P1414">
        <f t="shared" si="70"/>
        <v>0.98000000000000009</v>
      </c>
      <c r="Q1414" s="111">
        <v>0.03</v>
      </c>
      <c r="R1414">
        <v>1E-3</v>
      </c>
      <c r="S1414" s="65">
        <v>0</v>
      </c>
      <c r="T1414">
        <v>0</v>
      </c>
      <c r="U1414" t="s">
        <v>47</v>
      </c>
      <c r="W1414" t="s">
        <v>1629</v>
      </c>
    </row>
    <row r="1415" spans="1:23" x14ac:dyDescent="0.2">
      <c r="A1415" s="5" t="s">
        <v>1619</v>
      </c>
      <c r="B1415" s="6" t="s">
        <v>27</v>
      </c>
      <c r="C1415" s="6" t="s">
        <v>52</v>
      </c>
      <c r="D1415" s="65" t="str">
        <f t="shared" si="69"/>
        <v>EXC_S_d</v>
      </c>
      <c r="E1415">
        <v>111</v>
      </c>
      <c r="F1415" t="s">
        <v>39</v>
      </c>
      <c r="G1415" t="s">
        <v>1630</v>
      </c>
      <c r="H1415" t="s">
        <v>56</v>
      </c>
      <c r="I1415">
        <v>0</v>
      </c>
      <c r="J1415" s="82">
        <v>1.1000000000000001</v>
      </c>
      <c r="K1415" s="82">
        <v>1</v>
      </c>
      <c r="L1415" s="82">
        <v>0.9</v>
      </c>
      <c r="M1415">
        <v>1</v>
      </c>
      <c r="N1415" s="82">
        <v>1</v>
      </c>
      <c r="O1415" s="44">
        <f t="shared" si="68"/>
        <v>6.6666666666666706E-3</v>
      </c>
      <c r="P1415">
        <f t="shared" si="70"/>
        <v>1</v>
      </c>
      <c r="R1415" t="s">
        <v>57</v>
      </c>
      <c r="S1415" s="65" t="s">
        <v>57</v>
      </c>
      <c r="T1415" t="s">
        <v>57</v>
      </c>
      <c r="U1415" t="s">
        <v>57</v>
      </c>
      <c r="W1415" t="s">
        <v>67</v>
      </c>
    </row>
    <row r="1416" spans="1:23" x14ac:dyDescent="0.2">
      <c r="A1416" s="5" t="s">
        <v>1619</v>
      </c>
      <c r="B1416" s="6" t="s">
        <v>33</v>
      </c>
      <c r="C1416" s="6" t="s">
        <v>52</v>
      </c>
      <c r="D1416" s="65" t="str">
        <f t="shared" si="69"/>
        <v>EXC_V_d</v>
      </c>
      <c r="E1416">
        <v>118</v>
      </c>
      <c r="F1416" t="s">
        <v>82</v>
      </c>
      <c r="G1416" t="s">
        <v>1631</v>
      </c>
      <c r="I1416">
        <v>0</v>
      </c>
      <c r="J1416" s="82">
        <v>1.1000000000000001</v>
      </c>
      <c r="K1416" s="82">
        <v>1</v>
      </c>
      <c r="L1416" s="82">
        <v>1</v>
      </c>
      <c r="M1416">
        <v>1</v>
      </c>
      <c r="N1416" s="82">
        <v>1</v>
      </c>
      <c r="O1416" s="44">
        <f t="shared" si="68"/>
        <v>2.4390243902439068E-3</v>
      </c>
      <c r="P1416">
        <f t="shared" si="70"/>
        <v>1.02</v>
      </c>
      <c r="Q1416" s="111">
        <v>1E-3</v>
      </c>
      <c r="R1416">
        <v>4.0000000000000001E-3</v>
      </c>
      <c r="S1416" s="65">
        <v>0</v>
      </c>
      <c r="T1416">
        <v>1</v>
      </c>
      <c r="U1416" t="s">
        <v>54</v>
      </c>
    </row>
    <row r="1417" spans="1:23" ht="16" x14ac:dyDescent="0.2">
      <c r="A1417" s="5" t="s">
        <v>1619</v>
      </c>
      <c r="B1417" s="6" t="s">
        <v>36</v>
      </c>
      <c r="C1417" s="6" t="s">
        <v>52</v>
      </c>
      <c r="D1417" s="65" t="str">
        <f t="shared" si="69"/>
        <v>EXC_O_d</v>
      </c>
      <c r="E1417">
        <v>127</v>
      </c>
      <c r="F1417" t="s">
        <v>41</v>
      </c>
      <c r="G1417" t="s">
        <v>1632</v>
      </c>
      <c r="I1417">
        <v>0</v>
      </c>
      <c r="J1417" s="82">
        <v>1.1000000000000001</v>
      </c>
      <c r="K1417" s="82">
        <v>1</v>
      </c>
      <c r="L1417" s="84">
        <v>1</v>
      </c>
      <c r="M1417">
        <v>6.3</v>
      </c>
      <c r="N1417" s="82">
        <v>4.5</v>
      </c>
      <c r="O1417" s="44">
        <f t="shared" si="68"/>
        <v>2.9517730496453893</v>
      </c>
      <c r="P1417">
        <f t="shared" si="70"/>
        <v>2.7800000000000002</v>
      </c>
      <c r="Q1417" s="111">
        <v>1.2E-2</v>
      </c>
      <c r="R1417">
        <v>2.7E-2</v>
      </c>
      <c r="S1417" s="65">
        <v>1</v>
      </c>
      <c r="T1417">
        <v>0</v>
      </c>
      <c r="U1417" t="s">
        <v>54</v>
      </c>
      <c r="W1417" t="s">
        <v>1633</v>
      </c>
    </row>
    <row r="1418" spans="1:23" ht="16" x14ac:dyDescent="0.2">
      <c r="A1418" s="1" t="s">
        <v>1634</v>
      </c>
      <c r="B1418" s="6" t="s">
        <v>36</v>
      </c>
      <c r="C1418" s="6" t="s">
        <v>28</v>
      </c>
      <c r="D1418" s="65" t="str">
        <f t="shared" si="69"/>
        <v>MC2_O_a</v>
      </c>
      <c r="E1418">
        <v>145</v>
      </c>
      <c r="F1418" t="s">
        <v>29</v>
      </c>
      <c r="G1418" t="s">
        <v>1635</v>
      </c>
      <c r="I1418">
        <v>2.6078332651809402</v>
      </c>
      <c r="J1418" s="82">
        <v>14.2</v>
      </c>
      <c r="K1418" s="82">
        <v>6.4</v>
      </c>
      <c r="L1418" s="84">
        <v>30.6</v>
      </c>
      <c r="M1418" s="82">
        <v>29.3</v>
      </c>
      <c r="N1418" s="82">
        <v>29.8</v>
      </c>
      <c r="O1418" s="44">
        <f t="shared" si="68"/>
        <v>6.9132505175983452</v>
      </c>
      <c r="P1418">
        <f t="shared" si="70"/>
        <v>22.06</v>
      </c>
      <c r="Q1418" s="111">
        <v>0.14000000000000001</v>
      </c>
      <c r="R1418">
        <v>0.16900000000000001</v>
      </c>
      <c r="S1418" s="65">
        <v>15</v>
      </c>
      <c r="T1418">
        <v>44</v>
      </c>
    </row>
    <row r="1419" spans="1:23" ht="16" x14ac:dyDescent="0.2">
      <c r="A1419" s="1" t="s">
        <v>1634</v>
      </c>
      <c r="B1419" s="6" t="s">
        <v>33</v>
      </c>
      <c r="C1419" s="6" t="s">
        <v>28</v>
      </c>
      <c r="D1419" s="65" t="str">
        <f t="shared" si="69"/>
        <v>MC2_V_a</v>
      </c>
      <c r="E1419">
        <v>145</v>
      </c>
      <c r="F1419" t="s">
        <v>41</v>
      </c>
      <c r="G1419" t="s">
        <v>1636</v>
      </c>
      <c r="I1419">
        <v>2.58835105295441</v>
      </c>
      <c r="J1419" s="82">
        <v>17.899999999999999</v>
      </c>
      <c r="K1419" s="82">
        <v>6.5</v>
      </c>
      <c r="L1419" s="84">
        <v>40.5</v>
      </c>
      <c r="M1419" s="82">
        <v>34.1</v>
      </c>
      <c r="N1419" s="82">
        <v>37</v>
      </c>
      <c r="O1419" s="44">
        <f t="shared" si="68"/>
        <v>9.6359595959595996</v>
      </c>
      <c r="P1419">
        <f t="shared" si="70"/>
        <v>27.2</v>
      </c>
      <c r="Q1419" s="111">
        <v>0.16</v>
      </c>
      <c r="R1419">
        <v>0.251</v>
      </c>
      <c r="S1419" s="65">
        <v>8</v>
      </c>
      <c r="T1419">
        <v>44</v>
      </c>
    </row>
    <row r="1420" spans="1:23" ht="16" x14ac:dyDescent="0.2">
      <c r="A1420" s="1" t="s">
        <v>1634</v>
      </c>
      <c r="B1420" s="6" t="s">
        <v>36</v>
      </c>
      <c r="C1420" s="6" t="s">
        <v>38</v>
      </c>
      <c r="D1420" s="65" t="str">
        <f t="shared" si="69"/>
        <v>MC2_O_b</v>
      </c>
      <c r="E1420">
        <v>146</v>
      </c>
      <c r="F1420" t="s">
        <v>29</v>
      </c>
      <c r="G1420" t="s">
        <v>1637</v>
      </c>
      <c r="I1420">
        <v>5.1903336392592996</v>
      </c>
      <c r="J1420" s="82">
        <v>34.4</v>
      </c>
      <c r="K1420" s="82">
        <v>38.799999999999997</v>
      </c>
      <c r="L1420" s="84">
        <v>44.5</v>
      </c>
      <c r="M1420" s="82">
        <v>35.200000000000003</v>
      </c>
      <c r="N1420" t="s">
        <v>57</v>
      </c>
      <c r="O1420" s="44">
        <f t="shared" si="68"/>
        <v>0.55362982341400568</v>
      </c>
      <c r="P1420">
        <f t="shared" si="70"/>
        <v>38.224999999999994</v>
      </c>
      <c r="Q1420" s="111">
        <v>0.30099999999999999</v>
      </c>
      <c r="R1420">
        <v>0.33</v>
      </c>
      <c r="S1420" s="65">
        <v>26</v>
      </c>
      <c r="T1420">
        <v>26</v>
      </c>
    </row>
    <row r="1421" spans="1:23" ht="16" x14ac:dyDescent="0.2">
      <c r="A1421" s="1" t="s">
        <v>1634</v>
      </c>
      <c r="B1421" s="6" t="s">
        <v>33</v>
      </c>
      <c r="C1421" s="6" t="s">
        <v>38</v>
      </c>
      <c r="D1421" s="65" t="str">
        <f t="shared" si="69"/>
        <v>MC2_V_b</v>
      </c>
      <c r="E1421">
        <v>146</v>
      </c>
      <c r="F1421" t="s">
        <v>68</v>
      </c>
      <c r="G1421" t="s">
        <v>1638</v>
      </c>
      <c r="I1421">
        <v>1.52172704205582</v>
      </c>
      <c r="J1421" s="82">
        <v>25.9</v>
      </c>
      <c r="K1421" s="82">
        <v>10.3</v>
      </c>
      <c r="L1421" s="84">
        <v>26.7</v>
      </c>
      <c r="M1421" s="82">
        <v>29.5</v>
      </c>
      <c r="N1421" t="s">
        <v>57</v>
      </c>
      <c r="O1421" s="44">
        <f t="shared" si="68"/>
        <v>3.255411255411254</v>
      </c>
      <c r="P1421">
        <f t="shared" si="70"/>
        <v>23.1</v>
      </c>
      <c r="Q1421" s="111">
        <v>0.19500000000000001</v>
      </c>
      <c r="R1421">
        <v>0.16900000000000001</v>
      </c>
      <c r="S1421" s="65">
        <v>13</v>
      </c>
      <c r="T1421">
        <v>21</v>
      </c>
    </row>
    <row r="1422" spans="1:23" ht="16" x14ac:dyDescent="0.2">
      <c r="A1422" s="5" t="s">
        <v>1634</v>
      </c>
      <c r="B1422" s="6" t="s">
        <v>36</v>
      </c>
      <c r="C1422" s="6" t="s">
        <v>45</v>
      </c>
      <c r="D1422" s="65" t="str">
        <f t="shared" si="69"/>
        <v>MC2_O_c</v>
      </c>
      <c r="E1422">
        <v>147</v>
      </c>
      <c r="F1422" t="s">
        <v>34</v>
      </c>
      <c r="G1422" t="s">
        <v>1639</v>
      </c>
      <c r="I1422">
        <v>3.9877516912057298</v>
      </c>
      <c r="J1422" s="82">
        <v>46.3</v>
      </c>
      <c r="K1422" s="82">
        <v>38.299999999999997</v>
      </c>
      <c r="L1422" s="84">
        <v>47.6</v>
      </c>
      <c r="M1422" s="82">
        <v>43.3</v>
      </c>
      <c r="N1422" s="82">
        <v>44.9</v>
      </c>
      <c r="O1422" s="44">
        <f t="shared" si="68"/>
        <v>0.3887369420702757</v>
      </c>
      <c r="P1422">
        <f t="shared" si="70"/>
        <v>44.08</v>
      </c>
      <c r="Q1422" s="111">
        <v>0.33100000000000002</v>
      </c>
      <c r="R1422">
        <v>0.36499999999999999</v>
      </c>
      <c r="S1422" s="65">
        <v>13</v>
      </c>
      <c r="T1422">
        <v>7</v>
      </c>
    </row>
    <row r="1423" spans="1:23" ht="16" x14ac:dyDescent="0.2">
      <c r="A1423" s="5" t="s">
        <v>1634</v>
      </c>
      <c r="B1423" s="6" t="s">
        <v>33</v>
      </c>
      <c r="C1423" s="6" t="s">
        <v>45</v>
      </c>
      <c r="D1423" s="65" t="str">
        <f t="shared" si="69"/>
        <v>MC2_V_c</v>
      </c>
      <c r="E1423">
        <v>147</v>
      </c>
      <c r="F1423" t="s">
        <v>49</v>
      </c>
      <c r="G1423" t="s">
        <v>1640</v>
      </c>
      <c r="I1423">
        <v>0.95432550736171895</v>
      </c>
      <c r="J1423" s="82">
        <v>25</v>
      </c>
      <c r="K1423" s="82">
        <v>25.5</v>
      </c>
      <c r="L1423" s="84">
        <v>30.6</v>
      </c>
      <c r="M1423" s="82">
        <v>25.5</v>
      </c>
      <c r="N1423" s="82">
        <v>34.700000000000003</v>
      </c>
      <c r="O1423" s="44">
        <f t="shared" si="68"/>
        <v>0.26228893058161368</v>
      </c>
      <c r="P1423">
        <f t="shared" si="70"/>
        <v>28.26</v>
      </c>
      <c r="Q1423" s="111">
        <v>0.20599999999999999</v>
      </c>
      <c r="R1423">
        <v>0.24199999999999999</v>
      </c>
      <c r="S1423" s="65">
        <v>15</v>
      </c>
      <c r="T1423">
        <v>13</v>
      </c>
    </row>
    <row r="1424" spans="1:23" ht="16" x14ac:dyDescent="0.2">
      <c r="A1424" s="1" t="s">
        <v>1634</v>
      </c>
      <c r="B1424" s="6" t="s">
        <v>33</v>
      </c>
      <c r="C1424" s="6" t="s">
        <v>1641</v>
      </c>
      <c r="D1424" s="65" t="str">
        <f t="shared" si="69"/>
        <v>MC2_V_g</v>
      </c>
      <c r="E1424">
        <v>147</v>
      </c>
      <c r="F1424" t="s">
        <v>41</v>
      </c>
      <c r="G1424" t="s">
        <v>1642</v>
      </c>
      <c r="I1424">
        <v>2.27458814166335</v>
      </c>
      <c r="J1424" s="82">
        <v>8.5</v>
      </c>
      <c r="K1424" s="82">
        <v>27.2</v>
      </c>
      <c r="L1424" s="84">
        <v>22.2</v>
      </c>
      <c r="M1424" s="82">
        <v>22.8</v>
      </c>
      <c r="N1424" s="82">
        <v>28.1</v>
      </c>
      <c r="O1424" s="44">
        <f t="shared" si="68"/>
        <v>3.2490293267244912</v>
      </c>
      <c r="P1424">
        <f t="shared" si="70"/>
        <v>21.76</v>
      </c>
      <c r="Q1424" s="114" t="s">
        <v>57</v>
      </c>
      <c r="R1424">
        <v>0.20799999999999999</v>
      </c>
      <c r="S1424" s="65" t="s">
        <v>57</v>
      </c>
      <c r="T1424" t="s">
        <v>57</v>
      </c>
      <c r="W1424" t="s">
        <v>1643</v>
      </c>
    </row>
    <row r="1425" spans="1:23" ht="16" x14ac:dyDescent="0.2">
      <c r="A1425" s="5" t="s">
        <v>1634</v>
      </c>
      <c r="B1425" s="6" t="s">
        <v>33</v>
      </c>
      <c r="C1425" s="6" t="s">
        <v>52</v>
      </c>
      <c r="D1425" s="65" t="str">
        <f t="shared" si="69"/>
        <v>MC2_V_d</v>
      </c>
      <c r="E1425">
        <v>148</v>
      </c>
      <c r="F1425" t="s">
        <v>34</v>
      </c>
      <c r="G1425" t="s">
        <v>1644</v>
      </c>
      <c r="I1425">
        <v>3.3107932033929899</v>
      </c>
      <c r="J1425" s="82">
        <v>29.6</v>
      </c>
      <c r="K1425" s="82">
        <v>32.6</v>
      </c>
      <c r="L1425" s="84">
        <v>16.3</v>
      </c>
      <c r="M1425" s="82">
        <v>30.3</v>
      </c>
      <c r="N1425" s="82">
        <v>39.700000000000003</v>
      </c>
      <c r="O1425" s="44">
        <f t="shared" si="68"/>
        <v>2.0017156862745171</v>
      </c>
      <c r="P1425">
        <f t="shared" si="70"/>
        <v>29.7</v>
      </c>
      <c r="Q1425" s="111">
        <v>0.25700000000000001</v>
      </c>
      <c r="R1425">
        <v>0.36299999999999999</v>
      </c>
      <c r="S1425" s="65">
        <v>15</v>
      </c>
      <c r="T1425">
        <v>5</v>
      </c>
    </row>
    <row r="1426" spans="1:23" ht="16" x14ac:dyDescent="0.2">
      <c r="A1426" s="1" t="s">
        <v>1634</v>
      </c>
      <c r="B1426" s="6" t="s">
        <v>27</v>
      </c>
      <c r="C1426" s="6" t="s">
        <v>1645</v>
      </c>
      <c r="D1426" s="65" t="str">
        <f t="shared" si="69"/>
        <v>MC2_S_h</v>
      </c>
      <c r="E1426">
        <v>148</v>
      </c>
      <c r="F1426" t="s">
        <v>49</v>
      </c>
      <c r="G1426" t="s">
        <v>1646</v>
      </c>
      <c r="H1426" t="s">
        <v>1647</v>
      </c>
      <c r="I1426">
        <v>0</v>
      </c>
      <c r="J1426" s="82">
        <v>1.1000000000000001</v>
      </c>
      <c r="K1426" s="82">
        <v>1</v>
      </c>
      <c r="L1426" s="84">
        <v>0.9</v>
      </c>
      <c r="M1426" s="82">
        <v>1</v>
      </c>
      <c r="N1426" s="82">
        <v>1</v>
      </c>
      <c r="O1426" s="44">
        <f t="shared" si="68"/>
        <v>6.6666666666666706E-3</v>
      </c>
      <c r="P1426">
        <f t="shared" si="70"/>
        <v>1</v>
      </c>
      <c r="Q1426" s="111" t="s">
        <v>57</v>
      </c>
      <c r="R1426" t="s">
        <v>57</v>
      </c>
      <c r="S1426" s="65" t="s">
        <v>57</v>
      </c>
      <c r="T1426" t="s">
        <v>57</v>
      </c>
      <c r="W1426" t="s">
        <v>67</v>
      </c>
    </row>
    <row r="1427" spans="1:23" ht="16" x14ac:dyDescent="0.2">
      <c r="A1427" s="5" t="s">
        <v>1634</v>
      </c>
      <c r="B1427" s="6" t="s">
        <v>36</v>
      </c>
      <c r="C1427" s="6" t="s">
        <v>52</v>
      </c>
      <c r="D1427" s="65" t="str">
        <f t="shared" si="69"/>
        <v>MC2_O_d</v>
      </c>
      <c r="E1427">
        <v>148</v>
      </c>
      <c r="F1427" t="s">
        <v>41</v>
      </c>
      <c r="G1427" t="s">
        <v>1648</v>
      </c>
      <c r="I1427">
        <v>3.7943813651713798</v>
      </c>
      <c r="J1427" s="82">
        <v>34.6</v>
      </c>
      <c r="K1427" s="82">
        <v>37.799999999999997</v>
      </c>
      <c r="L1427" s="84">
        <v>33.799999999999997</v>
      </c>
      <c r="M1427" s="82">
        <v>42.2</v>
      </c>
      <c r="N1427" s="82">
        <v>36.200000000000003</v>
      </c>
      <c r="O1427" s="44">
        <f t="shared" si="68"/>
        <v>0.3920934411500453</v>
      </c>
      <c r="P1427">
        <f t="shared" si="70"/>
        <v>36.92</v>
      </c>
      <c r="Q1427" s="111">
        <v>0.23400000000000001</v>
      </c>
      <c r="R1427">
        <v>0.26100000000000001</v>
      </c>
      <c r="S1427" s="65">
        <v>11</v>
      </c>
      <c r="T1427">
        <v>63</v>
      </c>
    </row>
    <row r="1428" spans="1:23" ht="16" x14ac:dyDescent="0.2">
      <c r="A1428" s="5" t="s">
        <v>1649</v>
      </c>
      <c r="B1428" s="6" t="s">
        <v>36</v>
      </c>
      <c r="C1428" s="6" t="s">
        <v>28</v>
      </c>
      <c r="D1428" s="65" t="str">
        <f t="shared" si="69"/>
        <v>MIX_O_a</v>
      </c>
      <c r="E1428">
        <v>145</v>
      </c>
      <c r="F1428" t="s">
        <v>34</v>
      </c>
      <c r="G1428" t="s">
        <v>1650</v>
      </c>
      <c r="I1428">
        <v>3.7832600695154399</v>
      </c>
      <c r="J1428" s="82">
        <v>29</v>
      </c>
      <c r="K1428" s="82">
        <v>51.8</v>
      </c>
      <c r="L1428" s="84">
        <v>25.7</v>
      </c>
      <c r="M1428" s="82">
        <v>52.9</v>
      </c>
      <c r="N1428" s="82">
        <v>48.8</v>
      </c>
      <c r="O1428" s="44">
        <f t="shared" si="68"/>
        <v>5.2785445420326162</v>
      </c>
      <c r="P1428">
        <f t="shared" si="70"/>
        <v>41.64</v>
      </c>
      <c r="Q1428" s="111">
        <v>0.20599999999999999</v>
      </c>
      <c r="R1428">
        <v>0.317</v>
      </c>
      <c r="S1428" s="65">
        <v>11</v>
      </c>
      <c r="T1428">
        <v>8</v>
      </c>
    </row>
    <row r="1429" spans="1:23" ht="16" x14ac:dyDescent="0.2">
      <c r="A1429" s="1" t="s">
        <v>1649</v>
      </c>
      <c r="B1429" t="s">
        <v>33</v>
      </c>
      <c r="C1429" t="s">
        <v>28</v>
      </c>
      <c r="D1429" s="65" t="str">
        <f t="shared" si="69"/>
        <v>MIX_V_a</v>
      </c>
      <c r="E1429">
        <v>145</v>
      </c>
      <c r="F1429" t="s">
        <v>70</v>
      </c>
      <c r="G1429" t="s">
        <v>1651</v>
      </c>
      <c r="I1429">
        <v>2.1885018401145002</v>
      </c>
      <c r="J1429" s="82">
        <v>7.7</v>
      </c>
      <c r="K1429" s="82">
        <v>5.3</v>
      </c>
      <c r="L1429" s="84">
        <v>10.199999999999999</v>
      </c>
      <c r="M1429" s="82">
        <v>25.8</v>
      </c>
      <c r="N1429" s="82">
        <v>32.5</v>
      </c>
      <c r="O1429" s="44">
        <f t="shared" si="68"/>
        <v>6.9880272108843515</v>
      </c>
      <c r="P1429">
        <f t="shared" si="70"/>
        <v>16.3</v>
      </c>
      <c r="Q1429" s="111">
        <v>7.1999999999999995E-2</v>
      </c>
      <c r="R1429">
        <v>0.19500000000000001</v>
      </c>
      <c r="S1429" s="65">
        <v>7</v>
      </c>
      <c r="T1429">
        <v>19</v>
      </c>
    </row>
    <row r="1430" spans="1:23" ht="16" x14ac:dyDescent="0.2">
      <c r="A1430" s="1" t="s">
        <v>1649</v>
      </c>
      <c r="B1430" s="6" t="s">
        <v>36</v>
      </c>
      <c r="C1430" s="6" t="s">
        <v>1641</v>
      </c>
      <c r="D1430" s="65" t="str">
        <f t="shared" ref="D1430:D1449" si="71">A1430&amp;"_"&amp;B1430&amp;"_"&amp;C1430</f>
        <v>MIX_O_g</v>
      </c>
      <c r="E1430">
        <v>145</v>
      </c>
      <c r="F1430" t="s">
        <v>68</v>
      </c>
      <c r="G1430" t="s">
        <v>1652</v>
      </c>
      <c r="I1430">
        <v>1.3220072582294</v>
      </c>
      <c r="J1430" s="82">
        <v>10.9</v>
      </c>
      <c r="K1430" s="82">
        <v>26.7</v>
      </c>
      <c r="L1430" s="84">
        <v>27.4</v>
      </c>
      <c r="M1430" s="82">
        <v>26.8</v>
      </c>
      <c r="N1430" s="82">
        <v>30.5</v>
      </c>
      <c r="O1430" s="44">
        <f t="shared" si="68"/>
        <v>2.8161220043572963</v>
      </c>
      <c r="P1430">
        <f t="shared" si="70"/>
        <v>24.46</v>
      </c>
      <c r="Q1430" s="111">
        <v>0.11</v>
      </c>
      <c r="R1430">
        <v>0.28999999999999998</v>
      </c>
      <c r="S1430" s="65">
        <v>12</v>
      </c>
      <c r="T1430">
        <v>14</v>
      </c>
    </row>
    <row r="1431" spans="1:23" ht="16" x14ac:dyDescent="0.2">
      <c r="A1431" s="5" t="s">
        <v>1649</v>
      </c>
      <c r="B1431" s="6" t="s">
        <v>36</v>
      </c>
      <c r="C1431" s="6" t="s">
        <v>1653</v>
      </c>
      <c r="D1431" s="65" t="str">
        <f t="shared" si="71"/>
        <v>MIX_O_e</v>
      </c>
      <c r="E1431">
        <v>146</v>
      </c>
      <c r="F1431" t="s">
        <v>70</v>
      </c>
      <c r="G1431" t="s">
        <v>1654</v>
      </c>
      <c r="I1431">
        <v>5.0338325495808602</v>
      </c>
      <c r="J1431" s="82">
        <v>34.4</v>
      </c>
      <c r="K1431" s="82">
        <v>38.799999999999997</v>
      </c>
      <c r="L1431" s="84">
        <v>45.5</v>
      </c>
      <c r="M1431" s="82">
        <v>44.8</v>
      </c>
      <c r="N1431" s="82">
        <v>46.2</v>
      </c>
      <c r="O1431" s="44">
        <f t="shared" si="68"/>
        <v>0.6770846075433169</v>
      </c>
      <c r="P1431">
        <f t="shared" si="70"/>
        <v>41.94</v>
      </c>
      <c r="Q1431" s="111">
        <v>0.32800000000000001</v>
      </c>
      <c r="R1431">
        <v>0.41299999999999998</v>
      </c>
      <c r="S1431" s="65">
        <v>16</v>
      </c>
      <c r="T1431">
        <v>13</v>
      </c>
    </row>
    <row r="1432" spans="1:23" ht="16" x14ac:dyDescent="0.2">
      <c r="A1432" s="1" t="s">
        <v>1649</v>
      </c>
      <c r="B1432" s="6" t="s">
        <v>36</v>
      </c>
      <c r="C1432" s="6" t="s">
        <v>38</v>
      </c>
      <c r="D1432" s="65" t="str">
        <f t="shared" si="71"/>
        <v>MIX_O_b</v>
      </c>
      <c r="E1432">
        <v>146</v>
      </c>
      <c r="F1432" t="s">
        <v>41</v>
      </c>
      <c r="G1432" t="s">
        <v>1655</v>
      </c>
      <c r="I1432">
        <v>2.7859563483950098</v>
      </c>
      <c r="J1432" s="82">
        <v>31.3</v>
      </c>
      <c r="K1432" s="82">
        <v>33.4</v>
      </c>
      <c r="L1432" s="84">
        <v>29.6</v>
      </c>
      <c r="M1432" s="82">
        <v>26.9</v>
      </c>
      <c r="N1432" s="82">
        <v>23.8</v>
      </c>
      <c r="O1432" s="44">
        <f t="shared" si="68"/>
        <v>0.24928492849284919</v>
      </c>
      <c r="P1432">
        <f t="shared" si="70"/>
        <v>29.000000000000007</v>
      </c>
      <c r="Q1432" s="111">
        <v>0.11700000000000001</v>
      </c>
      <c r="R1432">
        <v>0.188</v>
      </c>
      <c r="S1432" s="65">
        <v>12</v>
      </c>
      <c r="T1432">
        <v>44</v>
      </c>
    </row>
    <row r="1433" spans="1:23" ht="16" x14ac:dyDescent="0.2">
      <c r="A1433" s="5" t="s">
        <v>1649</v>
      </c>
      <c r="B1433" s="6" t="s">
        <v>36</v>
      </c>
      <c r="C1433" s="6" t="s">
        <v>45</v>
      </c>
      <c r="D1433" s="65" t="str">
        <f t="shared" si="71"/>
        <v>MIX_O_c</v>
      </c>
      <c r="E1433">
        <v>147</v>
      </c>
      <c r="F1433" t="s">
        <v>39</v>
      </c>
      <c r="G1433" t="s">
        <v>1656</v>
      </c>
      <c r="I1433">
        <v>3.7433679206706199</v>
      </c>
      <c r="J1433" s="82">
        <v>27.2</v>
      </c>
      <c r="K1433" s="82">
        <v>29.8</v>
      </c>
      <c r="L1433" s="84">
        <v>12</v>
      </c>
      <c r="M1433" s="82">
        <v>37.799999999999997</v>
      </c>
      <c r="N1433" s="82">
        <v>27.9</v>
      </c>
      <c r="O1433" s="44">
        <f t="shared" si="68"/>
        <v>4.3590511860174761</v>
      </c>
      <c r="P1433">
        <f t="shared" si="70"/>
        <v>26.939999999999998</v>
      </c>
      <c r="Q1433" s="111">
        <v>0.23400000000000001</v>
      </c>
      <c r="R1433">
        <v>0.30199999999999999</v>
      </c>
      <c r="S1433" s="65">
        <v>23</v>
      </c>
      <c r="T1433">
        <v>49</v>
      </c>
    </row>
    <row r="1434" spans="1:23" ht="16" x14ac:dyDescent="0.2">
      <c r="A1434" s="5" t="s">
        <v>1649</v>
      </c>
      <c r="B1434" s="6" t="s">
        <v>36</v>
      </c>
      <c r="C1434" s="6" t="s">
        <v>1657</v>
      </c>
      <c r="D1434" s="65" t="str">
        <f t="shared" si="71"/>
        <v>MIX_O_f</v>
      </c>
      <c r="E1434">
        <v>147</v>
      </c>
      <c r="F1434" t="s">
        <v>63</v>
      </c>
      <c r="G1434" t="s">
        <v>1658</v>
      </c>
      <c r="I1434">
        <v>2.5829185337148401</v>
      </c>
      <c r="J1434" s="82">
        <v>1.7</v>
      </c>
      <c r="K1434" s="82">
        <v>2.6</v>
      </c>
      <c r="L1434" s="84">
        <v>2.6</v>
      </c>
      <c r="M1434" s="82">
        <v>5.7</v>
      </c>
      <c r="N1434" t="s">
        <v>57</v>
      </c>
      <c r="O1434" s="44">
        <f t="shared" si="68"/>
        <v>0.97460317460317392</v>
      </c>
      <c r="P1434">
        <f t="shared" si="70"/>
        <v>3.1500000000000004</v>
      </c>
      <c r="Q1434" s="111">
        <v>4.4999999999999998E-2</v>
      </c>
      <c r="R1434">
        <v>0.08</v>
      </c>
      <c r="S1434" s="65">
        <v>2</v>
      </c>
      <c r="T1434">
        <v>24</v>
      </c>
    </row>
    <row r="1435" spans="1:23" ht="16" x14ac:dyDescent="0.2">
      <c r="A1435" s="5" t="s">
        <v>1649</v>
      </c>
      <c r="B1435" s="6" t="s">
        <v>36</v>
      </c>
      <c r="C1435" s="6" t="s">
        <v>52</v>
      </c>
      <c r="D1435" s="65" t="str">
        <f t="shared" si="71"/>
        <v>MIX_O_d</v>
      </c>
      <c r="E1435">
        <v>148</v>
      </c>
      <c r="F1435" t="s">
        <v>39</v>
      </c>
      <c r="G1435" t="s">
        <v>1659</v>
      </c>
      <c r="I1435">
        <v>4.4172218323165797</v>
      </c>
      <c r="J1435" s="82">
        <v>39.9</v>
      </c>
      <c r="K1435" s="82">
        <v>22.7</v>
      </c>
      <c r="L1435" s="84">
        <v>32.5</v>
      </c>
      <c r="M1435" s="82">
        <v>32.9</v>
      </c>
      <c r="N1435" t="s">
        <v>57</v>
      </c>
      <c r="O1435" s="44">
        <f t="shared" si="68"/>
        <v>1.5620833333333337</v>
      </c>
      <c r="P1435">
        <f t="shared" si="70"/>
        <v>32</v>
      </c>
      <c r="Q1435" s="111">
        <v>0.371</v>
      </c>
      <c r="R1435">
        <v>0.52100000000000002</v>
      </c>
      <c r="S1435" s="65">
        <v>35</v>
      </c>
      <c r="T1435">
        <v>77</v>
      </c>
    </row>
    <row r="1436" spans="1:23" ht="16" x14ac:dyDescent="0.2">
      <c r="A1436" s="5" t="s">
        <v>1649</v>
      </c>
      <c r="B1436" s="6" t="s">
        <v>36</v>
      </c>
      <c r="C1436" s="6" t="s">
        <v>1645</v>
      </c>
      <c r="D1436" s="65" t="str">
        <f t="shared" si="71"/>
        <v>MIX_O_h</v>
      </c>
      <c r="E1436">
        <v>148</v>
      </c>
      <c r="F1436" t="s">
        <v>43</v>
      </c>
      <c r="G1436" t="s">
        <v>1660</v>
      </c>
      <c r="I1436">
        <v>3.10224585650273</v>
      </c>
      <c r="J1436" s="82">
        <v>28.8</v>
      </c>
      <c r="K1436" s="82">
        <v>37.799999999999997</v>
      </c>
      <c r="L1436" s="84">
        <v>40.9</v>
      </c>
      <c r="M1436" s="82">
        <v>44.7</v>
      </c>
      <c r="N1436" t="s">
        <v>57</v>
      </c>
      <c r="O1436" s="44">
        <f t="shared" si="68"/>
        <v>1.2086727989487618</v>
      </c>
      <c r="P1436">
        <f t="shared" si="70"/>
        <v>38.049999999999997</v>
      </c>
      <c r="Q1436" s="111">
        <v>0.20799999999999999</v>
      </c>
      <c r="R1436">
        <v>0.24099999999999999</v>
      </c>
      <c r="S1436" s="65">
        <v>15</v>
      </c>
      <c r="T1436">
        <v>22</v>
      </c>
    </row>
    <row r="1437" spans="1:23" ht="16" x14ac:dyDescent="0.2">
      <c r="A1437" s="5" t="s">
        <v>1649</v>
      </c>
      <c r="B1437" s="6" t="s">
        <v>27</v>
      </c>
      <c r="C1437" s="6" t="s">
        <v>1653</v>
      </c>
      <c r="D1437" s="65" t="str">
        <f t="shared" si="71"/>
        <v>MIX_S_e</v>
      </c>
      <c r="E1437">
        <v>145</v>
      </c>
      <c r="F1437" t="s">
        <v>49</v>
      </c>
      <c r="G1437" t="s">
        <v>1661</v>
      </c>
      <c r="I1437">
        <v>1.7088808508341</v>
      </c>
      <c r="J1437" s="82">
        <v>42.5</v>
      </c>
      <c r="K1437" s="82">
        <v>56.2</v>
      </c>
      <c r="L1437" s="84">
        <v>31.7</v>
      </c>
      <c r="M1437" s="82">
        <v>30.9</v>
      </c>
      <c r="N1437" t="s">
        <v>57</v>
      </c>
      <c r="O1437" s="44">
        <f t="shared" si="68"/>
        <v>3.4715230419508214</v>
      </c>
      <c r="P1437">
        <f t="shared" si="70"/>
        <v>40.325000000000003</v>
      </c>
      <c r="Q1437" s="111">
        <v>0.13100000000000001</v>
      </c>
      <c r="R1437">
        <v>0.22600000000000001</v>
      </c>
      <c r="S1437" s="65">
        <v>11</v>
      </c>
      <c r="T1437">
        <v>24</v>
      </c>
    </row>
    <row r="1438" spans="1:23" ht="16" x14ac:dyDescent="0.2">
      <c r="A1438" s="5" t="s">
        <v>1649</v>
      </c>
      <c r="B1438" s="6" t="s">
        <v>27</v>
      </c>
      <c r="C1438" s="6" t="s">
        <v>28</v>
      </c>
      <c r="D1438" s="65" t="str">
        <f t="shared" si="71"/>
        <v>MIX_S_a</v>
      </c>
      <c r="E1438">
        <v>145</v>
      </c>
      <c r="F1438" t="s">
        <v>82</v>
      </c>
      <c r="G1438" t="s">
        <v>1662</v>
      </c>
      <c r="I1438">
        <v>3.4158019759218301</v>
      </c>
      <c r="J1438" s="82">
        <v>35.700000000000003</v>
      </c>
      <c r="K1438" s="82">
        <v>49.8</v>
      </c>
      <c r="L1438" s="84">
        <v>22.9</v>
      </c>
      <c r="M1438" s="82">
        <v>42.5</v>
      </c>
      <c r="N1438" t="s">
        <v>57</v>
      </c>
      <c r="O1438" s="44">
        <f t="shared" si="68"/>
        <v>3.4679699580295935</v>
      </c>
      <c r="P1438">
        <f t="shared" si="70"/>
        <v>37.725000000000001</v>
      </c>
      <c r="Q1438" s="111">
        <v>0.25600000000000001</v>
      </c>
      <c r="R1438">
        <v>0.375</v>
      </c>
      <c r="S1438" s="65">
        <v>18</v>
      </c>
      <c r="T1438">
        <v>31</v>
      </c>
    </row>
    <row r="1439" spans="1:23" ht="16" x14ac:dyDescent="0.2">
      <c r="A1439" s="1" t="s">
        <v>1649</v>
      </c>
      <c r="B1439" t="s">
        <v>27</v>
      </c>
      <c r="C1439" t="s">
        <v>1657</v>
      </c>
      <c r="D1439" s="65" t="str">
        <f t="shared" si="71"/>
        <v>MIX_S_f</v>
      </c>
      <c r="E1439">
        <v>146</v>
      </c>
      <c r="F1439" t="s">
        <v>34</v>
      </c>
      <c r="G1439" t="s">
        <v>1663</v>
      </c>
      <c r="I1439">
        <v>2.51922744695784</v>
      </c>
      <c r="J1439" s="82">
        <v>3.3</v>
      </c>
      <c r="K1439" s="82">
        <v>6</v>
      </c>
      <c r="L1439" s="84">
        <v>9</v>
      </c>
      <c r="M1439" s="82">
        <v>29.4</v>
      </c>
      <c r="N1439" t="s">
        <v>57</v>
      </c>
      <c r="O1439" s="44">
        <f t="shared" si="68"/>
        <v>11.835849056603767</v>
      </c>
      <c r="P1439">
        <f t="shared" si="70"/>
        <v>11.925000000000001</v>
      </c>
      <c r="Q1439" s="111">
        <v>9.8000000000000004E-2</v>
      </c>
      <c r="R1439">
        <v>0.16500000000000001</v>
      </c>
      <c r="S1439" s="65">
        <v>14</v>
      </c>
      <c r="T1439">
        <v>20</v>
      </c>
    </row>
    <row r="1440" spans="1:23" ht="16" x14ac:dyDescent="0.2">
      <c r="A1440" s="5" t="s">
        <v>1649</v>
      </c>
      <c r="B1440" s="6" t="s">
        <v>27</v>
      </c>
      <c r="C1440" s="6" t="s">
        <v>38</v>
      </c>
      <c r="D1440" s="65" t="str">
        <f t="shared" si="71"/>
        <v>MIX_S_b</v>
      </c>
      <c r="E1440">
        <v>146</v>
      </c>
      <c r="F1440" t="s">
        <v>63</v>
      </c>
      <c r="G1440" t="s">
        <v>1664</v>
      </c>
      <c r="I1440">
        <v>3.0989096697174698</v>
      </c>
      <c r="J1440" s="82">
        <v>27.2</v>
      </c>
      <c r="K1440" s="82">
        <v>26.7</v>
      </c>
      <c r="L1440" s="84">
        <v>35.799999999999997</v>
      </c>
      <c r="M1440" s="82">
        <v>34.1</v>
      </c>
      <c r="N1440" s="82">
        <v>12.7</v>
      </c>
      <c r="O1440" s="44">
        <f t="shared" si="68"/>
        <v>0.70619278406032893</v>
      </c>
      <c r="P1440">
        <f t="shared" si="70"/>
        <v>27.299999999999994</v>
      </c>
      <c r="Q1440" s="111">
        <v>0.23899999999999999</v>
      </c>
      <c r="R1440">
        <v>0.28100000000000003</v>
      </c>
      <c r="S1440" s="65">
        <v>15</v>
      </c>
      <c r="T1440">
        <v>11</v>
      </c>
    </row>
    <row r="1441" spans="1:23" ht="16" x14ac:dyDescent="0.2">
      <c r="A1441" s="5" t="s">
        <v>1649</v>
      </c>
      <c r="B1441" s="6" t="s">
        <v>27</v>
      </c>
      <c r="C1441" s="6" t="s">
        <v>1641</v>
      </c>
      <c r="D1441" s="65" t="str">
        <f t="shared" si="71"/>
        <v>MIX_S_g</v>
      </c>
      <c r="E1441">
        <v>147</v>
      </c>
      <c r="F1441" t="s">
        <v>82</v>
      </c>
      <c r="G1441" t="s">
        <v>1665</v>
      </c>
      <c r="H1441" t="s">
        <v>1038</v>
      </c>
      <c r="I1441">
        <v>2.7503064066852398</v>
      </c>
      <c r="J1441" s="82">
        <v>39.200000000000003</v>
      </c>
      <c r="K1441" s="83">
        <v>11.7</v>
      </c>
      <c r="L1441" s="84">
        <v>42.2</v>
      </c>
      <c r="M1441" s="82">
        <v>41.1</v>
      </c>
      <c r="N1441" s="82">
        <v>44.4</v>
      </c>
      <c r="O1441" s="44">
        <f t="shared" si="68"/>
        <v>6.370293094883249</v>
      </c>
      <c r="P1441">
        <f t="shared" si="70"/>
        <v>35.720000000000006</v>
      </c>
      <c r="Q1441" s="111">
        <v>0.33900000000000002</v>
      </c>
      <c r="R1441">
        <v>0.39700000000000002</v>
      </c>
      <c r="S1441" s="65">
        <v>16</v>
      </c>
      <c r="T1441">
        <v>14</v>
      </c>
    </row>
    <row r="1442" spans="1:23" s="19" customFormat="1" ht="16" x14ac:dyDescent="0.2">
      <c r="A1442" s="27" t="s">
        <v>1649</v>
      </c>
      <c r="B1442" s="18" t="s">
        <v>27</v>
      </c>
      <c r="C1442" s="18" t="s">
        <v>52</v>
      </c>
      <c r="D1442" s="66" t="str">
        <f t="shared" si="71"/>
        <v>MIX_S_d</v>
      </c>
      <c r="E1442" s="19">
        <v>148</v>
      </c>
      <c r="F1442" s="19" t="s">
        <v>29</v>
      </c>
      <c r="G1442" s="19" t="s">
        <v>1666</v>
      </c>
      <c r="I1442">
        <v>0</v>
      </c>
      <c r="J1442" s="83">
        <v>1.1000000000000001</v>
      </c>
      <c r="K1442" s="83">
        <v>1</v>
      </c>
      <c r="L1442" s="84">
        <v>0.9</v>
      </c>
      <c r="M1442" s="82">
        <v>1</v>
      </c>
      <c r="N1442" s="82">
        <v>0.9</v>
      </c>
      <c r="O1442" s="54">
        <f t="shared" si="68"/>
        <v>6.6666666666666706E-3</v>
      </c>
      <c r="P1442">
        <f t="shared" si="70"/>
        <v>0.98000000000000009</v>
      </c>
      <c r="Q1442" s="112" t="s">
        <v>57</v>
      </c>
      <c r="R1442" s="19" t="s">
        <v>57</v>
      </c>
      <c r="S1442" s="66" t="s">
        <v>57</v>
      </c>
      <c r="T1442" s="19" t="s">
        <v>57</v>
      </c>
      <c r="V1442"/>
      <c r="W1442" s="19" t="s">
        <v>67</v>
      </c>
    </row>
    <row r="1443" spans="1:23" ht="16" x14ac:dyDescent="0.2">
      <c r="A1443" s="5" t="s">
        <v>1649</v>
      </c>
      <c r="B1443" s="6" t="s">
        <v>27</v>
      </c>
      <c r="C1443" s="6" t="s">
        <v>45</v>
      </c>
      <c r="D1443" s="65" t="str">
        <f t="shared" si="71"/>
        <v>MIX_S_c</v>
      </c>
      <c r="E1443">
        <v>148</v>
      </c>
      <c r="F1443" t="s">
        <v>82</v>
      </c>
      <c r="G1443" t="s">
        <v>1667</v>
      </c>
      <c r="H1443" t="s">
        <v>1038</v>
      </c>
      <c r="I1443">
        <v>0.37075208913648999</v>
      </c>
      <c r="J1443" s="82">
        <v>1.8</v>
      </c>
      <c r="K1443" s="82">
        <v>1.7</v>
      </c>
      <c r="L1443" s="84">
        <v>2.8</v>
      </c>
      <c r="M1443" s="82">
        <v>2.9</v>
      </c>
      <c r="N1443" s="82">
        <v>3.6</v>
      </c>
      <c r="O1443" s="44">
        <f t="shared" si="68"/>
        <v>0.17681159420289891</v>
      </c>
      <c r="P1443">
        <f t="shared" si="70"/>
        <v>2.5599999999999996</v>
      </c>
      <c r="Q1443" s="111">
        <v>8.0000000000000002E-3</v>
      </c>
      <c r="R1443">
        <v>9.0999999999999998E-2</v>
      </c>
      <c r="S1443" s="65">
        <v>1</v>
      </c>
      <c r="T1443">
        <v>19</v>
      </c>
    </row>
    <row r="1444" spans="1:23" ht="16" x14ac:dyDescent="0.2">
      <c r="A1444" s="1" t="s">
        <v>1649</v>
      </c>
      <c r="B1444" t="s">
        <v>33</v>
      </c>
      <c r="C1444" t="s">
        <v>1653</v>
      </c>
      <c r="D1444" s="65" t="str">
        <f t="shared" si="71"/>
        <v>MIX_V_e</v>
      </c>
      <c r="E1444">
        <v>145</v>
      </c>
      <c r="F1444" t="s">
        <v>63</v>
      </c>
      <c r="G1444" t="s">
        <v>1668</v>
      </c>
      <c r="I1444">
        <v>6.4188847820884396</v>
      </c>
      <c r="J1444" s="82">
        <v>18.600000000000001</v>
      </c>
      <c r="K1444" s="82">
        <v>5.4</v>
      </c>
      <c r="L1444" s="84">
        <v>29.7</v>
      </c>
      <c r="M1444" s="82">
        <v>32.4</v>
      </c>
      <c r="N1444" s="82">
        <v>25.4</v>
      </c>
      <c r="O1444" s="44">
        <f t="shared" si="68"/>
        <v>7.0254355400696946</v>
      </c>
      <c r="P1444">
        <f t="shared" si="70"/>
        <v>22.3</v>
      </c>
      <c r="Q1444" s="111">
        <v>0.48</v>
      </c>
      <c r="R1444">
        <v>0.41599999999999998</v>
      </c>
      <c r="S1444" s="65">
        <v>21</v>
      </c>
      <c r="T1444">
        <v>27</v>
      </c>
    </row>
    <row r="1445" spans="1:23" ht="16" x14ac:dyDescent="0.2">
      <c r="A1445" s="1" t="s">
        <v>1649</v>
      </c>
      <c r="B1445" t="s">
        <v>33</v>
      </c>
      <c r="C1445" t="s">
        <v>1657</v>
      </c>
      <c r="D1445" s="65" t="str">
        <f t="shared" si="71"/>
        <v>MIX_V_f</v>
      </c>
      <c r="E1445">
        <v>146</v>
      </c>
      <c r="F1445" t="s">
        <v>39</v>
      </c>
      <c r="G1445" t="s">
        <v>1669</v>
      </c>
      <c r="I1445">
        <v>3.9826043023905102</v>
      </c>
      <c r="J1445" s="82">
        <v>28.9</v>
      </c>
      <c r="K1445" s="82">
        <v>36.9</v>
      </c>
      <c r="L1445" s="84">
        <v>40.5</v>
      </c>
      <c r="M1445" s="82">
        <v>37.1</v>
      </c>
      <c r="N1445" s="82">
        <v>43.9</v>
      </c>
      <c r="O1445" s="44">
        <f t="shared" si="68"/>
        <v>0.6749418874941816</v>
      </c>
      <c r="P1445">
        <f t="shared" si="70"/>
        <v>37.46</v>
      </c>
      <c r="Q1445" s="111">
        <v>0.36199999999999999</v>
      </c>
      <c r="R1445">
        <v>0.33800000000000002</v>
      </c>
      <c r="S1445" s="65">
        <v>17</v>
      </c>
      <c r="T1445">
        <v>23</v>
      </c>
    </row>
    <row r="1446" spans="1:23" ht="16" x14ac:dyDescent="0.2">
      <c r="A1446" s="5" t="s">
        <v>1649</v>
      </c>
      <c r="B1446" s="6" t="s">
        <v>33</v>
      </c>
      <c r="C1446" s="6" t="s">
        <v>38</v>
      </c>
      <c r="D1446" s="65" t="str">
        <f t="shared" si="71"/>
        <v>MIX_V_b</v>
      </c>
      <c r="E1446">
        <v>146</v>
      </c>
      <c r="F1446" t="s">
        <v>49</v>
      </c>
      <c r="G1446" t="s">
        <v>1670</v>
      </c>
      <c r="I1446">
        <v>4.2741085436221997</v>
      </c>
      <c r="J1446" s="82">
        <v>6</v>
      </c>
      <c r="K1446" s="82">
        <v>30.9</v>
      </c>
      <c r="L1446" s="84">
        <v>32.6</v>
      </c>
      <c r="M1446" s="82">
        <v>33.1</v>
      </c>
      <c r="N1446" s="82">
        <v>40.200000000000003</v>
      </c>
      <c r="O1446" s="44">
        <f t="shared" si="68"/>
        <v>6.7250162443144941</v>
      </c>
      <c r="P1446">
        <f t="shared" si="70"/>
        <v>28.560000000000002</v>
      </c>
      <c r="Q1446" s="111">
        <v>0.35799999999999998</v>
      </c>
      <c r="R1446">
        <v>0.36799999999999999</v>
      </c>
      <c r="S1446" s="65">
        <v>20</v>
      </c>
      <c r="T1446">
        <v>23</v>
      </c>
    </row>
    <row r="1447" spans="1:23" ht="16" x14ac:dyDescent="0.2">
      <c r="A1447" s="1" t="s">
        <v>1649</v>
      </c>
      <c r="B1447" s="6" t="s">
        <v>33</v>
      </c>
      <c r="C1447" s="6" t="s">
        <v>45</v>
      </c>
      <c r="D1447" s="65" t="str">
        <f t="shared" si="71"/>
        <v>MIX_V_c</v>
      </c>
      <c r="E1447">
        <v>147</v>
      </c>
      <c r="F1447" t="s">
        <v>29</v>
      </c>
      <c r="G1447" t="s">
        <v>1671</v>
      </c>
      <c r="I1447">
        <v>5.1766133964421499</v>
      </c>
      <c r="J1447" s="82">
        <v>39.5</v>
      </c>
      <c r="K1447" s="82">
        <v>37.9</v>
      </c>
      <c r="L1447" s="84">
        <v>40.9</v>
      </c>
      <c r="M1447" s="82">
        <v>37.299999999999997</v>
      </c>
      <c r="N1447" s="82">
        <v>40.4</v>
      </c>
      <c r="O1447" s="44">
        <f t="shared" si="68"/>
        <v>6.7866323907455048E-2</v>
      </c>
      <c r="P1447">
        <f t="shared" si="70"/>
        <v>39.200000000000003</v>
      </c>
      <c r="Q1447" s="117" t="s">
        <v>1672</v>
      </c>
      <c r="R1447">
        <v>0.52300000000000002</v>
      </c>
      <c r="S1447" s="65">
        <v>31</v>
      </c>
      <c r="T1447">
        <v>40</v>
      </c>
      <c r="U1447" t="s">
        <v>208</v>
      </c>
    </row>
    <row r="1448" spans="1:23" ht="16" x14ac:dyDescent="0.2">
      <c r="A1448" s="5" t="s">
        <v>1649</v>
      </c>
      <c r="B1448" s="6" t="s">
        <v>33</v>
      </c>
      <c r="C1448" s="6" t="s">
        <v>52</v>
      </c>
      <c r="D1448" s="65" t="str">
        <f t="shared" si="71"/>
        <v>MIX_V_d</v>
      </c>
      <c r="E1448">
        <v>148</v>
      </c>
      <c r="F1448" t="s">
        <v>63</v>
      </c>
      <c r="G1448" t="s">
        <v>1673</v>
      </c>
      <c r="I1448">
        <v>0.81563272794958397</v>
      </c>
      <c r="J1448" s="82">
        <v>2.6</v>
      </c>
      <c r="K1448" s="82">
        <v>36.6</v>
      </c>
      <c r="L1448" s="84">
        <v>42.8</v>
      </c>
      <c r="M1448" s="82">
        <v>37.200000000000003</v>
      </c>
      <c r="N1448" s="82">
        <v>37.4</v>
      </c>
      <c r="O1448" s="44">
        <f t="shared" si="68"/>
        <v>11.29574944071588</v>
      </c>
      <c r="P1448">
        <f t="shared" si="70"/>
        <v>31.32</v>
      </c>
      <c r="Q1448" s="111">
        <v>7.5999999999999998E-2</v>
      </c>
      <c r="R1448">
        <v>0.17199999999999999</v>
      </c>
      <c r="S1448" s="65">
        <v>6</v>
      </c>
      <c r="T1448">
        <v>22</v>
      </c>
    </row>
    <row r="1449" spans="1:23" ht="16" x14ac:dyDescent="0.2">
      <c r="A1449" s="1" t="s">
        <v>1649</v>
      </c>
      <c r="B1449" s="6" t="s">
        <v>33</v>
      </c>
      <c r="C1449" s="6" t="s">
        <v>1645</v>
      </c>
      <c r="D1449" s="65" t="str">
        <f t="shared" si="71"/>
        <v>MIX_V_h</v>
      </c>
      <c r="E1449">
        <v>148</v>
      </c>
      <c r="F1449" t="s">
        <v>68</v>
      </c>
      <c r="G1449" t="s">
        <v>1674</v>
      </c>
      <c r="I1449">
        <v>4.0134921690110898</v>
      </c>
      <c r="J1449" s="82">
        <v>33.4</v>
      </c>
      <c r="K1449" s="82">
        <v>4.8</v>
      </c>
      <c r="L1449" s="84">
        <v>45.1</v>
      </c>
      <c r="M1449" s="82">
        <v>48</v>
      </c>
      <c r="N1449" s="82">
        <v>38.299999999999997</v>
      </c>
      <c r="O1449" s="44">
        <f t="shared" si="68"/>
        <v>11.847550139629346</v>
      </c>
      <c r="P1449">
        <f t="shared" si="70"/>
        <v>33.92</v>
      </c>
      <c r="Q1449" s="111">
        <v>0.23100000000000001</v>
      </c>
      <c r="R1449">
        <v>0.28599999999999998</v>
      </c>
      <c r="S1449" s="65">
        <v>18</v>
      </c>
      <c r="T1449">
        <v>10</v>
      </c>
    </row>
    <row r="1450" spans="1:23" ht="16" x14ac:dyDescent="0.2">
      <c r="A1450" s="1" t="s">
        <v>1675</v>
      </c>
      <c r="B1450" t="s">
        <v>33</v>
      </c>
      <c r="C1450" t="s">
        <v>28</v>
      </c>
      <c r="D1450" s="65" t="str">
        <f t="shared" si="69"/>
        <v>NIG_V_a</v>
      </c>
      <c r="E1450">
        <v>5</v>
      </c>
      <c r="F1450" t="s">
        <v>70</v>
      </c>
      <c r="G1450" t="s">
        <v>1676</v>
      </c>
      <c r="I1450">
        <v>3.1448806100762599</v>
      </c>
      <c r="J1450" s="84">
        <v>33.299999999999997</v>
      </c>
      <c r="K1450" s="82">
        <v>38.200000000000003</v>
      </c>
      <c r="L1450" s="82">
        <v>26</v>
      </c>
      <c r="M1450" s="82">
        <v>24.3</v>
      </c>
      <c r="N1450" s="82">
        <v>14.3</v>
      </c>
      <c r="O1450" s="44">
        <f t="shared" si="68"/>
        <v>1.3772304324028455</v>
      </c>
      <c r="P1450">
        <f t="shared" si="70"/>
        <v>27.22</v>
      </c>
      <c r="Q1450" s="111">
        <v>0.19500000000000001</v>
      </c>
      <c r="R1450">
        <v>0.51400000000000001</v>
      </c>
      <c r="S1450" s="65">
        <v>9</v>
      </c>
      <c r="T1450">
        <v>31</v>
      </c>
      <c r="U1450" t="s">
        <v>31</v>
      </c>
    </row>
    <row r="1451" spans="1:23" ht="16" x14ac:dyDescent="0.2">
      <c r="A1451" s="3" t="s">
        <v>1675</v>
      </c>
      <c r="B1451" t="s">
        <v>27</v>
      </c>
      <c r="C1451" t="s">
        <v>28</v>
      </c>
      <c r="D1451" s="65" t="str">
        <f t="shared" si="69"/>
        <v>NIG_S_a</v>
      </c>
      <c r="E1451">
        <v>8</v>
      </c>
      <c r="F1451" t="s">
        <v>70</v>
      </c>
      <c r="G1451" t="s">
        <v>1677</v>
      </c>
      <c r="I1451">
        <v>4.8448241492239799</v>
      </c>
      <c r="J1451" s="84" t="s">
        <v>57</v>
      </c>
      <c r="K1451" s="82">
        <v>10.8</v>
      </c>
      <c r="L1451" s="82">
        <v>29.9</v>
      </c>
      <c r="M1451" s="82">
        <v>48.2</v>
      </c>
      <c r="N1451" s="82">
        <v>60.4</v>
      </c>
      <c r="O1451" s="44">
        <f t="shared" si="68"/>
        <v>11.802362204724409</v>
      </c>
      <c r="P1451">
        <f t="shared" si="70"/>
        <v>37.325000000000003</v>
      </c>
      <c r="Q1451" s="111">
        <v>0.56699999999999995</v>
      </c>
      <c r="R1451">
        <v>0.57099999999999995</v>
      </c>
      <c r="S1451" s="65">
        <v>14</v>
      </c>
      <c r="T1451">
        <v>46</v>
      </c>
      <c r="U1451" t="s">
        <v>31</v>
      </c>
    </row>
    <row r="1452" spans="1:23" s="19" customFormat="1" x14ac:dyDescent="0.2">
      <c r="A1452" s="17" t="s">
        <v>1675</v>
      </c>
      <c r="B1452" s="18" t="s">
        <v>36</v>
      </c>
      <c r="C1452" s="18" t="s">
        <v>28</v>
      </c>
      <c r="D1452" s="66" t="str">
        <f t="shared" si="69"/>
        <v>NIG_O_a</v>
      </c>
      <c r="E1452" s="19">
        <v>28</v>
      </c>
      <c r="F1452" s="19" t="s">
        <v>41</v>
      </c>
      <c r="G1452" s="19" t="s">
        <v>1678</v>
      </c>
      <c r="I1452">
        <v>3.4790163934426199</v>
      </c>
      <c r="J1452" s="83">
        <v>30.4</v>
      </c>
      <c r="K1452" s="19" t="s">
        <v>57</v>
      </c>
      <c r="L1452" s="82">
        <v>37.4</v>
      </c>
      <c r="M1452" s="82">
        <v>38.700000000000003</v>
      </c>
      <c r="N1452" s="82">
        <v>47.8</v>
      </c>
      <c r="O1452" s="54">
        <f t="shared" si="68"/>
        <v>0.56140845070423351</v>
      </c>
      <c r="P1452">
        <f t="shared" si="70"/>
        <v>38.575000000000003</v>
      </c>
      <c r="Q1452" s="112">
        <v>0.13900000000000001</v>
      </c>
      <c r="R1452" s="19">
        <v>0.42799999999999999</v>
      </c>
      <c r="S1452" s="66">
        <v>16</v>
      </c>
      <c r="T1452" s="19">
        <v>24</v>
      </c>
      <c r="U1452" s="19" t="s">
        <v>31</v>
      </c>
      <c r="V1452"/>
    </row>
    <row r="1453" spans="1:23" x14ac:dyDescent="0.2">
      <c r="A1453" s="1" t="s">
        <v>1675</v>
      </c>
      <c r="B1453" t="s">
        <v>33</v>
      </c>
      <c r="C1453" t="s">
        <v>38</v>
      </c>
      <c r="D1453" s="65" t="str">
        <f t="shared" si="69"/>
        <v>NIG_V_b</v>
      </c>
      <c r="E1453">
        <v>39</v>
      </c>
      <c r="F1453" t="s">
        <v>70</v>
      </c>
      <c r="G1453" t="s">
        <v>1679</v>
      </c>
      <c r="I1453">
        <v>3.6551087815035501</v>
      </c>
      <c r="J1453" s="82">
        <v>22.3</v>
      </c>
      <c r="K1453" s="82">
        <v>30.7</v>
      </c>
      <c r="L1453" s="82">
        <v>25.4</v>
      </c>
      <c r="M1453" s="82">
        <v>27.6</v>
      </c>
      <c r="N1453" s="82">
        <v>32</v>
      </c>
      <c r="O1453" s="44">
        <f t="shared" si="68"/>
        <v>0.47421383647799081</v>
      </c>
      <c r="P1453">
        <f t="shared" si="70"/>
        <v>27.6</v>
      </c>
      <c r="Q1453" s="111">
        <v>0.38200000000000001</v>
      </c>
      <c r="R1453">
        <v>0.623</v>
      </c>
      <c r="S1453" s="65">
        <v>20</v>
      </c>
      <c r="T1453">
        <v>17</v>
      </c>
      <c r="U1453" t="s">
        <v>31</v>
      </c>
    </row>
    <row r="1454" spans="1:23" x14ac:dyDescent="0.2">
      <c r="A1454" s="5" t="s">
        <v>1675</v>
      </c>
      <c r="B1454" s="6" t="s">
        <v>27</v>
      </c>
      <c r="C1454" s="6" t="s">
        <v>38</v>
      </c>
      <c r="D1454" s="65" t="str">
        <f t="shared" si="69"/>
        <v>NIG_S_b</v>
      </c>
      <c r="E1454">
        <v>48</v>
      </c>
      <c r="F1454" t="s">
        <v>34</v>
      </c>
      <c r="G1454" t="s">
        <v>1680</v>
      </c>
      <c r="I1454">
        <v>3.64502145703484</v>
      </c>
      <c r="J1454" s="82">
        <v>14</v>
      </c>
      <c r="K1454" s="82">
        <v>3.2</v>
      </c>
      <c r="L1454" s="82">
        <v>3.1</v>
      </c>
      <c r="M1454" s="82">
        <v>16.399999999999999</v>
      </c>
      <c r="N1454" s="82">
        <v>15.3</v>
      </c>
      <c r="O1454" s="44">
        <f t="shared" si="68"/>
        <v>5.3801089918256118</v>
      </c>
      <c r="P1454">
        <f t="shared" si="70"/>
        <v>10.4</v>
      </c>
      <c r="Q1454" s="111">
        <v>0.26200000000000001</v>
      </c>
      <c r="R1454">
        <v>0.34899999999999998</v>
      </c>
      <c r="S1454" s="65">
        <v>11</v>
      </c>
      <c r="T1454" s="43">
        <v>10</v>
      </c>
      <c r="U1454" t="s">
        <v>31</v>
      </c>
    </row>
    <row r="1455" spans="1:23" x14ac:dyDescent="0.2">
      <c r="A1455" s="5" t="s">
        <v>1675</v>
      </c>
      <c r="B1455" s="6" t="s">
        <v>36</v>
      </c>
      <c r="C1455" s="6" t="s">
        <v>38</v>
      </c>
      <c r="D1455" s="65" t="str">
        <f t="shared" si="69"/>
        <v>NIG_O_b</v>
      </c>
      <c r="E1455">
        <v>49</v>
      </c>
      <c r="F1455" t="s">
        <v>29</v>
      </c>
      <c r="G1455" t="s">
        <v>1681</v>
      </c>
      <c r="I1455">
        <v>5.1334246234283603</v>
      </c>
      <c r="J1455" s="82">
        <v>11</v>
      </c>
      <c r="K1455" s="82">
        <v>33.299999999999997</v>
      </c>
      <c r="L1455" s="82">
        <v>32.200000000000003</v>
      </c>
      <c r="M1455" s="82">
        <v>35.799999999999997</v>
      </c>
      <c r="N1455" s="82">
        <v>37.1</v>
      </c>
      <c r="O1455" s="44">
        <f t="shared" si="68"/>
        <v>4.6963193826061165</v>
      </c>
      <c r="P1455">
        <f t="shared" si="70"/>
        <v>29.880000000000003</v>
      </c>
      <c r="Q1455" s="111">
        <v>0.53400000000000003</v>
      </c>
      <c r="R1455">
        <v>0.53400000000000003</v>
      </c>
      <c r="S1455" s="65">
        <v>34</v>
      </c>
      <c r="T1455" s="43">
        <v>28</v>
      </c>
      <c r="U1455" t="s">
        <v>54</v>
      </c>
    </row>
    <row r="1456" spans="1:23" x14ac:dyDescent="0.2">
      <c r="A1456" s="5" t="s">
        <v>1675</v>
      </c>
      <c r="B1456" s="6" t="s">
        <v>27</v>
      </c>
      <c r="C1456" s="6" t="s">
        <v>45</v>
      </c>
      <c r="D1456" s="65" t="str">
        <f t="shared" si="69"/>
        <v>NIG_S_c</v>
      </c>
      <c r="E1456">
        <v>87</v>
      </c>
      <c r="F1456" t="s">
        <v>63</v>
      </c>
      <c r="G1456" t="s">
        <v>1682</v>
      </c>
      <c r="H1456" t="s">
        <v>56</v>
      </c>
      <c r="I1456">
        <v>0</v>
      </c>
      <c r="J1456" s="82">
        <v>1</v>
      </c>
      <c r="K1456" s="82">
        <v>44.8</v>
      </c>
      <c r="L1456" s="82">
        <v>1</v>
      </c>
      <c r="M1456" s="82">
        <v>1</v>
      </c>
      <c r="N1456" s="82">
        <v>0.9</v>
      </c>
      <c r="O1456" s="44">
        <f t="shared" si="68"/>
        <v>40.134728033472804</v>
      </c>
      <c r="P1456">
        <f t="shared" si="70"/>
        <v>9.7399999999999984</v>
      </c>
      <c r="Q1456" s="111" t="s">
        <v>57</v>
      </c>
      <c r="R1456" s="6" t="s">
        <v>57</v>
      </c>
      <c r="S1456" s="65" t="s">
        <v>57</v>
      </c>
      <c r="T1456" s="6" t="s">
        <v>57</v>
      </c>
      <c r="U1456" s="6" t="s">
        <v>57</v>
      </c>
      <c r="W1456" t="s">
        <v>517</v>
      </c>
    </row>
    <row r="1457" spans="1:23" x14ac:dyDescent="0.2">
      <c r="A1457" s="5" t="s">
        <v>1675</v>
      </c>
      <c r="B1457" s="6" t="s">
        <v>33</v>
      </c>
      <c r="C1457" s="6" t="s">
        <v>45</v>
      </c>
      <c r="D1457" s="65" t="str">
        <f t="shared" si="69"/>
        <v>NIG_V_c</v>
      </c>
      <c r="E1457">
        <v>99</v>
      </c>
      <c r="F1457" t="s">
        <v>39</v>
      </c>
      <c r="G1457" t="s">
        <v>1683</v>
      </c>
      <c r="I1457">
        <v>2.6373844121532399</v>
      </c>
      <c r="J1457" s="43">
        <v>1.6</v>
      </c>
      <c r="K1457" s="82">
        <v>35.799999999999997</v>
      </c>
      <c r="L1457" s="82">
        <v>43.8</v>
      </c>
      <c r="M1457">
        <v>5.2</v>
      </c>
      <c r="N1457" s="82">
        <v>12.1</v>
      </c>
      <c r="O1457" s="44">
        <f t="shared" si="68"/>
        <v>21.040740740740741</v>
      </c>
      <c r="P1457">
        <f t="shared" si="70"/>
        <v>19.699999999999996</v>
      </c>
      <c r="Q1457" s="111">
        <v>0.19600000000000001</v>
      </c>
      <c r="R1457">
        <v>0.52900000000000003</v>
      </c>
      <c r="S1457" s="65">
        <v>23</v>
      </c>
      <c r="T1457">
        <v>9</v>
      </c>
      <c r="U1457" t="s">
        <v>54</v>
      </c>
    </row>
    <row r="1458" spans="1:23" x14ac:dyDescent="0.2">
      <c r="A1458" s="5" t="s">
        <v>1675</v>
      </c>
      <c r="B1458" s="6" t="s">
        <v>36</v>
      </c>
      <c r="C1458" s="6" t="s">
        <v>45</v>
      </c>
      <c r="D1458" s="65" t="str">
        <f t="shared" si="69"/>
        <v>NIG_O_c</v>
      </c>
      <c r="E1458">
        <v>99</v>
      </c>
      <c r="F1458" t="s">
        <v>49</v>
      </c>
      <c r="G1458" t="s">
        <v>1684</v>
      </c>
      <c r="I1458">
        <v>6.5318750485663202</v>
      </c>
      <c r="J1458" s="82">
        <v>38.700000000000003</v>
      </c>
      <c r="K1458" s="82">
        <v>41.7</v>
      </c>
      <c r="L1458" s="82">
        <v>52.3</v>
      </c>
      <c r="M1458">
        <v>46.4</v>
      </c>
      <c r="N1458" s="82">
        <v>34.4</v>
      </c>
      <c r="O1458" s="44">
        <f t="shared" si="68"/>
        <v>0.78635771449842851</v>
      </c>
      <c r="P1458">
        <f t="shared" si="70"/>
        <v>42.7</v>
      </c>
      <c r="Q1458" s="111">
        <v>0.54</v>
      </c>
      <c r="R1458">
        <v>0.67</v>
      </c>
      <c r="S1458" s="65">
        <v>15</v>
      </c>
      <c r="T1458">
        <v>26</v>
      </c>
      <c r="U1458" t="s">
        <v>54</v>
      </c>
    </row>
    <row r="1459" spans="1:23" ht="16" x14ac:dyDescent="0.2">
      <c r="A1459" s="5" t="s">
        <v>1675</v>
      </c>
      <c r="B1459" s="6" t="s">
        <v>33</v>
      </c>
      <c r="C1459" s="6" t="s">
        <v>52</v>
      </c>
      <c r="D1459" s="65" t="str">
        <f t="shared" si="69"/>
        <v>NIG_V_d</v>
      </c>
      <c r="E1459">
        <v>130</v>
      </c>
      <c r="F1459" t="s">
        <v>82</v>
      </c>
      <c r="G1459" t="s">
        <v>1685</v>
      </c>
      <c r="I1459">
        <v>3.4309734513274299</v>
      </c>
      <c r="J1459" s="82">
        <v>26.1</v>
      </c>
      <c r="K1459" s="82">
        <v>25.4</v>
      </c>
      <c r="L1459" s="84">
        <v>23.6</v>
      </c>
      <c r="M1459" s="43">
        <v>4.8</v>
      </c>
      <c r="N1459" s="82">
        <v>6.4</v>
      </c>
      <c r="O1459" s="44">
        <f t="shared" si="68"/>
        <v>5.179265748852738</v>
      </c>
      <c r="P1459">
        <f t="shared" si="70"/>
        <v>17.259999999999998</v>
      </c>
      <c r="Q1459" s="111">
        <v>0.44800000000000001</v>
      </c>
      <c r="R1459">
        <v>0.59799999999999998</v>
      </c>
      <c r="S1459" s="65">
        <v>23</v>
      </c>
      <c r="T1459">
        <v>35</v>
      </c>
      <c r="U1459" t="s">
        <v>47</v>
      </c>
    </row>
    <row r="1460" spans="1:23" ht="16" x14ac:dyDescent="0.2">
      <c r="A1460" s="5" t="s">
        <v>1675</v>
      </c>
      <c r="B1460" s="6" t="s">
        <v>36</v>
      </c>
      <c r="C1460" s="6" t="s">
        <v>52</v>
      </c>
      <c r="D1460" s="65" t="str">
        <f t="shared" si="69"/>
        <v>NIG_O_d</v>
      </c>
      <c r="E1460">
        <v>140</v>
      </c>
      <c r="F1460" t="s">
        <v>41</v>
      </c>
      <c r="G1460" t="s">
        <v>1686</v>
      </c>
      <c r="I1460">
        <v>5.9217673071058199</v>
      </c>
      <c r="J1460" s="82">
        <v>37</v>
      </c>
      <c r="K1460" s="82">
        <v>29.2</v>
      </c>
      <c r="L1460" s="84">
        <v>32</v>
      </c>
      <c r="M1460" s="81">
        <v>1</v>
      </c>
      <c r="N1460" s="82">
        <v>40.6</v>
      </c>
      <c r="O1460" s="44">
        <f t="shared" si="68"/>
        <v>10.570967741935478</v>
      </c>
      <c r="P1460">
        <f t="shared" si="70"/>
        <v>27.96</v>
      </c>
      <c r="Q1460" s="111">
        <v>0.23300000000000001</v>
      </c>
      <c r="R1460">
        <v>0.61</v>
      </c>
      <c r="S1460" s="65">
        <v>28</v>
      </c>
      <c r="T1460">
        <v>13</v>
      </c>
      <c r="U1460" t="s">
        <v>54</v>
      </c>
    </row>
    <row r="1461" spans="1:23" ht="16" x14ac:dyDescent="0.2">
      <c r="A1461" s="5" t="s">
        <v>1675</v>
      </c>
      <c r="B1461" s="6" t="s">
        <v>27</v>
      </c>
      <c r="C1461" s="6" t="s">
        <v>52</v>
      </c>
      <c r="D1461" s="65" t="str">
        <f t="shared" si="69"/>
        <v>NIG_S_d</v>
      </c>
      <c r="E1461">
        <v>143</v>
      </c>
      <c r="F1461" t="s">
        <v>49</v>
      </c>
      <c r="G1461" t="s">
        <v>1687</v>
      </c>
      <c r="I1461">
        <v>1.9997615934784301</v>
      </c>
      <c r="J1461" s="82">
        <v>5.7</v>
      </c>
      <c r="K1461" s="82">
        <v>8.1999999999999993</v>
      </c>
      <c r="L1461" s="84">
        <v>36.6</v>
      </c>
      <c r="M1461" s="82">
        <v>18.8</v>
      </c>
      <c r="N1461" s="82">
        <v>47.5</v>
      </c>
      <c r="O1461" s="44">
        <f t="shared" si="68"/>
        <v>11.392159692159698</v>
      </c>
      <c r="P1461">
        <f t="shared" si="70"/>
        <v>23.36</v>
      </c>
      <c r="Q1461" s="111">
        <v>0.14399999999999999</v>
      </c>
      <c r="R1461">
        <v>0.316</v>
      </c>
      <c r="S1461" s="65">
        <v>12</v>
      </c>
      <c r="T1461">
        <v>15</v>
      </c>
      <c r="U1461" t="s">
        <v>54</v>
      </c>
    </row>
    <row r="1462" spans="1:23" s="19" customFormat="1" ht="16" x14ac:dyDescent="0.2">
      <c r="A1462" s="17" t="s">
        <v>1688</v>
      </c>
      <c r="B1462" s="18" t="s">
        <v>33</v>
      </c>
      <c r="C1462" s="18" t="s">
        <v>28</v>
      </c>
      <c r="D1462" s="66" t="str">
        <f t="shared" si="69"/>
        <v>UNI_V_a</v>
      </c>
      <c r="E1462" s="19">
        <v>8</v>
      </c>
      <c r="F1462" s="19" t="s">
        <v>29</v>
      </c>
      <c r="G1462" s="19" t="s">
        <v>1689</v>
      </c>
      <c r="I1462">
        <v>0</v>
      </c>
      <c r="J1462" s="85">
        <v>1.5</v>
      </c>
      <c r="K1462" s="83">
        <v>1</v>
      </c>
      <c r="L1462" s="82">
        <v>1</v>
      </c>
      <c r="M1462" s="82">
        <v>1</v>
      </c>
      <c r="N1462" s="82">
        <v>0.9</v>
      </c>
      <c r="O1462" s="54">
        <f t="shared" si="68"/>
        <v>5.5555555555555552E-2</v>
      </c>
      <c r="P1462">
        <f t="shared" si="70"/>
        <v>1.08</v>
      </c>
      <c r="Q1462" s="112">
        <v>1E-3</v>
      </c>
      <c r="R1462" s="19">
        <v>4.0000000000000001E-3</v>
      </c>
      <c r="S1462" s="66">
        <v>0</v>
      </c>
      <c r="T1462" s="19">
        <v>0</v>
      </c>
      <c r="U1462" s="19" t="s">
        <v>51</v>
      </c>
      <c r="V1462"/>
    </row>
    <row r="1463" spans="1:23" ht="16" x14ac:dyDescent="0.2">
      <c r="A1463" s="5" t="s">
        <v>1688</v>
      </c>
      <c r="B1463" s="6" t="s">
        <v>36</v>
      </c>
      <c r="C1463" s="6" t="s">
        <v>28</v>
      </c>
      <c r="D1463" s="65" t="str">
        <f t="shared" si="69"/>
        <v>UNI_O_a</v>
      </c>
      <c r="E1463">
        <v>9</v>
      </c>
      <c r="F1463" t="s">
        <v>29</v>
      </c>
      <c r="G1463" t="s">
        <v>1690</v>
      </c>
      <c r="I1463">
        <v>0</v>
      </c>
      <c r="J1463" s="84">
        <v>2.2999999999999998</v>
      </c>
      <c r="K1463" s="82">
        <v>1</v>
      </c>
      <c r="L1463" s="82">
        <v>3.1</v>
      </c>
      <c r="M1463" s="82">
        <v>2.6</v>
      </c>
      <c r="N1463" s="82">
        <v>3.9</v>
      </c>
      <c r="O1463" s="44">
        <f t="shared" si="68"/>
        <v>0.35703703703703704</v>
      </c>
      <c r="P1463">
        <f t="shared" si="70"/>
        <v>2.58</v>
      </c>
      <c r="Q1463" s="65">
        <v>1.4E-2</v>
      </c>
      <c r="R1463">
        <v>5.0000000000000001E-3</v>
      </c>
      <c r="S1463" s="65">
        <v>0</v>
      </c>
      <c r="T1463">
        <v>0</v>
      </c>
      <c r="U1463" t="s">
        <v>51</v>
      </c>
      <c r="W1463" t="s">
        <v>1691</v>
      </c>
    </row>
    <row r="1464" spans="1:23" x14ac:dyDescent="0.2">
      <c r="A1464" s="5" t="s">
        <v>1688</v>
      </c>
      <c r="B1464" s="6" t="s">
        <v>27</v>
      </c>
      <c r="C1464" s="6" t="s">
        <v>28</v>
      </c>
      <c r="D1464" s="65" t="str">
        <f t="shared" si="69"/>
        <v>UNI_S_a</v>
      </c>
      <c r="E1464">
        <v>33</v>
      </c>
      <c r="F1464" t="s">
        <v>41</v>
      </c>
      <c r="G1464" t="s">
        <v>1692</v>
      </c>
      <c r="I1464">
        <v>0</v>
      </c>
      <c r="J1464" s="82">
        <v>1</v>
      </c>
      <c r="K1464" s="82">
        <v>1</v>
      </c>
      <c r="L1464" s="82">
        <v>1</v>
      </c>
      <c r="M1464" s="82">
        <v>0.9</v>
      </c>
      <c r="N1464" s="82">
        <v>0.9</v>
      </c>
      <c r="O1464" s="44">
        <f t="shared" si="68"/>
        <v>2.5641025641025632E-3</v>
      </c>
      <c r="P1464">
        <f t="shared" si="70"/>
        <v>0.96</v>
      </c>
      <c r="Q1464" s="111">
        <v>8.0000000000000002E-3</v>
      </c>
      <c r="R1464">
        <v>1E-3</v>
      </c>
      <c r="S1464" s="65">
        <v>0</v>
      </c>
      <c r="T1464">
        <v>0</v>
      </c>
      <c r="U1464" t="s">
        <v>51</v>
      </c>
      <c r="W1464" t="s">
        <v>1693</v>
      </c>
    </row>
    <row r="1465" spans="1:23" x14ac:dyDescent="0.2">
      <c r="A1465" s="5" t="s">
        <v>1688</v>
      </c>
      <c r="B1465" s="6" t="s">
        <v>27</v>
      </c>
      <c r="C1465" s="6" t="s">
        <v>38</v>
      </c>
      <c r="D1465" s="65" t="str">
        <f t="shared" si="69"/>
        <v>UNI_S_b</v>
      </c>
      <c r="E1465">
        <v>39</v>
      </c>
      <c r="F1465" t="s">
        <v>43</v>
      </c>
      <c r="G1465" t="s">
        <v>1694</v>
      </c>
      <c r="I1465">
        <v>0</v>
      </c>
      <c r="J1465" s="82">
        <v>0.9</v>
      </c>
      <c r="K1465" s="82">
        <v>1</v>
      </c>
      <c r="L1465" s="82">
        <v>1</v>
      </c>
      <c r="M1465" s="82">
        <v>1</v>
      </c>
      <c r="N1465" s="82">
        <v>0.9</v>
      </c>
      <c r="O1465" s="44">
        <f t="shared" si="68"/>
        <v>2.5641025641025632E-3</v>
      </c>
      <c r="P1465">
        <f t="shared" si="70"/>
        <v>0.96</v>
      </c>
      <c r="Q1465" s="111">
        <v>3.0000000000000001E-3</v>
      </c>
      <c r="R1465">
        <v>1.4999999999999999E-2</v>
      </c>
      <c r="S1465" s="65">
        <v>0</v>
      </c>
      <c r="T1465">
        <v>4</v>
      </c>
      <c r="U1465" t="s">
        <v>51</v>
      </c>
    </row>
    <row r="1466" spans="1:23" x14ac:dyDescent="0.2">
      <c r="A1466" s="5" t="s">
        <v>1688</v>
      </c>
      <c r="B1466" s="6" t="s">
        <v>36</v>
      </c>
      <c r="C1466" s="6" t="s">
        <v>38</v>
      </c>
      <c r="D1466" s="65" t="str">
        <f t="shared" si="69"/>
        <v>UNI_O_b</v>
      </c>
      <c r="E1466">
        <v>68</v>
      </c>
      <c r="F1466" t="s">
        <v>82</v>
      </c>
      <c r="G1466" t="s">
        <v>1695</v>
      </c>
      <c r="I1466">
        <v>0</v>
      </c>
      <c r="J1466" s="82">
        <v>1</v>
      </c>
      <c r="K1466" s="82">
        <v>1</v>
      </c>
      <c r="L1466" s="82">
        <v>0.9</v>
      </c>
      <c r="M1466" s="82">
        <v>0.9</v>
      </c>
      <c r="N1466" s="82">
        <v>1</v>
      </c>
      <c r="O1466" s="44">
        <f t="shared" si="68"/>
        <v>3.5087719298245602E-3</v>
      </c>
      <c r="P1466">
        <f t="shared" si="70"/>
        <v>0.96</v>
      </c>
      <c r="Q1466" s="111">
        <v>6.0000000000000001E-3</v>
      </c>
      <c r="R1466">
        <v>7.0000000000000001E-3</v>
      </c>
      <c r="S1466" s="65">
        <v>0</v>
      </c>
      <c r="T1466">
        <v>0</v>
      </c>
      <c r="U1466" t="s">
        <v>51</v>
      </c>
      <c r="W1466" t="s">
        <v>1696</v>
      </c>
    </row>
    <row r="1467" spans="1:23" x14ac:dyDescent="0.2">
      <c r="A1467" s="5" t="s">
        <v>1688</v>
      </c>
      <c r="B1467" t="s">
        <v>33</v>
      </c>
      <c r="C1467" t="s">
        <v>38</v>
      </c>
      <c r="D1467" s="65" t="str">
        <f t="shared" si="69"/>
        <v>UNI_V_b</v>
      </c>
      <c r="E1467">
        <v>69</v>
      </c>
      <c r="F1467" t="s">
        <v>39</v>
      </c>
      <c r="G1467" t="s">
        <v>1697</v>
      </c>
      <c r="I1467" t="s">
        <v>1698</v>
      </c>
      <c r="J1467" s="82">
        <v>1</v>
      </c>
      <c r="K1467" s="82">
        <v>0.9</v>
      </c>
      <c r="L1467" s="82">
        <v>0.9</v>
      </c>
      <c r="M1467" s="82">
        <v>0.9</v>
      </c>
      <c r="N1467" s="82">
        <v>1</v>
      </c>
      <c r="O1467" s="44">
        <f t="shared" si="68"/>
        <v>2.7027027027027016E-3</v>
      </c>
      <c r="P1467">
        <f t="shared" si="70"/>
        <v>0.93999999999999984</v>
      </c>
      <c r="Q1467" s="111">
        <v>1.2E-2</v>
      </c>
      <c r="R1467">
        <v>8.0000000000000002E-3</v>
      </c>
      <c r="S1467" s="65">
        <v>0</v>
      </c>
      <c r="T1467">
        <v>0</v>
      </c>
      <c r="U1467" t="s">
        <v>51</v>
      </c>
      <c r="W1467" t="s">
        <v>1696</v>
      </c>
    </row>
    <row r="1468" spans="1:23" x14ac:dyDescent="0.2">
      <c r="A1468" s="5" t="s">
        <v>1688</v>
      </c>
      <c r="B1468" s="6" t="s">
        <v>27</v>
      </c>
      <c r="C1468" s="6" t="s">
        <v>45</v>
      </c>
      <c r="D1468" s="65" t="str">
        <f t="shared" si="69"/>
        <v>UNI_S_c</v>
      </c>
      <c r="E1468">
        <v>86</v>
      </c>
      <c r="F1468" t="s">
        <v>43</v>
      </c>
      <c r="G1468" t="s">
        <v>1699</v>
      </c>
      <c r="I1468">
        <v>0</v>
      </c>
      <c r="J1468" s="82">
        <v>1.1000000000000001</v>
      </c>
      <c r="K1468" s="82">
        <v>12.5</v>
      </c>
      <c r="L1468" s="82">
        <v>1</v>
      </c>
      <c r="M1468" s="82">
        <v>1</v>
      </c>
      <c r="N1468" s="82">
        <v>0.9</v>
      </c>
      <c r="O1468" s="44">
        <f t="shared" ref="O1468:O1473" si="72">VAR(J1468:M1468)/AVERAGE(J1468:M1468)</f>
        <v>8.4290598290598293</v>
      </c>
      <c r="P1468">
        <f t="shared" si="70"/>
        <v>3.3</v>
      </c>
      <c r="Q1468" s="111">
        <v>2E-3</v>
      </c>
      <c r="R1468">
        <v>7.0000000000000001E-3</v>
      </c>
      <c r="S1468" s="65">
        <v>0</v>
      </c>
      <c r="T1468">
        <v>7</v>
      </c>
      <c r="U1468" t="s">
        <v>51</v>
      </c>
      <c r="W1468" t="s">
        <v>1700</v>
      </c>
    </row>
    <row r="1469" spans="1:23" x14ac:dyDescent="0.2">
      <c r="A1469" s="5" t="s">
        <v>1688</v>
      </c>
      <c r="B1469" s="6" t="s">
        <v>36</v>
      </c>
      <c r="C1469" s="6" t="s">
        <v>45</v>
      </c>
      <c r="D1469" s="65" t="str">
        <f t="shared" si="69"/>
        <v>UNI_O_c</v>
      </c>
      <c r="E1469">
        <v>86</v>
      </c>
      <c r="F1469" t="s">
        <v>68</v>
      </c>
      <c r="G1469" t="s">
        <v>1701</v>
      </c>
      <c r="I1469">
        <v>0</v>
      </c>
      <c r="J1469" s="82">
        <v>1</v>
      </c>
      <c r="K1469" s="82">
        <v>10.199999999999999</v>
      </c>
      <c r="L1469" s="82">
        <v>1</v>
      </c>
      <c r="M1469" s="82">
        <v>1</v>
      </c>
      <c r="N1469" s="82">
        <v>0.9</v>
      </c>
      <c r="O1469" s="44">
        <f t="shared" si="72"/>
        <v>6.4121212121212121</v>
      </c>
      <c r="P1469">
        <f t="shared" si="70"/>
        <v>2.82</v>
      </c>
      <c r="Q1469" s="111">
        <v>1E-3</v>
      </c>
      <c r="R1469">
        <v>8.9999999999999993E-3</v>
      </c>
      <c r="S1469" s="65">
        <v>0</v>
      </c>
      <c r="T1469">
        <v>0</v>
      </c>
      <c r="U1469" t="s">
        <v>51</v>
      </c>
      <c r="W1469" t="s">
        <v>1547</v>
      </c>
    </row>
    <row r="1470" spans="1:23" x14ac:dyDescent="0.2">
      <c r="A1470" s="5" t="s">
        <v>1688</v>
      </c>
      <c r="B1470" s="6" t="s">
        <v>33</v>
      </c>
      <c r="C1470" s="6" t="s">
        <v>45</v>
      </c>
      <c r="D1470" s="65" t="str">
        <f t="shared" si="69"/>
        <v>UNI_V_c</v>
      </c>
      <c r="E1470">
        <v>90</v>
      </c>
      <c r="F1470" t="s">
        <v>82</v>
      </c>
      <c r="G1470" t="s">
        <v>1702</v>
      </c>
      <c r="I1470">
        <v>0</v>
      </c>
      <c r="J1470" s="82">
        <v>1.1000000000000001</v>
      </c>
      <c r="K1470" s="82">
        <v>1</v>
      </c>
      <c r="L1470" s="82">
        <v>0.9</v>
      </c>
      <c r="M1470" s="82">
        <v>1</v>
      </c>
      <c r="N1470" s="82">
        <v>0.9</v>
      </c>
      <c r="O1470" s="44">
        <f t="shared" si="72"/>
        <v>6.6666666666666706E-3</v>
      </c>
      <c r="P1470">
        <f t="shared" si="70"/>
        <v>0.98000000000000009</v>
      </c>
      <c r="Q1470" s="111">
        <v>1E-3</v>
      </c>
      <c r="R1470">
        <v>1.2999999999999999E-2</v>
      </c>
      <c r="S1470" s="65">
        <v>0</v>
      </c>
      <c r="T1470">
        <v>0</v>
      </c>
      <c r="U1470" t="s">
        <v>51</v>
      </c>
    </row>
    <row r="1471" spans="1:23" x14ac:dyDescent="0.2">
      <c r="A1471" s="5" t="s">
        <v>1688</v>
      </c>
      <c r="B1471" s="6" t="s">
        <v>36</v>
      </c>
      <c r="C1471" s="6" t="s">
        <v>52</v>
      </c>
      <c r="D1471" s="65" t="str">
        <f t="shared" si="69"/>
        <v>UNI_O_d</v>
      </c>
      <c r="E1471">
        <v>115</v>
      </c>
      <c r="F1471" t="s">
        <v>82</v>
      </c>
      <c r="G1471" t="s">
        <v>1703</v>
      </c>
      <c r="I1471">
        <v>0</v>
      </c>
      <c r="J1471" s="82">
        <v>1.1000000000000001</v>
      </c>
      <c r="K1471" s="82">
        <v>1</v>
      </c>
      <c r="L1471" s="82">
        <v>1</v>
      </c>
      <c r="M1471" s="19">
        <v>1</v>
      </c>
      <c r="N1471" s="83">
        <v>0.9</v>
      </c>
      <c r="O1471" s="44">
        <f t="shared" si="72"/>
        <v>2.4390243902439068E-3</v>
      </c>
      <c r="P1471">
        <f t="shared" si="70"/>
        <v>1</v>
      </c>
      <c r="Q1471" s="111">
        <v>1E-3</v>
      </c>
      <c r="R1471">
        <v>0.01</v>
      </c>
      <c r="S1471" s="65">
        <v>0</v>
      </c>
      <c r="T1471">
        <v>0</v>
      </c>
      <c r="U1471" t="s">
        <v>51</v>
      </c>
      <c r="W1471" t="s">
        <v>1696</v>
      </c>
    </row>
    <row r="1472" spans="1:23" s="19" customFormat="1" x14ac:dyDescent="0.2">
      <c r="A1472" s="17" t="s">
        <v>1688</v>
      </c>
      <c r="B1472" s="18" t="s">
        <v>33</v>
      </c>
      <c r="C1472" s="18" t="s">
        <v>52</v>
      </c>
      <c r="D1472" s="66" t="str">
        <f t="shared" si="69"/>
        <v>UNI_V_d</v>
      </c>
      <c r="E1472" s="19">
        <v>118</v>
      </c>
      <c r="F1472" s="19" t="s">
        <v>70</v>
      </c>
      <c r="G1472" s="19" t="s">
        <v>1704</v>
      </c>
      <c r="I1472">
        <v>0</v>
      </c>
      <c r="J1472" s="83">
        <v>1.1000000000000001</v>
      </c>
      <c r="K1472" s="83">
        <v>1</v>
      </c>
      <c r="L1472" s="82">
        <v>1</v>
      </c>
      <c r="M1472">
        <v>1</v>
      </c>
      <c r="N1472" s="82">
        <v>0.9</v>
      </c>
      <c r="O1472" s="54">
        <f t="shared" si="72"/>
        <v>2.4390243902439068E-3</v>
      </c>
      <c r="P1472">
        <f t="shared" si="70"/>
        <v>1</v>
      </c>
      <c r="Q1472" s="112">
        <v>6.0000000000000001E-3</v>
      </c>
      <c r="R1472" s="19">
        <v>2E-3</v>
      </c>
      <c r="S1472" s="66">
        <v>0</v>
      </c>
      <c r="T1472" s="19">
        <v>0</v>
      </c>
      <c r="U1472" s="19" t="s">
        <v>51</v>
      </c>
      <c r="V1472"/>
      <c r="W1472" s="19" t="s">
        <v>1547</v>
      </c>
    </row>
    <row r="1473" spans="1:23" ht="16" x14ac:dyDescent="0.2">
      <c r="A1473" s="5" t="s">
        <v>1688</v>
      </c>
      <c r="B1473" s="6" t="s">
        <v>27</v>
      </c>
      <c r="C1473" s="6" t="s">
        <v>52</v>
      </c>
      <c r="D1473" s="65" t="str">
        <f t="shared" si="69"/>
        <v>UNI_S_d</v>
      </c>
      <c r="E1473">
        <v>124</v>
      </c>
      <c r="F1473" t="s">
        <v>41</v>
      </c>
      <c r="G1473" t="s">
        <v>1705</v>
      </c>
      <c r="I1473">
        <v>0</v>
      </c>
      <c r="J1473" s="82">
        <v>1</v>
      </c>
      <c r="K1473" s="82">
        <v>1</v>
      </c>
      <c r="L1473" s="84">
        <v>1</v>
      </c>
      <c r="M1473">
        <v>1</v>
      </c>
      <c r="N1473" s="82">
        <v>0.9</v>
      </c>
      <c r="O1473" s="44">
        <f t="shared" si="72"/>
        <v>0</v>
      </c>
      <c r="P1473">
        <f t="shared" si="70"/>
        <v>0.98000000000000009</v>
      </c>
      <c r="Q1473" s="111">
        <v>1.6E-2</v>
      </c>
      <c r="R1473">
        <v>8.0000000000000002E-3</v>
      </c>
      <c r="S1473" s="65">
        <v>0</v>
      </c>
      <c r="T1473">
        <v>0</v>
      </c>
      <c r="U1473" t="s">
        <v>51</v>
      </c>
      <c r="W1473" t="s">
        <v>1547</v>
      </c>
    </row>
    <row r="1474" spans="1:23" ht="16" x14ac:dyDescent="0.2">
      <c r="A1474" s="5"/>
      <c r="B1474" s="6"/>
      <c r="C1474" s="6"/>
      <c r="D1474" s="65" t="s">
        <v>1706</v>
      </c>
      <c r="E1474">
        <v>145</v>
      </c>
      <c r="F1474" t="s">
        <v>39</v>
      </c>
      <c r="G1474" t="s">
        <v>1707</v>
      </c>
      <c r="H1474" t="s">
        <v>1038</v>
      </c>
      <c r="I1474">
        <v>0</v>
      </c>
      <c r="J1474" s="82">
        <v>0</v>
      </c>
      <c r="K1474" s="82">
        <v>0</v>
      </c>
      <c r="L1474" s="84">
        <v>0</v>
      </c>
      <c r="M1474" s="82">
        <v>0</v>
      </c>
      <c r="N1474" s="82">
        <v>0</v>
      </c>
      <c r="O1474" s="44" t="s">
        <v>57</v>
      </c>
      <c r="P1474">
        <f t="shared" si="70"/>
        <v>0</v>
      </c>
      <c r="Q1474" s="111" t="s">
        <v>57</v>
      </c>
      <c r="R1474" t="s">
        <v>57</v>
      </c>
      <c r="S1474" s="65" t="s">
        <v>57</v>
      </c>
      <c r="T1474" t="s">
        <v>57</v>
      </c>
      <c r="W1474" t="s">
        <v>67</v>
      </c>
    </row>
    <row r="1475" spans="1:23" ht="16" x14ac:dyDescent="0.2">
      <c r="B1475" s="6"/>
      <c r="C1475" s="6"/>
      <c r="D1475" s="65" t="s">
        <v>1706</v>
      </c>
      <c r="E1475">
        <v>145</v>
      </c>
      <c r="F1475" t="s">
        <v>43</v>
      </c>
      <c r="G1475" t="s">
        <v>1708</v>
      </c>
      <c r="H1475" t="s">
        <v>1038</v>
      </c>
      <c r="I1475">
        <v>0</v>
      </c>
      <c r="K1475" s="82">
        <v>0</v>
      </c>
      <c r="L1475" s="84">
        <v>0</v>
      </c>
      <c r="M1475" s="82">
        <v>0</v>
      </c>
      <c r="N1475" s="82">
        <v>0</v>
      </c>
      <c r="O1475" s="44" t="s">
        <v>57</v>
      </c>
      <c r="P1475">
        <f t="shared" si="70"/>
        <v>0</v>
      </c>
      <c r="Q1475" s="111" t="s">
        <v>57</v>
      </c>
      <c r="R1475" t="s">
        <v>57</v>
      </c>
      <c r="S1475" s="65" t="s">
        <v>57</v>
      </c>
      <c r="T1475" t="s">
        <v>57</v>
      </c>
      <c r="W1475" t="s">
        <v>67</v>
      </c>
    </row>
    <row r="1476" spans="1:23" ht="16" x14ac:dyDescent="0.2">
      <c r="B1476" s="6"/>
      <c r="C1476" s="6"/>
      <c r="D1476" s="65" t="s">
        <v>1706</v>
      </c>
      <c r="E1476">
        <v>146</v>
      </c>
      <c r="F1476" t="s">
        <v>43</v>
      </c>
      <c r="G1476" t="s">
        <v>1709</v>
      </c>
      <c r="H1476" t="s">
        <v>1038</v>
      </c>
      <c r="I1476">
        <v>0</v>
      </c>
      <c r="L1476" s="84"/>
      <c r="M1476" s="82"/>
      <c r="N1476" t="s">
        <v>57</v>
      </c>
      <c r="O1476" s="44" t="s">
        <v>57</v>
      </c>
      <c r="P1476" t="s">
        <v>57</v>
      </c>
      <c r="Q1476" s="111" t="s">
        <v>57</v>
      </c>
      <c r="R1476" t="s">
        <v>57</v>
      </c>
      <c r="S1476" s="65" t="s">
        <v>57</v>
      </c>
      <c r="T1476" t="s">
        <v>57</v>
      </c>
      <c r="W1476" t="s">
        <v>1710</v>
      </c>
    </row>
    <row r="1477" spans="1:23" ht="16" x14ac:dyDescent="0.2">
      <c r="A1477" s="5"/>
      <c r="B1477" s="6"/>
      <c r="C1477" s="6"/>
      <c r="D1477" s="65" t="s">
        <v>1706</v>
      </c>
      <c r="E1477">
        <v>146</v>
      </c>
      <c r="F1477" t="s">
        <v>82</v>
      </c>
      <c r="G1477" t="s">
        <v>1711</v>
      </c>
      <c r="H1477" t="s">
        <v>1038</v>
      </c>
      <c r="I1477">
        <v>0</v>
      </c>
      <c r="L1477" s="84"/>
      <c r="M1477" s="82"/>
      <c r="N1477" t="s">
        <v>57</v>
      </c>
      <c r="O1477" s="44" t="s">
        <v>57</v>
      </c>
      <c r="P1477" t="s">
        <v>57</v>
      </c>
      <c r="Q1477" s="111" t="s">
        <v>57</v>
      </c>
      <c r="R1477" t="s">
        <v>57</v>
      </c>
      <c r="S1477" s="65" t="s">
        <v>57</v>
      </c>
      <c r="T1477" t="s">
        <v>57</v>
      </c>
      <c r="W1477" t="s">
        <v>1712</v>
      </c>
    </row>
    <row r="1478" spans="1:23" ht="16" x14ac:dyDescent="0.2">
      <c r="A1478" s="5"/>
      <c r="B1478" s="6"/>
      <c r="C1478" s="6"/>
      <c r="D1478" s="65" t="s">
        <v>1706</v>
      </c>
      <c r="E1478">
        <v>147</v>
      </c>
      <c r="F1478" t="s">
        <v>70</v>
      </c>
      <c r="G1478" t="s">
        <v>1713</v>
      </c>
      <c r="H1478" t="s">
        <v>1038</v>
      </c>
      <c r="I1478">
        <v>0</v>
      </c>
      <c r="K1478" s="82">
        <v>0</v>
      </c>
      <c r="L1478" s="84">
        <v>0</v>
      </c>
      <c r="M1478" s="82">
        <v>0</v>
      </c>
      <c r="N1478" s="82">
        <v>0</v>
      </c>
      <c r="O1478" s="44" t="s">
        <v>57</v>
      </c>
      <c r="P1478">
        <f>AVERAGE(J1478:N1478)</f>
        <v>0</v>
      </c>
      <c r="Q1478" s="114" t="s">
        <v>57</v>
      </c>
      <c r="R1478" t="s">
        <v>57</v>
      </c>
      <c r="S1478" s="65" t="s">
        <v>57</v>
      </c>
      <c r="T1478" t="s">
        <v>57</v>
      </c>
      <c r="W1478" t="s">
        <v>1714</v>
      </c>
    </row>
    <row r="1479" spans="1:23" ht="16" x14ac:dyDescent="0.2">
      <c r="B1479" s="6"/>
      <c r="C1479" s="6"/>
      <c r="D1479" s="65" t="s">
        <v>1706</v>
      </c>
      <c r="E1479">
        <v>147</v>
      </c>
      <c r="F1479" t="s">
        <v>43</v>
      </c>
      <c r="G1479" t="s">
        <v>1715</v>
      </c>
      <c r="H1479" t="s">
        <v>1038</v>
      </c>
      <c r="I1479">
        <v>0</v>
      </c>
      <c r="K1479" s="82">
        <v>0</v>
      </c>
      <c r="L1479" s="84">
        <v>0</v>
      </c>
      <c r="M1479" s="82">
        <v>0</v>
      </c>
      <c r="N1479" s="82">
        <v>0</v>
      </c>
      <c r="O1479" s="44" t="s">
        <v>57</v>
      </c>
      <c r="P1479">
        <f>AVERAGE(J1479:N1479)</f>
        <v>0</v>
      </c>
      <c r="Q1479" s="111" t="s">
        <v>57</v>
      </c>
      <c r="R1479" t="s">
        <v>57</v>
      </c>
      <c r="S1479" s="65" t="s">
        <v>57</v>
      </c>
      <c r="T1479" t="s">
        <v>57</v>
      </c>
      <c r="W1479" t="s">
        <v>67</v>
      </c>
    </row>
    <row r="1480" spans="1:23" x14ac:dyDescent="0.2">
      <c r="B1480" s="6"/>
      <c r="C1480" s="6"/>
      <c r="D1480" s="65" t="s">
        <v>1706</v>
      </c>
      <c r="E1480">
        <v>147</v>
      </c>
      <c r="F1480" t="s">
        <v>68</v>
      </c>
      <c r="G1480" t="s">
        <v>1716</v>
      </c>
      <c r="H1480" t="s">
        <v>1038</v>
      </c>
      <c r="I1480">
        <v>0</v>
      </c>
      <c r="K1480" s="82">
        <v>0</v>
      </c>
      <c r="L1480" s="82"/>
      <c r="M1480" s="82">
        <v>0</v>
      </c>
      <c r="O1480" s="44" t="s">
        <v>57</v>
      </c>
      <c r="P1480">
        <f>AVERAGE(J1480:N1480)</f>
        <v>0</v>
      </c>
      <c r="Q1480" s="111" t="s">
        <v>57</v>
      </c>
      <c r="R1480" t="s">
        <v>57</v>
      </c>
      <c r="S1480" s="65" t="s">
        <v>57</v>
      </c>
      <c r="T1480" t="s">
        <v>57</v>
      </c>
      <c r="W1480" t="s">
        <v>67</v>
      </c>
    </row>
    <row r="1481" spans="1:23" ht="16" x14ac:dyDescent="0.2">
      <c r="A1481" s="5"/>
      <c r="B1481" s="6"/>
      <c r="C1481" s="6"/>
      <c r="D1481" s="65" t="s">
        <v>1706</v>
      </c>
      <c r="E1481">
        <v>148</v>
      </c>
      <c r="F1481" t="s">
        <v>70</v>
      </c>
      <c r="G1481" t="s">
        <v>1717</v>
      </c>
      <c r="H1481" t="s">
        <v>1038</v>
      </c>
      <c r="I1481">
        <v>0</v>
      </c>
      <c r="L1481" s="84"/>
      <c r="M1481" s="82"/>
      <c r="Q1481" s="111" t="s">
        <v>57</v>
      </c>
      <c r="R1481" t="s">
        <v>57</v>
      </c>
      <c r="S1481" s="65" t="s">
        <v>57</v>
      </c>
      <c r="T1481" t="s">
        <v>57</v>
      </c>
      <c r="W1481" t="s">
        <v>67</v>
      </c>
    </row>
    <row r="1482" spans="1:23" x14ac:dyDescent="0.2">
      <c r="B1482" s="6"/>
      <c r="C1482" s="6"/>
      <c r="W1482" t="s">
        <v>1718</v>
      </c>
    </row>
    <row r="1491" spans="8:14" ht="16" x14ac:dyDescent="0.2">
      <c r="H1491" s="5"/>
      <c r="I1491" s="6"/>
      <c r="J1491" s="6"/>
      <c r="K1491" s="65"/>
      <c r="L1491" s="64"/>
      <c r="N1491"/>
    </row>
    <row r="1492" spans="8:14" ht="16" x14ac:dyDescent="0.2">
      <c r="H1492" s="5"/>
      <c r="I1492" s="6"/>
      <c r="J1492" s="6"/>
      <c r="K1492" s="65"/>
      <c r="L1492" s="64"/>
      <c r="N1492"/>
    </row>
    <row r="1493" spans="8:14" ht="16" x14ac:dyDescent="0.2">
      <c r="H1493" s="5"/>
      <c r="I1493" s="6"/>
      <c r="J1493" s="6"/>
      <c r="K1493" s="65"/>
      <c r="L1493" s="64"/>
      <c r="N1493"/>
    </row>
    <row r="1494" spans="8:14" ht="16" x14ac:dyDescent="0.2">
      <c r="H1494" s="5"/>
      <c r="I1494" s="6"/>
      <c r="J1494" s="6"/>
      <c r="K1494" s="65"/>
      <c r="L1494" s="64"/>
      <c r="N1494"/>
    </row>
    <row r="1495" spans="8:14" ht="16" x14ac:dyDescent="0.2">
      <c r="H1495" s="1"/>
      <c r="I1495" s="6"/>
      <c r="J1495" s="6"/>
      <c r="K1495" s="65"/>
      <c r="L1495" s="64"/>
      <c r="N1495"/>
    </row>
    <row r="1496" spans="8:14" ht="16" x14ac:dyDescent="0.2">
      <c r="H1496" s="5"/>
      <c r="I1496" s="6"/>
      <c r="J1496" s="6"/>
      <c r="K1496" s="65"/>
      <c r="L1496" s="64"/>
      <c r="N1496"/>
    </row>
    <row r="1497" spans="8:14" ht="16" x14ac:dyDescent="0.2">
      <c r="H1497" s="5"/>
      <c r="I1497" s="6"/>
      <c r="J1497" s="6"/>
      <c r="K1497" s="65"/>
      <c r="L1497" s="64"/>
      <c r="N1497"/>
    </row>
    <row r="1498" spans="8:14" ht="16" x14ac:dyDescent="0.2">
      <c r="H1498" s="5"/>
      <c r="I1498" s="6"/>
      <c r="J1498" s="6"/>
      <c r="K1498" s="65"/>
      <c r="L1498" s="64"/>
      <c r="N1498"/>
    </row>
    <row r="1499" spans="8:14" ht="16" x14ac:dyDescent="0.2">
      <c r="H1499" s="1"/>
      <c r="I1499" s="6"/>
      <c r="J1499" s="6"/>
      <c r="K1499" s="65"/>
      <c r="L1499" s="64"/>
      <c r="N1499"/>
    </row>
  </sheetData>
  <sortState xmlns:xlrd2="http://schemas.microsoft.com/office/spreadsheetml/2017/richdata2" ref="A1430:H1449">
    <sortCondition ref="B1430:B1449"/>
  </sortState>
  <phoneticPr fontId="9" type="noConversion"/>
  <conditionalFormatting sqref="O1:O1048576">
    <cfRule type="cellIs" dxfId="0" priority="13" operator="greaterThan">
      <formula>6</formula>
    </cfRule>
  </conditionalFormatting>
  <conditionalFormatting sqref="P2:P1481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1F85FB0D-D5C7-4524-934B-981E14EA8DA0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K1422:K1430</xm:sqref>
        </x14:conditionalFormatting>
        <x14:conditionalFormatting xmlns:xm="http://schemas.microsoft.com/office/excel/2006/main">
          <x14:cfRule type="iconSet" priority="6" id="{C470784F-1062-451B-B9FA-E78FFFD9F4EE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L624:L631</xm:sqref>
        </x14:conditionalFormatting>
        <x14:conditionalFormatting xmlns:xm="http://schemas.microsoft.com/office/excel/2006/main">
          <x14:cfRule type="iconSet" priority="11" id="{D1F9E9ED-AE37-48C0-BC15-70E8DF10FB16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L1422:L1431</xm:sqref>
        </x14:conditionalFormatting>
        <x14:conditionalFormatting xmlns:xm="http://schemas.microsoft.com/office/excel/2006/main">
          <x14:cfRule type="iconSet" priority="2" id="{7945E65A-F5D8-4E4B-88A9-A62B5E1D2BEF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L1491:L1499</xm:sqref>
        </x14:conditionalFormatting>
        <x14:conditionalFormatting xmlns:xm="http://schemas.microsoft.com/office/excel/2006/main">
          <x14:cfRule type="iconSet" priority="4" id="{EE7D35E4-3AF9-42C2-A5DD-330F93E728B1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M842:M851</xm:sqref>
        </x14:conditionalFormatting>
        <x14:conditionalFormatting xmlns:xm="http://schemas.microsoft.com/office/excel/2006/main">
          <x14:cfRule type="iconSet" priority="8" id="{915C2CA8-B39E-4DD9-A8AB-FE78ACE002AF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M1432:M1441</xm:sqref>
        </x14:conditionalFormatting>
        <x14:conditionalFormatting xmlns:xm="http://schemas.microsoft.com/office/excel/2006/main">
          <x14:cfRule type="iconSet" priority="1" id="{1C3C3060-43DF-423E-9BD0-4A043CB9A6FE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M1491:N1499</xm:sqref>
        </x14:conditionalFormatting>
        <x14:conditionalFormatting xmlns:xm="http://schemas.microsoft.com/office/excel/2006/main">
          <x14:cfRule type="iconSet" priority="3" id="{E98CD6FD-FE59-4F3C-80C9-82077DB822FB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Q812:Q816 Q818 Q820</xm:sqref>
        </x14:conditionalFormatting>
        <x14:conditionalFormatting xmlns:xm="http://schemas.microsoft.com/office/excel/2006/main">
          <x14:cfRule type="iconSet" priority="15" id="{20E2228C-A094-B343-96AF-EEFDB12451DF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W1421:W1430 M145:M150 P1 J302:L311 J1:N144 J152:N196 J145:L151 N145:N151 J197:L201 N197:N201 M198:M201 J1012:N1421 J1002:J1011 L1002:N1011 J1422:J1440 L1432:L1440 K1431:K1440 M1422:N1431 J1441:L1441 N1432:N1441 J632:N636 J642:N642 J852:N1001 J842:L851 N842:N851 J658:J661 K659:K661 J637:K641 M637:N641 L638:L641 J624:K631 M624:N631 J1500:N1048576 J312:M317 N302:N317 R834:R835 R850:R855 R857:R860 R863:R867 R870:R876 R878:R882 R884 R886:R897 R899:R901 R837:R840 R842:R848 J1442:N1490 J672:N841 J662:K671 J643:K657 L643:N671 J318:N623 J202:N301</xm:sqref>
        </x14:conditionalFormatting>
        <x14:conditionalFormatting xmlns:xm="http://schemas.microsoft.com/office/excel/2006/main">
          <x14:cfRule type="iconSet" priority="9" id="{4FF9EFEE-EEE3-4B62-B196-25405468D3F6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X1427:X1436</xm:sqref>
        </x14:conditionalFormatting>
        <x14:conditionalFormatting xmlns:xm="http://schemas.microsoft.com/office/excel/2006/main">
          <x14:cfRule type="iconSet" priority="5" id="{091A2EBC-9553-4677-8C7A-C52881E282FD}">
            <x14:iconSet iconSet="3Triangles" custom="1">
              <x14:cfvo type="percent">
                <xm:f>0</xm:f>
              </x14:cfvo>
              <x14:cfvo type="num">
                <xm:f>2</xm:f>
              </x14:cfvo>
              <x14:cfvo type="num">
                <xm:f>30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Y182:Y191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657E-14F6-9944-AF8D-F39DAF6DA7F3}">
  <dimension ref="A1:R468"/>
  <sheetViews>
    <sheetView workbookViewId="0">
      <selection activeCell="N8" sqref="N8"/>
    </sheetView>
  </sheetViews>
  <sheetFormatPr baseColWidth="10" defaultColWidth="10.83203125" defaultRowHeight="15" x14ac:dyDescent="0.2"/>
  <cols>
    <col min="2" max="2" width="9.33203125" style="39" customWidth="1"/>
    <col min="4" max="4" width="14.33203125" customWidth="1"/>
    <col min="5" max="5" width="20" customWidth="1"/>
    <col min="6" max="6" width="17.33203125" style="104" customWidth="1"/>
    <col min="14" max="14" width="64.83203125" customWidth="1"/>
    <col min="15" max="15" width="63" style="123" customWidth="1"/>
  </cols>
  <sheetData>
    <row r="1" spans="1:18" x14ac:dyDescent="0.2">
      <c r="A1" s="28" t="s">
        <v>1719</v>
      </c>
      <c r="B1" s="38" t="s">
        <v>1720</v>
      </c>
      <c r="C1" s="28" t="s">
        <v>1721</v>
      </c>
      <c r="D1" s="28" t="s">
        <v>1722</v>
      </c>
      <c r="E1" s="28" t="s">
        <v>1723</v>
      </c>
      <c r="F1" s="100" t="s">
        <v>1724</v>
      </c>
      <c r="G1" s="28" t="s">
        <v>1725</v>
      </c>
      <c r="H1" s="28" t="s">
        <v>1726</v>
      </c>
      <c r="I1" s="28" t="s">
        <v>1727</v>
      </c>
      <c r="J1" s="28" t="s">
        <v>1728</v>
      </c>
      <c r="K1" s="28" t="s">
        <v>1729</v>
      </c>
      <c r="L1" s="28" t="s">
        <v>1730</v>
      </c>
      <c r="M1" t="s">
        <v>1731</v>
      </c>
      <c r="N1" t="s">
        <v>1732</v>
      </c>
      <c r="O1" s="123" t="s">
        <v>1733</v>
      </c>
      <c r="P1" t="s">
        <v>24</v>
      </c>
      <c r="Q1" t="s">
        <v>4</v>
      </c>
      <c r="R1" t="s">
        <v>5</v>
      </c>
    </row>
    <row r="2" spans="1:18" ht="16" x14ac:dyDescent="0.2">
      <c r="A2" t="s">
        <v>1734</v>
      </c>
      <c r="B2" s="39">
        <v>1</v>
      </c>
      <c r="C2" t="str">
        <f t="shared" ref="C2:C65" si="0">A2&amp;"."&amp;B2</f>
        <v>001.O.a.1</v>
      </c>
      <c r="D2">
        <v>2.3E-2</v>
      </c>
      <c r="E2">
        <v>2</v>
      </c>
      <c r="F2" s="101" t="s">
        <v>1735</v>
      </c>
      <c r="G2" s="64">
        <v>12</v>
      </c>
      <c r="H2" s="64">
        <v>9</v>
      </c>
      <c r="I2" s="64">
        <v>9</v>
      </c>
      <c r="J2">
        <v>5</v>
      </c>
      <c r="K2">
        <v>10</v>
      </c>
      <c r="L2">
        <f>AVERAGE(G2:K2)</f>
        <v>9</v>
      </c>
      <c r="M2" t="s">
        <v>51</v>
      </c>
      <c r="O2" s="123" t="e">
        <f>(L2/2)*10^(F2+[1]Timeline!$E$311)</f>
        <v>#VALUE!</v>
      </c>
      <c r="P2" t="s">
        <v>32</v>
      </c>
      <c r="Q2" t="str">
        <f>LEFT(A2,3)</f>
        <v>001</v>
      </c>
      <c r="R2" t="str">
        <f>LEFT(RIGHT(A2,3),1)</f>
        <v>O</v>
      </c>
    </row>
    <row r="3" spans="1:18" ht="16" x14ac:dyDescent="0.2">
      <c r="A3" t="s">
        <v>1734</v>
      </c>
      <c r="B3" s="39">
        <v>2</v>
      </c>
      <c r="C3" t="str">
        <f t="shared" si="0"/>
        <v>001.O.a.2</v>
      </c>
      <c r="D3">
        <v>2.5000000000000001E-2</v>
      </c>
      <c r="E3">
        <v>1</v>
      </c>
      <c r="F3" s="101">
        <v>3</v>
      </c>
      <c r="G3" s="64">
        <v>20</v>
      </c>
      <c r="H3" s="64">
        <v>21</v>
      </c>
      <c r="I3" s="64">
        <v>23</v>
      </c>
      <c r="J3">
        <v>37</v>
      </c>
      <c r="K3">
        <v>25</v>
      </c>
      <c r="L3">
        <f t="shared" ref="L3:L66" si="1">AVERAGE(G3:K3)</f>
        <v>25.2</v>
      </c>
      <c r="M3" t="s">
        <v>51</v>
      </c>
      <c r="O3" s="123">
        <f>(L3/2)*10^(F3+1)</f>
        <v>126000</v>
      </c>
      <c r="P3" t="s">
        <v>32</v>
      </c>
      <c r="Q3" t="str">
        <f t="shared" ref="Q3:Q66" si="2">LEFT(A3,3)</f>
        <v>001</v>
      </c>
      <c r="R3" t="str">
        <f t="shared" ref="R3:R66" si="3">LEFT(RIGHT(A3,3),1)</f>
        <v>O</v>
      </c>
    </row>
    <row r="4" spans="1:18" s="43" customFormat="1" ht="16" x14ac:dyDescent="0.2">
      <c r="A4" s="59" t="s">
        <v>1734</v>
      </c>
      <c r="B4" s="73">
        <v>3</v>
      </c>
      <c r="C4" s="43" t="str">
        <f t="shared" si="0"/>
        <v>001.O.a.3</v>
      </c>
      <c r="D4" s="43">
        <v>2.5999999999999999E-2</v>
      </c>
      <c r="E4" s="43">
        <v>1</v>
      </c>
      <c r="F4" s="101"/>
      <c r="G4" s="74"/>
      <c r="H4" s="74"/>
      <c r="I4" s="74"/>
      <c r="L4" s="43" t="e">
        <f t="shared" si="1"/>
        <v>#DIV/0!</v>
      </c>
      <c r="M4" s="43" t="s">
        <v>1736</v>
      </c>
      <c r="N4" s="43" t="s">
        <v>1737</v>
      </c>
      <c r="O4" s="123" t="e">
        <f t="shared" ref="O4:O66" si="4">(L4/2)*10^(F4+1)</f>
        <v>#DIV/0!</v>
      </c>
      <c r="P4" t="s">
        <v>32</v>
      </c>
      <c r="Q4" t="str">
        <f t="shared" si="2"/>
        <v>001</v>
      </c>
      <c r="R4" t="str">
        <f t="shared" si="3"/>
        <v>O</v>
      </c>
    </row>
    <row r="5" spans="1:18" ht="16" x14ac:dyDescent="0.2">
      <c r="A5" s="6" t="s">
        <v>1734</v>
      </c>
      <c r="B5" s="40">
        <v>4</v>
      </c>
      <c r="C5" t="str">
        <f t="shared" si="0"/>
        <v>001.O.a.4</v>
      </c>
      <c r="D5">
        <v>4.1000000000000002E-2</v>
      </c>
      <c r="E5">
        <v>3</v>
      </c>
      <c r="F5" s="101">
        <v>3</v>
      </c>
      <c r="G5" s="64">
        <v>11</v>
      </c>
      <c r="H5" s="64">
        <v>11</v>
      </c>
      <c r="I5" s="64">
        <v>21</v>
      </c>
      <c r="J5">
        <v>9</v>
      </c>
      <c r="K5">
        <v>29</v>
      </c>
      <c r="L5">
        <f t="shared" si="1"/>
        <v>16.2</v>
      </c>
      <c r="M5" t="s">
        <v>51</v>
      </c>
      <c r="O5" s="123">
        <f>(L5/2)*10^(F5+1)</f>
        <v>81000</v>
      </c>
      <c r="P5" t="s">
        <v>32</v>
      </c>
      <c r="Q5" t="str">
        <f t="shared" si="2"/>
        <v>001</v>
      </c>
      <c r="R5" t="str">
        <f t="shared" si="3"/>
        <v>O</v>
      </c>
    </row>
    <row r="6" spans="1:18" ht="16" x14ac:dyDescent="0.2">
      <c r="A6" s="6" t="s">
        <v>1734</v>
      </c>
      <c r="B6" s="40">
        <v>5</v>
      </c>
      <c r="C6" t="str">
        <f t="shared" si="0"/>
        <v>001.O.a.5</v>
      </c>
      <c r="D6">
        <v>5.1999999999999998E-2</v>
      </c>
      <c r="E6">
        <v>2</v>
      </c>
      <c r="F6" s="101">
        <v>5</v>
      </c>
      <c r="G6" s="64">
        <v>30</v>
      </c>
      <c r="H6" s="64">
        <v>17</v>
      </c>
      <c r="I6" s="64">
        <v>8</v>
      </c>
      <c r="J6">
        <v>5</v>
      </c>
      <c r="K6">
        <v>8</v>
      </c>
      <c r="L6">
        <f>AVERAGE(G6:K6)</f>
        <v>13.6</v>
      </c>
      <c r="M6" t="s">
        <v>1736</v>
      </c>
      <c r="O6" s="123">
        <f>(L6/2)*10^(F6+1)</f>
        <v>6800000</v>
      </c>
      <c r="P6" t="s">
        <v>32</v>
      </c>
      <c r="Q6" t="str">
        <f t="shared" si="2"/>
        <v>001</v>
      </c>
      <c r="R6" t="str">
        <f t="shared" si="3"/>
        <v>O</v>
      </c>
    </row>
    <row r="7" spans="1:18" s="43" customFormat="1" ht="16" x14ac:dyDescent="0.2">
      <c r="A7" s="59" t="s">
        <v>1734</v>
      </c>
      <c r="B7" s="73">
        <v>6</v>
      </c>
      <c r="C7" s="43" t="str">
        <f t="shared" si="0"/>
        <v>001.O.a.6</v>
      </c>
      <c r="D7" s="43">
        <v>0.126</v>
      </c>
      <c r="E7" s="43">
        <v>3</v>
      </c>
      <c r="F7" s="101"/>
      <c r="G7" s="74"/>
      <c r="H7" s="74"/>
      <c r="I7" s="74"/>
      <c r="L7" s="43" t="e">
        <f t="shared" si="1"/>
        <v>#DIV/0!</v>
      </c>
      <c r="M7" s="43" t="s">
        <v>1736</v>
      </c>
      <c r="N7" s="43" t="str">
        <f>N19</f>
        <v>CONTA;NO RHIZOBIA</v>
      </c>
      <c r="O7" s="123" t="e">
        <f t="shared" si="4"/>
        <v>#DIV/0!</v>
      </c>
      <c r="P7" t="s">
        <v>32</v>
      </c>
      <c r="Q7" t="str">
        <f t="shared" si="2"/>
        <v>001</v>
      </c>
      <c r="R7" t="str">
        <f t="shared" si="3"/>
        <v>O</v>
      </c>
    </row>
    <row r="8" spans="1:18" ht="16" x14ac:dyDescent="0.2">
      <c r="A8" t="s">
        <v>1738</v>
      </c>
      <c r="B8" s="39">
        <v>1</v>
      </c>
      <c r="C8" t="str">
        <f t="shared" si="0"/>
        <v>001.O.b.1</v>
      </c>
      <c r="D8">
        <v>1.7999999999999999E-2</v>
      </c>
      <c r="E8">
        <v>1</v>
      </c>
      <c r="F8" s="101">
        <v>4</v>
      </c>
      <c r="G8" s="64">
        <v>70</v>
      </c>
      <c r="H8" s="64">
        <v>73</v>
      </c>
      <c r="I8" s="64">
        <v>60</v>
      </c>
      <c r="J8">
        <v>53</v>
      </c>
      <c r="K8">
        <v>55</v>
      </c>
      <c r="L8">
        <f t="shared" si="1"/>
        <v>62.2</v>
      </c>
      <c r="M8" t="s">
        <v>1736</v>
      </c>
      <c r="O8" s="123">
        <f>(L8/2)*10^(F8+1)</f>
        <v>3110000</v>
      </c>
      <c r="P8" t="s">
        <v>32</v>
      </c>
      <c r="Q8" t="str">
        <f t="shared" si="2"/>
        <v>001</v>
      </c>
      <c r="R8" t="str">
        <f t="shared" si="3"/>
        <v>O</v>
      </c>
    </row>
    <row r="9" spans="1:18" ht="16" x14ac:dyDescent="0.2">
      <c r="A9" t="s">
        <v>1738</v>
      </c>
      <c r="B9" s="39">
        <v>2</v>
      </c>
      <c r="C9" t="str">
        <f t="shared" si="0"/>
        <v>001.O.b.2</v>
      </c>
      <c r="D9">
        <v>2.4E-2</v>
      </c>
      <c r="E9">
        <v>2</v>
      </c>
      <c r="F9" s="101">
        <v>5</v>
      </c>
      <c r="G9" s="64">
        <v>17</v>
      </c>
      <c r="H9" s="64">
        <v>15</v>
      </c>
      <c r="I9" s="64">
        <v>14</v>
      </c>
      <c r="J9">
        <v>20</v>
      </c>
      <c r="K9">
        <v>17</v>
      </c>
      <c r="L9">
        <f t="shared" si="1"/>
        <v>16.600000000000001</v>
      </c>
      <c r="N9" s="99" t="s">
        <v>1739</v>
      </c>
      <c r="O9" s="123">
        <f t="shared" si="4"/>
        <v>8300000.0000000009</v>
      </c>
      <c r="P9" t="s">
        <v>32</v>
      </c>
      <c r="Q9" t="str">
        <f t="shared" si="2"/>
        <v>001</v>
      </c>
      <c r="R9" t="str">
        <f t="shared" si="3"/>
        <v>O</v>
      </c>
    </row>
    <row r="10" spans="1:18" ht="16" x14ac:dyDescent="0.2">
      <c r="A10" s="6" t="s">
        <v>1738</v>
      </c>
      <c r="B10" s="40">
        <v>3</v>
      </c>
      <c r="C10" t="str">
        <f t="shared" si="0"/>
        <v>001.O.b.3</v>
      </c>
      <c r="D10">
        <v>2.5999999999999999E-2</v>
      </c>
      <c r="E10">
        <v>1</v>
      </c>
      <c r="F10" s="101">
        <v>4</v>
      </c>
      <c r="G10" s="64">
        <v>72</v>
      </c>
      <c r="H10" s="64">
        <v>68</v>
      </c>
      <c r="I10" s="64">
        <v>75</v>
      </c>
      <c r="J10">
        <v>73</v>
      </c>
      <c r="K10">
        <v>45</v>
      </c>
      <c r="L10">
        <f t="shared" si="1"/>
        <v>66.599999999999994</v>
      </c>
      <c r="M10" t="str">
        <f>M8</f>
        <v>SG</v>
      </c>
      <c r="O10" s="123">
        <f t="shared" si="4"/>
        <v>3329999.9999999995</v>
      </c>
      <c r="P10" t="s">
        <v>32</v>
      </c>
      <c r="Q10" t="str">
        <f t="shared" si="2"/>
        <v>001</v>
      </c>
      <c r="R10" t="str">
        <f t="shared" si="3"/>
        <v>O</v>
      </c>
    </row>
    <row r="11" spans="1:18" ht="16" x14ac:dyDescent="0.2">
      <c r="A11" s="6" t="s">
        <v>1738</v>
      </c>
      <c r="B11" s="40">
        <v>4</v>
      </c>
      <c r="C11" t="str">
        <f t="shared" si="0"/>
        <v>001.O.b.4</v>
      </c>
      <c r="D11">
        <v>6.3E-2</v>
      </c>
      <c r="E11">
        <v>2</v>
      </c>
      <c r="F11" s="101">
        <v>6</v>
      </c>
      <c r="G11" s="64">
        <v>2</v>
      </c>
      <c r="H11" s="64">
        <v>10</v>
      </c>
      <c r="I11" s="64">
        <v>16</v>
      </c>
      <c r="J11">
        <v>4</v>
      </c>
      <c r="K11">
        <v>5</v>
      </c>
      <c r="L11">
        <f t="shared" si="1"/>
        <v>7.4</v>
      </c>
      <c r="M11" t="s">
        <v>1736</v>
      </c>
      <c r="O11" s="123">
        <f t="shared" si="4"/>
        <v>37000000</v>
      </c>
      <c r="P11" t="s">
        <v>32</v>
      </c>
      <c r="Q11" t="str">
        <f t="shared" si="2"/>
        <v>001</v>
      </c>
      <c r="R11" t="str">
        <f t="shared" si="3"/>
        <v>O</v>
      </c>
    </row>
    <row r="12" spans="1:18" ht="16" x14ac:dyDescent="0.2">
      <c r="A12" s="6" t="s">
        <v>1738</v>
      </c>
      <c r="B12" s="40">
        <v>5</v>
      </c>
      <c r="C12" t="str">
        <f t="shared" si="0"/>
        <v>001.O.b.5</v>
      </c>
      <c r="D12">
        <v>5.3999999999999999E-2</v>
      </c>
      <c r="E12">
        <v>2</v>
      </c>
      <c r="F12" s="101">
        <v>6</v>
      </c>
      <c r="G12" s="64">
        <v>8</v>
      </c>
      <c r="H12" s="64">
        <v>1</v>
      </c>
      <c r="I12" s="64">
        <v>2</v>
      </c>
      <c r="J12">
        <v>7</v>
      </c>
      <c r="K12">
        <v>4</v>
      </c>
      <c r="L12">
        <f t="shared" si="1"/>
        <v>4.4000000000000004</v>
      </c>
      <c r="M12" t="s">
        <v>1736</v>
      </c>
      <c r="O12" s="123">
        <f t="shared" si="4"/>
        <v>22000000</v>
      </c>
      <c r="P12" t="s">
        <v>32</v>
      </c>
      <c r="Q12" t="str">
        <f t="shared" si="2"/>
        <v>001</v>
      </c>
      <c r="R12" t="str">
        <f t="shared" si="3"/>
        <v>O</v>
      </c>
    </row>
    <row r="13" spans="1:18" ht="16" x14ac:dyDescent="0.2">
      <c r="A13" s="6" t="s">
        <v>1738</v>
      </c>
      <c r="B13" s="40">
        <v>6</v>
      </c>
      <c r="C13" t="str">
        <f t="shared" si="0"/>
        <v>001.O.b.6</v>
      </c>
      <c r="D13">
        <v>0.115</v>
      </c>
      <c r="E13" t="s">
        <v>1740</v>
      </c>
      <c r="F13" s="101">
        <v>5</v>
      </c>
      <c r="G13" s="64">
        <v>17</v>
      </c>
      <c r="H13" s="64">
        <v>8</v>
      </c>
      <c r="I13" s="64">
        <v>27</v>
      </c>
      <c r="J13">
        <v>13</v>
      </c>
      <c r="K13">
        <v>13</v>
      </c>
      <c r="L13">
        <f t="shared" si="1"/>
        <v>15.6</v>
      </c>
      <c r="M13" t="s">
        <v>1736</v>
      </c>
      <c r="O13" s="123">
        <f>(L13/2)*10^(F13+1)</f>
        <v>7800000</v>
      </c>
      <c r="P13" t="s">
        <v>32</v>
      </c>
      <c r="Q13" t="str">
        <f t="shared" si="2"/>
        <v>001</v>
      </c>
      <c r="R13" t="str">
        <f t="shared" si="3"/>
        <v>O</v>
      </c>
    </row>
    <row r="14" spans="1:18" ht="16" x14ac:dyDescent="0.2">
      <c r="A14" t="s">
        <v>1741</v>
      </c>
      <c r="B14" s="39">
        <v>1</v>
      </c>
      <c r="C14" t="str">
        <f t="shared" si="0"/>
        <v>001.O.c.1</v>
      </c>
      <c r="D14">
        <v>5.0000000000000001E-3</v>
      </c>
      <c r="E14">
        <v>1</v>
      </c>
      <c r="F14" s="101">
        <v>2</v>
      </c>
      <c r="G14" s="64">
        <v>14</v>
      </c>
      <c r="H14" s="64">
        <v>11</v>
      </c>
      <c r="I14" s="64">
        <v>12</v>
      </c>
      <c r="J14">
        <v>20</v>
      </c>
      <c r="K14">
        <v>14</v>
      </c>
      <c r="L14">
        <f t="shared" si="1"/>
        <v>14.2</v>
      </c>
      <c r="M14" t="s">
        <v>1736</v>
      </c>
      <c r="O14" s="123">
        <f t="shared" si="4"/>
        <v>7100</v>
      </c>
      <c r="P14" t="s">
        <v>32</v>
      </c>
      <c r="Q14" t="str">
        <f t="shared" si="2"/>
        <v>001</v>
      </c>
      <c r="R14" t="str">
        <f t="shared" si="3"/>
        <v>O</v>
      </c>
    </row>
    <row r="15" spans="1:18" ht="16" x14ac:dyDescent="0.2">
      <c r="A15" t="s">
        <v>1741</v>
      </c>
      <c r="B15" s="39">
        <v>2</v>
      </c>
      <c r="C15" t="str">
        <f t="shared" si="0"/>
        <v>001.O.c.2</v>
      </c>
      <c r="D15">
        <v>1.7000000000000001E-2</v>
      </c>
      <c r="E15">
        <v>1</v>
      </c>
      <c r="F15" s="101">
        <v>5</v>
      </c>
      <c r="G15" s="64">
        <v>13</v>
      </c>
      <c r="H15" s="64">
        <v>8</v>
      </c>
      <c r="I15" s="64">
        <v>3</v>
      </c>
      <c r="J15">
        <v>7</v>
      </c>
      <c r="K15">
        <v>3</v>
      </c>
      <c r="L15">
        <f t="shared" si="1"/>
        <v>6.8</v>
      </c>
      <c r="M15" t="s">
        <v>1736</v>
      </c>
      <c r="O15" s="123">
        <f t="shared" si="4"/>
        <v>3400000</v>
      </c>
      <c r="P15" t="s">
        <v>32</v>
      </c>
      <c r="Q15" t="str">
        <f t="shared" si="2"/>
        <v>001</v>
      </c>
      <c r="R15" t="str">
        <f t="shared" si="3"/>
        <v>O</v>
      </c>
    </row>
    <row r="16" spans="1:18" s="43" customFormat="1" ht="16" x14ac:dyDescent="0.2">
      <c r="A16" s="59" t="s">
        <v>1741</v>
      </c>
      <c r="B16" s="73">
        <v>3</v>
      </c>
      <c r="C16" s="43" t="str">
        <f t="shared" si="0"/>
        <v>001.O.c.3</v>
      </c>
      <c r="D16" s="43">
        <v>2.5000000000000001E-2</v>
      </c>
      <c r="E16" s="43">
        <v>1</v>
      </c>
      <c r="F16" s="101"/>
      <c r="G16" s="74"/>
      <c r="H16" s="74"/>
      <c r="I16" s="74"/>
      <c r="L16" s="43" t="e">
        <f t="shared" si="1"/>
        <v>#DIV/0!</v>
      </c>
      <c r="N16" s="43" t="str">
        <f>N7</f>
        <v>CONTA;NO RHIZOBIA</v>
      </c>
      <c r="O16" s="123" t="e">
        <f t="shared" si="4"/>
        <v>#DIV/0!</v>
      </c>
      <c r="P16" t="s">
        <v>32</v>
      </c>
      <c r="Q16" t="str">
        <f t="shared" si="2"/>
        <v>001</v>
      </c>
      <c r="R16" t="str">
        <f t="shared" si="3"/>
        <v>O</v>
      </c>
    </row>
    <row r="17" spans="1:18" ht="16" x14ac:dyDescent="0.2">
      <c r="A17" s="6" t="s">
        <v>1741</v>
      </c>
      <c r="B17" s="40">
        <v>4</v>
      </c>
      <c r="C17" t="str">
        <f t="shared" si="0"/>
        <v>001.O.c.4</v>
      </c>
      <c r="D17">
        <v>2.8000000000000001E-2</v>
      </c>
      <c r="E17">
        <v>1</v>
      </c>
      <c r="F17" s="101">
        <v>5</v>
      </c>
      <c r="G17" s="64">
        <v>14</v>
      </c>
      <c r="H17" s="64">
        <v>14</v>
      </c>
      <c r="I17" s="64">
        <v>5</v>
      </c>
      <c r="J17">
        <v>9</v>
      </c>
      <c r="K17">
        <v>6</v>
      </c>
      <c r="L17">
        <f t="shared" si="1"/>
        <v>9.6</v>
      </c>
      <c r="M17" t="s">
        <v>1736</v>
      </c>
      <c r="N17">
        <f>N6</f>
        <v>0</v>
      </c>
      <c r="O17" s="123">
        <f t="shared" si="4"/>
        <v>4800000</v>
      </c>
      <c r="P17" t="s">
        <v>32</v>
      </c>
      <c r="Q17" t="str">
        <f t="shared" si="2"/>
        <v>001</v>
      </c>
      <c r="R17" t="str">
        <f t="shared" si="3"/>
        <v>O</v>
      </c>
    </row>
    <row r="18" spans="1:18" ht="16" x14ac:dyDescent="0.2">
      <c r="A18" s="6" t="s">
        <v>1741</v>
      </c>
      <c r="B18" s="40">
        <v>5</v>
      </c>
      <c r="C18" t="str">
        <f t="shared" si="0"/>
        <v>001.O.c.5</v>
      </c>
      <c r="D18">
        <v>4.5999999999999999E-2</v>
      </c>
      <c r="E18">
        <v>3</v>
      </c>
      <c r="F18" s="101">
        <v>5</v>
      </c>
      <c r="G18" s="64">
        <v>41</v>
      </c>
      <c r="H18" s="64">
        <v>2</v>
      </c>
      <c r="I18" s="64">
        <v>13</v>
      </c>
      <c r="J18">
        <v>13</v>
      </c>
      <c r="K18">
        <v>12</v>
      </c>
      <c r="L18">
        <f t="shared" si="1"/>
        <v>16.2</v>
      </c>
      <c r="M18" t="s">
        <v>1736</v>
      </c>
      <c r="O18" s="123">
        <f t="shared" si="4"/>
        <v>8100000</v>
      </c>
      <c r="P18" t="s">
        <v>32</v>
      </c>
      <c r="Q18" t="str">
        <f t="shared" si="2"/>
        <v>001</v>
      </c>
      <c r="R18" t="str">
        <f t="shared" si="3"/>
        <v>O</v>
      </c>
    </row>
    <row r="19" spans="1:18" s="43" customFormat="1" ht="16" x14ac:dyDescent="0.2">
      <c r="A19" s="59" t="s">
        <v>1741</v>
      </c>
      <c r="B19" s="73">
        <v>6</v>
      </c>
      <c r="C19" s="43" t="str">
        <f t="shared" si="0"/>
        <v>001.O.c.6</v>
      </c>
      <c r="D19" s="43">
        <v>0.114</v>
      </c>
      <c r="E19" s="43" t="s">
        <v>1740</v>
      </c>
      <c r="F19" s="101"/>
      <c r="G19" s="74"/>
      <c r="H19" s="74"/>
      <c r="I19" s="74"/>
      <c r="L19" s="43" t="e">
        <f t="shared" si="1"/>
        <v>#DIV/0!</v>
      </c>
      <c r="N19" s="43" t="s">
        <v>1742</v>
      </c>
      <c r="O19" s="123" t="e">
        <f t="shared" si="4"/>
        <v>#DIV/0!</v>
      </c>
      <c r="P19" t="s">
        <v>32</v>
      </c>
      <c r="Q19" t="str">
        <f t="shared" si="2"/>
        <v>001</v>
      </c>
      <c r="R19" t="str">
        <f t="shared" si="3"/>
        <v>O</v>
      </c>
    </row>
    <row r="20" spans="1:18" ht="16" x14ac:dyDescent="0.2">
      <c r="A20" t="s">
        <v>1743</v>
      </c>
      <c r="B20" s="39">
        <v>1</v>
      </c>
      <c r="C20" t="str">
        <f t="shared" si="0"/>
        <v>001.S.a.1</v>
      </c>
      <c r="D20">
        <v>8.9999999999999993E-3</v>
      </c>
      <c r="E20">
        <v>1</v>
      </c>
      <c r="F20" s="101">
        <v>3</v>
      </c>
      <c r="G20" s="64">
        <v>45</v>
      </c>
      <c r="H20" s="64">
        <v>40</v>
      </c>
      <c r="I20" s="64">
        <v>55</v>
      </c>
      <c r="J20">
        <v>19</v>
      </c>
      <c r="K20">
        <v>33</v>
      </c>
      <c r="L20">
        <f t="shared" si="1"/>
        <v>38.4</v>
      </c>
      <c r="M20" t="s">
        <v>51</v>
      </c>
      <c r="O20" s="123">
        <f t="shared" si="4"/>
        <v>192000</v>
      </c>
      <c r="P20" t="s">
        <v>32</v>
      </c>
      <c r="Q20" t="str">
        <f t="shared" si="2"/>
        <v>001</v>
      </c>
      <c r="R20" t="str">
        <f t="shared" si="3"/>
        <v>S</v>
      </c>
    </row>
    <row r="21" spans="1:18" ht="16" x14ac:dyDescent="0.2">
      <c r="A21" t="s">
        <v>1743</v>
      </c>
      <c r="B21" s="39">
        <v>2</v>
      </c>
      <c r="C21" t="str">
        <f t="shared" si="0"/>
        <v>001.S.a.2</v>
      </c>
      <c r="D21">
        <v>1.9E-2</v>
      </c>
      <c r="E21">
        <v>1</v>
      </c>
      <c r="F21" s="101">
        <v>3</v>
      </c>
      <c r="G21" s="64">
        <v>27</v>
      </c>
      <c r="H21" s="64">
        <v>17</v>
      </c>
      <c r="I21" s="64">
        <v>20</v>
      </c>
      <c r="J21">
        <v>28</v>
      </c>
      <c r="K21">
        <v>21</v>
      </c>
      <c r="L21">
        <f t="shared" si="1"/>
        <v>22.6</v>
      </c>
      <c r="M21" t="s">
        <v>51</v>
      </c>
      <c r="O21" s="123">
        <f t="shared" si="4"/>
        <v>113000</v>
      </c>
      <c r="P21" t="s">
        <v>32</v>
      </c>
      <c r="Q21" t="str">
        <f t="shared" si="2"/>
        <v>001</v>
      </c>
      <c r="R21" t="str">
        <f t="shared" si="3"/>
        <v>S</v>
      </c>
    </row>
    <row r="22" spans="1:18" ht="16" x14ac:dyDescent="0.2">
      <c r="A22" s="6" t="s">
        <v>1743</v>
      </c>
      <c r="B22" s="40">
        <v>3</v>
      </c>
      <c r="C22" t="str">
        <f t="shared" si="0"/>
        <v>001.S.a.3</v>
      </c>
      <c r="D22">
        <v>4.2999999999999997E-2</v>
      </c>
      <c r="E22">
        <v>3</v>
      </c>
      <c r="F22" s="101">
        <v>4</v>
      </c>
      <c r="G22" s="64">
        <v>97</v>
      </c>
      <c r="H22" s="64">
        <v>111</v>
      </c>
      <c r="I22" s="64">
        <v>125</v>
      </c>
      <c r="J22">
        <v>84</v>
      </c>
      <c r="K22">
        <v>60</v>
      </c>
      <c r="L22">
        <f t="shared" si="1"/>
        <v>95.4</v>
      </c>
      <c r="M22" t="s">
        <v>1736</v>
      </c>
      <c r="O22" s="123">
        <f t="shared" si="4"/>
        <v>4770000</v>
      </c>
      <c r="P22" t="s">
        <v>32</v>
      </c>
      <c r="Q22" t="str">
        <f t="shared" si="2"/>
        <v>001</v>
      </c>
      <c r="R22" t="str">
        <f t="shared" si="3"/>
        <v>S</v>
      </c>
    </row>
    <row r="23" spans="1:18" ht="16" x14ac:dyDescent="0.2">
      <c r="A23" s="6" t="s">
        <v>1743</v>
      </c>
      <c r="B23" s="40">
        <v>4</v>
      </c>
      <c r="C23" t="str">
        <f t="shared" si="0"/>
        <v>001.S.a.4</v>
      </c>
      <c r="D23">
        <v>5.3999999999999999E-2</v>
      </c>
      <c r="E23">
        <v>3</v>
      </c>
      <c r="F23" s="101">
        <v>6</v>
      </c>
      <c r="G23" s="64">
        <v>3</v>
      </c>
      <c r="H23" s="64">
        <v>1</v>
      </c>
      <c r="I23" s="64">
        <v>5</v>
      </c>
      <c r="J23">
        <v>1</v>
      </c>
      <c r="K23">
        <v>0</v>
      </c>
      <c r="L23">
        <f t="shared" si="1"/>
        <v>2</v>
      </c>
      <c r="M23" t="s">
        <v>1736</v>
      </c>
      <c r="N23" t="s">
        <v>1744</v>
      </c>
      <c r="O23" s="123">
        <f t="shared" si="4"/>
        <v>10000000</v>
      </c>
      <c r="P23" t="s">
        <v>32</v>
      </c>
      <c r="Q23" t="str">
        <f t="shared" si="2"/>
        <v>001</v>
      </c>
      <c r="R23" t="str">
        <f t="shared" si="3"/>
        <v>S</v>
      </c>
    </row>
    <row r="24" spans="1:18" s="43" customFormat="1" ht="16" x14ac:dyDescent="0.2">
      <c r="A24" s="59" t="s">
        <v>1743</v>
      </c>
      <c r="B24" s="73">
        <v>5</v>
      </c>
      <c r="C24" s="43" t="str">
        <f t="shared" si="0"/>
        <v>001.S.a.5</v>
      </c>
      <c r="D24" s="43">
        <v>0.219</v>
      </c>
      <c r="E24" s="43" t="s">
        <v>1740</v>
      </c>
      <c r="F24" s="101"/>
      <c r="G24" s="74"/>
      <c r="H24" s="74"/>
      <c r="I24" s="74"/>
      <c r="L24" s="43" t="e">
        <f t="shared" si="1"/>
        <v>#DIV/0!</v>
      </c>
      <c r="M24" s="43" t="s">
        <v>1736</v>
      </c>
      <c r="N24" s="43" t="str">
        <f>N25</f>
        <v>CONTA;NO RHIZOBIA</v>
      </c>
      <c r="O24" s="123" t="e">
        <f t="shared" si="4"/>
        <v>#DIV/0!</v>
      </c>
      <c r="P24" t="s">
        <v>32</v>
      </c>
      <c r="Q24" t="str">
        <f t="shared" si="2"/>
        <v>001</v>
      </c>
      <c r="R24" t="str">
        <f t="shared" si="3"/>
        <v>S</v>
      </c>
    </row>
    <row r="25" spans="1:18" s="43" customFormat="1" ht="16" x14ac:dyDescent="0.2">
      <c r="A25" s="59" t="s">
        <v>1743</v>
      </c>
      <c r="B25" s="73">
        <v>6</v>
      </c>
      <c r="C25" s="43" t="str">
        <f t="shared" si="0"/>
        <v>001.S.a.6</v>
      </c>
      <c r="D25" s="43">
        <v>0.30299999999999999</v>
      </c>
      <c r="E25" s="43" t="s">
        <v>1740</v>
      </c>
      <c r="F25" s="101"/>
      <c r="G25" s="74"/>
      <c r="H25" s="74"/>
      <c r="I25" s="74"/>
      <c r="L25" s="43" t="e">
        <f t="shared" si="1"/>
        <v>#DIV/0!</v>
      </c>
      <c r="M25" s="43" t="s">
        <v>1736</v>
      </c>
      <c r="N25" s="43" t="str">
        <f>N16</f>
        <v>CONTA;NO RHIZOBIA</v>
      </c>
      <c r="O25" s="123" t="e">
        <f t="shared" si="4"/>
        <v>#DIV/0!</v>
      </c>
      <c r="P25" t="s">
        <v>32</v>
      </c>
      <c r="Q25" t="str">
        <f t="shared" si="2"/>
        <v>001</v>
      </c>
      <c r="R25" t="str">
        <f t="shared" si="3"/>
        <v>S</v>
      </c>
    </row>
    <row r="26" spans="1:18" ht="16" x14ac:dyDescent="0.2">
      <c r="A26" t="s">
        <v>1745</v>
      </c>
      <c r="B26" s="39">
        <v>1</v>
      </c>
      <c r="C26" t="str">
        <f t="shared" si="0"/>
        <v>001.S.b.1</v>
      </c>
      <c r="D26">
        <v>1.4E-2</v>
      </c>
      <c r="E26">
        <v>1</v>
      </c>
      <c r="F26" s="101">
        <v>3</v>
      </c>
      <c r="G26" s="64">
        <v>6</v>
      </c>
      <c r="H26" s="64">
        <v>7</v>
      </c>
      <c r="I26" s="64">
        <v>5</v>
      </c>
      <c r="J26">
        <v>2</v>
      </c>
      <c r="L26">
        <f t="shared" si="1"/>
        <v>5</v>
      </c>
      <c r="M26" t="s">
        <v>1736</v>
      </c>
      <c r="O26" s="123">
        <f t="shared" si="4"/>
        <v>25000</v>
      </c>
      <c r="P26" t="s">
        <v>32</v>
      </c>
      <c r="Q26" t="str">
        <f t="shared" si="2"/>
        <v>001</v>
      </c>
      <c r="R26" t="str">
        <f t="shared" si="3"/>
        <v>S</v>
      </c>
    </row>
    <row r="27" spans="1:18" ht="16" x14ac:dyDescent="0.2">
      <c r="A27" t="s">
        <v>1745</v>
      </c>
      <c r="B27" s="39">
        <v>2</v>
      </c>
      <c r="C27" t="str">
        <f t="shared" si="0"/>
        <v>001.S.b.2</v>
      </c>
      <c r="D27">
        <v>1.6E-2</v>
      </c>
      <c r="E27">
        <v>1</v>
      </c>
      <c r="F27" s="101">
        <v>3</v>
      </c>
      <c r="G27" s="64">
        <v>44</v>
      </c>
      <c r="H27" s="64">
        <v>27</v>
      </c>
      <c r="I27" s="64">
        <v>23</v>
      </c>
      <c r="J27">
        <v>51</v>
      </c>
      <c r="K27">
        <v>33</v>
      </c>
      <c r="L27">
        <f t="shared" si="1"/>
        <v>35.6</v>
      </c>
      <c r="M27" t="s">
        <v>1736</v>
      </c>
      <c r="O27" s="123">
        <f t="shared" si="4"/>
        <v>178000</v>
      </c>
      <c r="P27" t="s">
        <v>32</v>
      </c>
      <c r="Q27" t="str">
        <f t="shared" si="2"/>
        <v>001</v>
      </c>
      <c r="R27" t="str">
        <f t="shared" si="3"/>
        <v>S</v>
      </c>
    </row>
    <row r="28" spans="1:18" ht="16" x14ac:dyDescent="0.2">
      <c r="A28" s="6" t="s">
        <v>1745</v>
      </c>
      <c r="B28" s="40">
        <v>3</v>
      </c>
      <c r="C28" t="str">
        <f t="shared" si="0"/>
        <v>001.S.b.3</v>
      </c>
      <c r="D28">
        <v>3.4000000000000002E-2</v>
      </c>
      <c r="E28">
        <v>1</v>
      </c>
      <c r="F28" s="101">
        <v>4</v>
      </c>
      <c r="G28" s="64">
        <v>68</v>
      </c>
      <c r="H28" s="64">
        <v>64</v>
      </c>
      <c r="I28" s="64">
        <v>62</v>
      </c>
      <c r="J28">
        <v>80</v>
      </c>
      <c r="K28">
        <v>74</v>
      </c>
      <c r="L28">
        <f t="shared" si="1"/>
        <v>69.599999999999994</v>
      </c>
      <c r="M28" t="s">
        <v>1736</v>
      </c>
      <c r="O28" s="123">
        <f t="shared" si="4"/>
        <v>3479999.9999999995</v>
      </c>
      <c r="P28" t="s">
        <v>32</v>
      </c>
      <c r="Q28" t="str">
        <f t="shared" si="2"/>
        <v>001</v>
      </c>
      <c r="R28" t="str">
        <f t="shared" si="3"/>
        <v>S</v>
      </c>
    </row>
    <row r="29" spans="1:18" ht="16" x14ac:dyDescent="0.2">
      <c r="A29" s="6" t="s">
        <v>1745</v>
      </c>
      <c r="B29" s="40">
        <v>4</v>
      </c>
      <c r="C29" t="str">
        <f t="shared" si="0"/>
        <v>001.S.b.4</v>
      </c>
      <c r="D29">
        <v>4.3999999999999997E-2</v>
      </c>
      <c r="E29">
        <v>3</v>
      </c>
      <c r="F29" s="101">
        <v>5</v>
      </c>
      <c r="G29" s="64">
        <v>17</v>
      </c>
      <c r="H29" s="64">
        <v>23</v>
      </c>
      <c r="I29" s="64">
        <v>36</v>
      </c>
      <c r="J29">
        <v>11</v>
      </c>
      <c r="K29">
        <v>22</v>
      </c>
      <c r="L29">
        <f t="shared" si="1"/>
        <v>21.8</v>
      </c>
      <c r="M29" t="s">
        <v>1736</v>
      </c>
      <c r="O29" s="123">
        <f t="shared" si="4"/>
        <v>10900000</v>
      </c>
      <c r="P29" t="s">
        <v>32</v>
      </c>
      <c r="Q29" t="str">
        <f t="shared" si="2"/>
        <v>001</v>
      </c>
      <c r="R29" t="str">
        <f t="shared" si="3"/>
        <v>S</v>
      </c>
    </row>
    <row r="30" spans="1:18" s="43" customFormat="1" ht="16" x14ac:dyDescent="0.2">
      <c r="A30" s="59" t="s">
        <v>1745</v>
      </c>
      <c r="B30" s="73">
        <v>5</v>
      </c>
      <c r="C30" s="43" t="str">
        <f t="shared" si="0"/>
        <v>001.S.b.5</v>
      </c>
      <c r="D30" s="43">
        <v>8.5000000000000006E-2</v>
      </c>
      <c r="E30" s="43" t="s">
        <v>1740</v>
      </c>
      <c r="F30" s="101"/>
      <c r="G30" s="74"/>
      <c r="H30" s="74"/>
      <c r="I30" s="74"/>
      <c r="L30" s="43" t="e">
        <f t="shared" si="1"/>
        <v>#DIV/0!</v>
      </c>
      <c r="M30" s="43" t="s">
        <v>1736</v>
      </c>
      <c r="N30" s="43" t="s">
        <v>1746</v>
      </c>
      <c r="O30" s="123" t="e">
        <f t="shared" si="4"/>
        <v>#DIV/0!</v>
      </c>
      <c r="P30" t="s">
        <v>32</v>
      </c>
      <c r="Q30" t="str">
        <f t="shared" si="2"/>
        <v>001</v>
      </c>
      <c r="R30" t="str">
        <f t="shared" si="3"/>
        <v>S</v>
      </c>
    </row>
    <row r="31" spans="1:18" s="43" customFormat="1" ht="16" x14ac:dyDescent="0.2">
      <c r="A31" s="59" t="s">
        <v>1745</v>
      </c>
      <c r="B31" s="73">
        <v>6</v>
      </c>
      <c r="C31" s="43" t="str">
        <f t="shared" si="0"/>
        <v>001.S.b.6</v>
      </c>
      <c r="D31" s="43">
        <v>0.107</v>
      </c>
      <c r="E31" s="43" t="s">
        <v>1740</v>
      </c>
      <c r="F31" s="101">
        <v>5</v>
      </c>
      <c r="G31" s="74">
        <v>1</v>
      </c>
      <c r="H31" s="74">
        <v>0</v>
      </c>
      <c r="I31" s="74">
        <v>0</v>
      </c>
      <c r="J31" s="43">
        <v>0</v>
      </c>
      <c r="K31" s="43">
        <v>0</v>
      </c>
      <c r="L31" s="43">
        <f t="shared" si="1"/>
        <v>0.2</v>
      </c>
      <c r="M31" s="43" t="s">
        <v>1736</v>
      </c>
      <c r="N31" s="43" t="s">
        <v>1746</v>
      </c>
      <c r="O31" s="123">
        <f t="shared" si="4"/>
        <v>100000</v>
      </c>
      <c r="P31" t="s">
        <v>32</v>
      </c>
      <c r="Q31" t="str">
        <f t="shared" si="2"/>
        <v>001</v>
      </c>
      <c r="R31" t="str">
        <f t="shared" si="3"/>
        <v>S</v>
      </c>
    </row>
    <row r="32" spans="1:18" ht="16" x14ac:dyDescent="0.2">
      <c r="A32" t="s">
        <v>1747</v>
      </c>
      <c r="B32" s="39">
        <v>1</v>
      </c>
      <c r="C32" t="str">
        <f t="shared" si="0"/>
        <v>001.S.c.1</v>
      </c>
      <c r="D32">
        <v>1.0999999999999999E-2</v>
      </c>
      <c r="E32">
        <v>1</v>
      </c>
      <c r="F32" s="101">
        <v>3</v>
      </c>
      <c r="G32" s="64">
        <v>5</v>
      </c>
      <c r="H32" s="64">
        <v>6</v>
      </c>
      <c r="I32" s="64">
        <v>5</v>
      </c>
      <c r="J32">
        <v>8</v>
      </c>
      <c r="K32">
        <v>4</v>
      </c>
      <c r="L32">
        <f t="shared" si="1"/>
        <v>5.6</v>
      </c>
      <c r="M32" t="s">
        <v>51</v>
      </c>
      <c r="O32" s="123">
        <f t="shared" si="4"/>
        <v>28000</v>
      </c>
      <c r="P32" t="s">
        <v>32</v>
      </c>
      <c r="Q32" t="str">
        <f t="shared" si="2"/>
        <v>001</v>
      </c>
      <c r="R32" t="str">
        <f t="shared" si="3"/>
        <v>S</v>
      </c>
    </row>
    <row r="33" spans="1:18" ht="16" x14ac:dyDescent="0.2">
      <c r="A33" t="s">
        <v>1747</v>
      </c>
      <c r="B33" s="39">
        <v>2</v>
      </c>
      <c r="C33" t="str">
        <f t="shared" si="0"/>
        <v>001.S.c.2</v>
      </c>
      <c r="D33">
        <v>2.5999999999999999E-2</v>
      </c>
      <c r="E33">
        <v>2</v>
      </c>
      <c r="F33" s="101">
        <v>3</v>
      </c>
      <c r="G33" s="64">
        <v>86</v>
      </c>
      <c r="H33" s="64">
        <v>92</v>
      </c>
      <c r="I33" s="64">
        <v>102</v>
      </c>
      <c r="J33">
        <v>100</v>
      </c>
      <c r="K33">
        <v>64</v>
      </c>
      <c r="L33">
        <f t="shared" si="1"/>
        <v>88.8</v>
      </c>
      <c r="M33" t="s">
        <v>51</v>
      </c>
      <c r="O33" s="123">
        <f t="shared" si="4"/>
        <v>444000</v>
      </c>
      <c r="P33" t="s">
        <v>32</v>
      </c>
      <c r="Q33" t="str">
        <f t="shared" si="2"/>
        <v>001</v>
      </c>
      <c r="R33" t="str">
        <f t="shared" si="3"/>
        <v>S</v>
      </c>
    </row>
    <row r="34" spans="1:18" ht="16" x14ac:dyDescent="0.2">
      <c r="A34" s="6" t="s">
        <v>1747</v>
      </c>
      <c r="B34" s="40">
        <v>3</v>
      </c>
      <c r="C34" t="str">
        <f t="shared" si="0"/>
        <v>001.S.c.3</v>
      </c>
      <c r="D34">
        <v>2.9000000000000001E-2</v>
      </c>
      <c r="E34">
        <v>1</v>
      </c>
      <c r="F34" s="101">
        <v>4</v>
      </c>
      <c r="G34" s="64">
        <v>55</v>
      </c>
      <c r="H34" s="64">
        <v>51</v>
      </c>
      <c r="I34" s="64">
        <v>66</v>
      </c>
      <c r="J34">
        <v>38</v>
      </c>
      <c r="K34">
        <v>68</v>
      </c>
      <c r="L34">
        <f t="shared" si="1"/>
        <v>55.6</v>
      </c>
      <c r="M34" t="s">
        <v>1736</v>
      </c>
      <c r="O34" s="123">
        <f t="shared" si="4"/>
        <v>2780000</v>
      </c>
      <c r="P34" t="s">
        <v>32</v>
      </c>
      <c r="Q34" t="str">
        <f t="shared" si="2"/>
        <v>001</v>
      </c>
      <c r="R34" t="str">
        <f t="shared" si="3"/>
        <v>S</v>
      </c>
    </row>
    <row r="35" spans="1:18" ht="16" x14ac:dyDescent="0.2">
      <c r="A35" s="6" t="s">
        <v>1747</v>
      </c>
      <c r="B35" s="40">
        <v>4</v>
      </c>
      <c r="C35" t="str">
        <f t="shared" si="0"/>
        <v>001.S.c.4</v>
      </c>
      <c r="D35">
        <v>6.9000000000000006E-2</v>
      </c>
      <c r="E35">
        <v>5</v>
      </c>
      <c r="F35" s="101">
        <v>5</v>
      </c>
      <c r="G35" s="64">
        <v>15</v>
      </c>
      <c r="H35" s="64">
        <v>15</v>
      </c>
      <c r="I35" s="64">
        <v>5</v>
      </c>
      <c r="J35">
        <v>19</v>
      </c>
      <c r="K35">
        <v>9</v>
      </c>
      <c r="L35">
        <f t="shared" si="1"/>
        <v>12.6</v>
      </c>
      <c r="M35" t="s">
        <v>1736</v>
      </c>
      <c r="O35" s="123">
        <f t="shared" si="4"/>
        <v>6300000</v>
      </c>
      <c r="P35" t="s">
        <v>32</v>
      </c>
      <c r="Q35" t="str">
        <f t="shared" si="2"/>
        <v>001</v>
      </c>
      <c r="R35" t="str">
        <f t="shared" si="3"/>
        <v>S</v>
      </c>
    </row>
    <row r="36" spans="1:18" s="43" customFormat="1" ht="16" x14ac:dyDescent="0.2">
      <c r="A36" s="59" t="s">
        <v>1747</v>
      </c>
      <c r="B36" s="73">
        <v>5</v>
      </c>
      <c r="C36" s="43" t="str">
        <f t="shared" si="0"/>
        <v>001.S.c.5</v>
      </c>
      <c r="D36" s="43">
        <v>6.8000000000000005E-2</v>
      </c>
      <c r="E36" s="43" t="s">
        <v>1740</v>
      </c>
      <c r="F36" s="101"/>
      <c r="G36" s="74"/>
      <c r="H36" s="74"/>
      <c r="I36" s="74"/>
      <c r="L36" s="43" t="e">
        <f t="shared" si="1"/>
        <v>#DIV/0!</v>
      </c>
      <c r="M36" s="43" t="s">
        <v>1736</v>
      </c>
      <c r="N36" s="43" t="str">
        <f>N30</f>
        <v>NO GROWTH</v>
      </c>
      <c r="O36" s="123" t="e">
        <f t="shared" si="4"/>
        <v>#DIV/0!</v>
      </c>
      <c r="P36" t="s">
        <v>32</v>
      </c>
      <c r="Q36" t="str">
        <f t="shared" si="2"/>
        <v>001</v>
      </c>
      <c r="R36" t="str">
        <f t="shared" si="3"/>
        <v>S</v>
      </c>
    </row>
    <row r="37" spans="1:18" s="43" customFormat="1" ht="16" x14ac:dyDescent="0.2">
      <c r="A37" s="59" t="s">
        <v>1747</v>
      </c>
      <c r="B37" s="73">
        <v>6</v>
      </c>
      <c r="C37" s="43" t="str">
        <f t="shared" si="0"/>
        <v>001.S.c.6</v>
      </c>
      <c r="D37" s="43">
        <v>0.22</v>
      </c>
      <c r="E37" s="43" t="s">
        <v>1740</v>
      </c>
      <c r="F37" s="101"/>
      <c r="G37" s="74"/>
      <c r="H37" s="74"/>
      <c r="I37" s="74"/>
      <c r="L37" s="43" t="e">
        <f t="shared" si="1"/>
        <v>#DIV/0!</v>
      </c>
      <c r="M37" s="43" t="s">
        <v>1736</v>
      </c>
      <c r="N37" s="43" t="str">
        <f>N36</f>
        <v>NO GROWTH</v>
      </c>
      <c r="O37" s="123" t="e">
        <f t="shared" si="4"/>
        <v>#DIV/0!</v>
      </c>
      <c r="P37" t="s">
        <v>32</v>
      </c>
      <c r="Q37" t="str">
        <f t="shared" si="2"/>
        <v>001</v>
      </c>
      <c r="R37" t="str">
        <f t="shared" si="3"/>
        <v>S</v>
      </c>
    </row>
    <row r="38" spans="1:18" ht="16" x14ac:dyDescent="0.2">
      <c r="A38" t="s">
        <v>1748</v>
      </c>
      <c r="B38" s="39">
        <v>1</v>
      </c>
      <c r="C38" t="str">
        <f t="shared" si="0"/>
        <v>001.V.a.1</v>
      </c>
      <c r="D38">
        <v>8.0000000000000002E-3</v>
      </c>
      <c r="E38">
        <v>1</v>
      </c>
      <c r="F38" s="101">
        <v>3</v>
      </c>
      <c r="G38" s="64">
        <v>21</v>
      </c>
      <c r="H38" s="64">
        <v>14</v>
      </c>
      <c r="I38" s="64">
        <v>23</v>
      </c>
      <c r="J38">
        <v>11</v>
      </c>
      <c r="K38">
        <v>18</v>
      </c>
      <c r="L38">
        <f t="shared" si="1"/>
        <v>17.399999999999999</v>
      </c>
      <c r="M38" t="s">
        <v>51</v>
      </c>
      <c r="O38" s="123">
        <f t="shared" si="4"/>
        <v>87000</v>
      </c>
      <c r="P38" t="s">
        <v>32</v>
      </c>
      <c r="Q38" t="str">
        <f t="shared" si="2"/>
        <v>001</v>
      </c>
      <c r="R38" t="str">
        <f t="shared" si="3"/>
        <v>V</v>
      </c>
    </row>
    <row r="39" spans="1:18" ht="16" x14ac:dyDescent="0.2">
      <c r="A39" t="s">
        <v>1748</v>
      </c>
      <c r="B39" s="39">
        <v>2</v>
      </c>
      <c r="C39" t="str">
        <f t="shared" si="0"/>
        <v>001.V.a.2</v>
      </c>
      <c r="D39">
        <v>2.9000000000000001E-2</v>
      </c>
      <c r="E39">
        <v>1</v>
      </c>
      <c r="F39" s="101">
        <v>4</v>
      </c>
      <c r="G39" s="64">
        <v>13</v>
      </c>
      <c r="H39" s="64">
        <v>5</v>
      </c>
      <c r="I39" s="64">
        <v>11</v>
      </c>
      <c r="J39">
        <v>13</v>
      </c>
      <c r="K39">
        <v>3</v>
      </c>
      <c r="L39">
        <f t="shared" si="1"/>
        <v>9</v>
      </c>
      <c r="M39" t="s">
        <v>1736</v>
      </c>
      <c r="O39" s="123">
        <f t="shared" si="4"/>
        <v>450000</v>
      </c>
      <c r="P39" t="s">
        <v>32</v>
      </c>
      <c r="Q39" t="str">
        <f t="shared" si="2"/>
        <v>001</v>
      </c>
      <c r="R39" t="str">
        <f t="shared" si="3"/>
        <v>V</v>
      </c>
    </row>
    <row r="40" spans="1:18" ht="16" x14ac:dyDescent="0.2">
      <c r="A40" s="6" t="s">
        <v>1748</v>
      </c>
      <c r="B40" s="40">
        <v>3</v>
      </c>
      <c r="C40" t="str">
        <f t="shared" si="0"/>
        <v>001.V.a.3</v>
      </c>
      <c r="D40">
        <v>3.5999999999999997E-2</v>
      </c>
      <c r="E40">
        <v>1</v>
      </c>
      <c r="F40" s="101">
        <v>4</v>
      </c>
      <c r="G40" s="64">
        <v>29</v>
      </c>
      <c r="H40" s="64">
        <v>59</v>
      </c>
      <c r="I40" s="64">
        <v>24</v>
      </c>
      <c r="J40">
        <v>24</v>
      </c>
      <c r="K40">
        <v>22</v>
      </c>
      <c r="L40">
        <f t="shared" si="1"/>
        <v>31.6</v>
      </c>
      <c r="M40" t="s">
        <v>1736</v>
      </c>
      <c r="O40" s="123">
        <f t="shared" si="4"/>
        <v>1580000</v>
      </c>
      <c r="P40" t="s">
        <v>32</v>
      </c>
      <c r="Q40" t="str">
        <f t="shared" si="2"/>
        <v>001</v>
      </c>
      <c r="R40" t="str">
        <f t="shared" si="3"/>
        <v>V</v>
      </c>
    </row>
    <row r="41" spans="1:18" ht="16" x14ac:dyDescent="0.2">
      <c r="A41" s="6" t="s">
        <v>1748</v>
      </c>
      <c r="B41" s="40">
        <v>4</v>
      </c>
      <c r="C41" t="str">
        <f t="shared" si="0"/>
        <v>001.V.a.4</v>
      </c>
      <c r="D41">
        <v>5.3999999999999999E-2</v>
      </c>
      <c r="E41">
        <v>3</v>
      </c>
      <c r="F41" s="101">
        <v>5</v>
      </c>
      <c r="G41" s="64">
        <v>24</v>
      </c>
      <c r="H41" s="64">
        <v>16</v>
      </c>
      <c r="I41" s="64">
        <v>18</v>
      </c>
      <c r="J41">
        <v>21</v>
      </c>
      <c r="K41">
        <v>28</v>
      </c>
      <c r="L41">
        <f t="shared" si="1"/>
        <v>21.4</v>
      </c>
      <c r="M41" t="s">
        <v>1736</v>
      </c>
      <c r="O41" s="123">
        <f t="shared" si="4"/>
        <v>10700000</v>
      </c>
      <c r="P41" t="s">
        <v>32</v>
      </c>
      <c r="Q41" t="str">
        <f t="shared" si="2"/>
        <v>001</v>
      </c>
      <c r="R41" t="str">
        <f t="shared" si="3"/>
        <v>V</v>
      </c>
    </row>
    <row r="42" spans="1:18" ht="16" x14ac:dyDescent="0.2">
      <c r="A42" s="6" t="s">
        <v>1748</v>
      </c>
      <c r="B42" s="40">
        <v>5</v>
      </c>
      <c r="C42" t="str">
        <f t="shared" si="0"/>
        <v>001.V.a.5</v>
      </c>
      <c r="D42">
        <v>5.6000000000000001E-2</v>
      </c>
      <c r="E42">
        <v>3</v>
      </c>
      <c r="F42" s="101">
        <v>6</v>
      </c>
      <c r="G42" s="64">
        <v>11</v>
      </c>
      <c r="H42" s="64">
        <v>6</v>
      </c>
      <c r="I42" s="64">
        <v>9</v>
      </c>
      <c r="J42">
        <v>9</v>
      </c>
      <c r="K42">
        <v>5</v>
      </c>
      <c r="L42">
        <f t="shared" si="1"/>
        <v>8</v>
      </c>
      <c r="M42" t="s">
        <v>1736</v>
      </c>
      <c r="O42" s="123">
        <f t="shared" si="4"/>
        <v>40000000</v>
      </c>
      <c r="P42" t="s">
        <v>32</v>
      </c>
      <c r="Q42" t="str">
        <f t="shared" si="2"/>
        <v>001</v>
      </c>
      <c r="R42" t="str">
        <f t="shared" si="3"/>
        <v>V</v>
      </c>
    </row>
    <row r="43" spans="1:18" s="43" customFormat="1" ht="16" x14ac:dyDescent="0.2">
      <c r="A43" s="59" t="s">
        <v>1748</v>
      </c>
      <c r="B43" s="73">
        <v>6</v>
      </c>
      <c r="C43" s="43" t="str">
        <f t="shared" si="0"/>
        <v>001.V.a.6</v>
      </c>
      <c r="D43" s="43">
        <v>0.126</v>
      </c>
      <c r="E43" s="43">
        <v>5</v>
      </c>
      <c r="F43" s="101"/>
      <c r="G43" s="74"/>
      <c r="H43" s="74"/>
      <c r="I43" s="74"/>
      <c r="L43" s="43" t="e">
        <f t="shared" si="1"/>
        <v>#DIV/0!</v>
      </c>
      <c r="M43" s="43" t="s">
        <v>1736</v>
      </c>
      <c r="N43" s="43" t="s">
        <v>1742</v>
      </c>
      <c r="O43" s="123" t="e">
        <f t="shared" si="4"/>
        <v>#DIV/0!</v>
      </c>
      <c r="P43" t="s">
        <v>32</v>
      </c>
      <c r="Q43" t="str">
        <f t="shared" si="2"/>
        <v>001</v>
      </c>
      <c r="R43" t="str">
        <f t="shared" si="3"/>
        <v>V</v>
      </c>
    </row>
    <row r="44" spans="1:18" s="43" customFormat="1" ht="16" x14ac:dyDescent="0.2">
      <c r="A44" s="43" t="s">
        <v>1749</v>
      </c>
      <c r="B44" s="75">
        <v>1</v>
      </c>
      <c r="C44" s="43" t="str">
        <f t="shared" si="0"/>
        <v>001.V.b.1</v>
      </c>
      <c r="D44" s="43">
        <v>1.0999999999999999E-2</v>
      </c>
      <c r="E44" s="43">
        <v>2</v>
      </c>
      <c r="F44" s="101">
        <v>2</v>
      </c>
      <c r="G44" s="74">
        <v>6</v>
      </c>
      <c r="H44" s="74">
        <v>6</v>
      </c>
      <c r="I44" s="74">
        <v>3</v>
      </c>
      <c r="J44" s="43">
        <v>3</v>
      </c>
      <c r="K44" s="43">
        <v>3</v>
      </c>
      <c r="L44" s="43">
        <f t="shared" si="1"/>
        <v>4.2</v>
      </c>
      <c r="M44" s="43" t="s">
        <v>51</v>
      </c>
      <c r="N44" s="43" t="str">
        <f>N30</f>
        <v>NO GROWTH</v>
      </c>
      <c r="O44" s="123">
        <f t="shared" si="4"/>
        <v>2100</v>
      </c>
      <c r="P44" t="s">
        <v>32</v>
      </c>
      <c r="Q44" t="str">
        <f t="shared" si="2"/>
        <v>001</v>
      </c>
      <c r="R44" t="str">
        <f t="shared" si="3"/>
        <v>V</v>
      </c>
    </row>
    <row r="45" spans="1:18" ht="16" x14ac:dyDescent="0.2">
      <c r="A45" t="s">
        <v>1749</v>
      </c>
      <c r="B45" s="39">
        <v>2</v>
      </c>
      <c r="C45" t="str">
        <f t="shared" si="0"/>
        <v>001.V.b.2</v>
      </c>
      <c r="D45">
        <v>1.7000000000000001E-2</v>
      </c>
      <c r="E45">
        <v>1</v>
      </c>
      <c r="F45" s="101">
        <v>4</v>
      </c>
      <c r="G45" s="64">
        <v>60</v>
      </c>
      <c r="H45" s="64">
        <v>39</v>
      </c>
      <c r="I45" s="64">
        <v>45</v>
      </c>
      <c r="J45">
        <v>36</v>
      </c>
      <c r="K45">
        <v>35</v>
      </c>
      <c r="L45">
        <f t="shared" si="1"/>
        <v>43</v>
      </c>
      <c r="M45" t="s">
        <v>1736</v>
      </c>
      <c r="O45" s="123">
        <f>(L45/2)*10^(F45+1)</f>
        <v>2150000</v>
      </c>
      <c r="P45" t="s">
        <v>32</v>
      </c>
      <c r="Q45" t="str">
        <f t="shared" si="2"/>
        <v>001</v>
      </c>
      <c r="R45" t="str">
        <f t="shared" si="3"/>
        <v>V</v>
      </c>
    </row>
    <row r="46" spans="1:18" ht="16" x14ac:dyDescent="0.2">
      <c r="A46" s="6" t="s">
        <v>1749</v>
      </c>
      <c r="B46" s="40">
        <v>3</v>
      </c>
      <c r="C46" t="str">
        <f t="shared" si="0"/>
        <v>001.V.b.3</v>
      </c>
      <c r="D46">
        <v>2.5000000000000001E-2</v>
      </c>
      <c r="E46">
        <v>1</v>
      </c>
      <c r="F46" s="101">
        <v>4</v>
      </c>
      <c r="G46" s="64">
        <v>49</v>
      </c>
      <c r="H46" s="64">
        <v>56</v>
      </c>
      <c r="I46" s="64">
        <v>50</v>
      </c>
      <c r="J46">
        <v>28</v>
      </c>
      <c r="K46">
        <v>0</v>
      </c>
      <c r="L46">
        <f t="shared" si="1"/>
        <v>36.6</v>
      </c>
      <c r="M46" t="s">
        <v>1736</v>
      </c>
      <c r="O46" s="123">
        <f t="shared" si="4"/>
        <v>1830000</v>
      </c>
      <c r="P46" t="s">
        <v>32</v>
      </c>
      <c r="Q46" t="str">
        <f t="shared" si="2"/>
        <v>001</v>
      </c>
      <c r="R46" t="str">
        <f t="shared" si="3"/>
        <v>V</v>
      </c>
    </row>
    <row r="47" spans="1:18" ht="16" x14ac:dyDescent="0.2">
      <c r="A47" s="6" t="s">
        <v>1749</v>
      </c>
      <c r="B47" s="40">
        <v>4</v>
      </c>
      <c r="C47" t="str">
        <f t="shared" si="0"/>
        <v>001.V.b.4</v>
      </c>
      <c r="D47">
        <v>5.0999999999999997E-2</v>
      </c>
      <c r="E47">
        <v>1</v>
      </c>
      <c r="F47" s="101">
        <v>5</v>
      </c>
      <c r="G47" s="64">
        <v>15</v>
      </c>
      <c r="H47" s="64">
        <v>9</v>
      </c>
      <c r="I47" s="64">
        <v>9</v>
      </c>
      <c r="J47">
        <v>15</v>
      </c>
      <c r="K47">
        <v>5</v>
      </c>
      <c r="L47">
        <f t="shared" si="1"/>
        <v>10.6</v>
      </c>
      <c r="M47" t="s">
        <v>1736</v>
      </c>
      <c r="O47" s="123">
        <f t="shared" si="4"/>
        <v>5300000</v>
      </c>
      <c r="P47" t="s">
        <v>32</v>
      </c>
      <c r="Q47" t="str">
        <f t="shared" si="2"/>
        <v>001</v>
      </c>
      <c r="R47" t="str">
        <f t="shared" si="3"/>
        <v>V</v>
      </c>
    </row>
    <row r="48" spans="1:18" ht="16" x14ac:dyDescent="0.2">
      <c r="A48" s="6" t="s">
        <v>1749</v>
      </c>
      <c r="B48" s="40">
        <v>5</v>
      </c>
      <c r="C48" t="str">
        <f t="shared" si="0"/>
        <v>001.V.b.5</v>
      </c>
      <c r="D48">
        <v>6.9000000000000006E-2</v>
      </c>
      <c r="E48">
        <v>3</v>
      </c>
      <c r="F48" s="101">
        <v>5</v>
      </c>
      <c r="G48" s="64">
        <v>0</v>
      </c>
      <c r="H48" s="64">
        <v>2</v>
      </c>
      <c r="I48" s="64">
        <v>2</v>
      </c>
      <c r="J48">
        <v>4</v>
      </c>
      <c r="K48">
        <v>2</v>
      </c>
      <c r="L48">
        <f t="shared" si="1"/>
        <v>2</v>
      </c>
      <c r="M48" t="s">
        <v>1736</v>
      </c>
      <c r="O48" s="123">
        <f t="shared" si="4"/>
        <v>1000000</v>
      </c>
      <c r="P48" t="s">
        <v>32</v>
      </c>
      <c r="Q48" t="str">
        <f t="shared" si="2"/>
        <v>001</v>
      </c>
      <c r="R48" t="str">
        <f t="shared" si="3"/>
        <v>V</v>
      </c>
    </row>
    <row r="49" spans="1:18" ht="16" x14ac:dyDescent="0.2">
      <c r="A49" s="6" t="s">
        <v>1749</v>
      </c>
      <c r="B49" s="40">
        <v>6</v>
      </c>
      <c r="C49" t="str">
        <f t="shared" si="0"/>
        <v>001.V.b.6</v>
      </c>
      <c r="D49">
        <v>9.1999999999999998E-2</v>
      </c>
      <c r="E49" t="s">
        <v>1740</v>
      </c>
      <c r="F49" s="101">
        <v>5</v>
      </c>
      <c r="G49" s="64">
        <v>26</v>
      </c>
      <c r="H49" s="64">
        <v>23</v>
      </c>
      <c r="I49" s="64">
        <v>21</v>
      </c>
      <c r="J49">
        <v>22</v>
      </c>
      <c r="K49">
        <v>32</v>
      </c>
      <c r="L49">
        <f t="shared" si="1"/>
        <v>24.8</v>
      </c>
      <c r="M49" t="s">
        <v>1736</v>
      </c>
      <c r="O49" s="123">
        <f t="shared" si="4"/>
        <v>12400000</v>
      </c>
      <c r="P49" t="s">
        <v>32</v>
      </c>
      <c r="Q49" t="str">
        <f t="shared" si="2"/>
        <v>001</v>
      </c>
      <c r="R49" t="str">
        <f t="shared" si="3"/>
        <v>V</v>
      </c>
    </row>
    <row r="50" spans="1:18" ht="16" x14ac:dyDescent="0.2">
      <c r="A50" t="s">
        <v>1750</v>
      </c>
      <c r="B50" s="39">
        <v>1</v>
      </c>
      <c r="C50" t="str">
        <f t="shared" si="0"/>
        <v>001.V.c.1</v>
      </c>
      <c r="D50">
        <v>2.9000000000000001E-2</v>
      </c>
      <c r="E50">
        <v>2</v>
      </c>
      <c r="F50" s="101">
        <v>4</v>
      </c>
      <c r="G50" s="64">
        <v>14</v>
      </c>
      <c r="H50" s="64">
        <v>9</v>
      </c>
      <c r="I50" s="64">
        <v>9</v>
      </c>
      <c r="J50">
        <v>20</v>
      </c>
      <c r="K50">
        <v>30</v>
      </c>
      <c r="L50">
        <f t="shared" si="1"/>
        <v>16.399999999999999</v>
      </c>
      <c r="M50" t="s">
        <v>1736</v>
      </c>
      <c r="O50" s="123">
        <f t="shared" si="4"/>
        <v>819999.99999999988</v>
      </c>
      <c r="P50" t="s">
        <v>32</v>
      </c>
      <c r="Q50" t="str">
        <f t="shared" si="2"/>
        <v>001</v>
      </c>
      <c r="R50" t="str">
        <f t="shared" si="3"/>
        <v>V</v>
      </c>
    </row>
    <row r="51" spans="1:18" ht="16" x14ac:dyDescent="0.2">
      <c r="A51" t="s">
        <v>1750</v>
      </c>
      <c r="B51" s="39">
        <v>2</v>
      </c>
      <c r="C51" t="str">
        <f t="shared" si="0"/>
        <v>001.V.c.2</v>
      </c>
      <c r="D51">
        <v>2.5000000000000001E-2</v>
      </c>
      <c r="E51">
        <v>1</v>
      </c>
      <c r="F51" s="101">
        <v>3</v>
      </c>
      <c r="G51" s="64">
        <v>78</v>
      </c>
      <c r="H51" s="64">
        <v>87</v>
      </c>
      <c r="I51" s="64">
        <v>80</v>
      </c>
      <c r="J51">
        <v>93</v>
      </c>
      <c r="K51">
        <v>80</v>
      </c>
      <c r="L51">
        <f t="shared" si="1"/>
        <v>83.6</v>
      </c>
      <c r="M51" t="s">
        <v>51</v>
      </c>
      <c r="O51" s="123">
        <f t="shared" si="4"/>
        <v>418000</v>
      </c>
      <c r="P51" t="s">
        <v>32</v>
      </c>
      <c r="Q51" t="str">
        <f t="shared" si="2"/>
        <v>001</v>
      </c>
      <c r="R51" t="str">
        <f t="shared" si="3"/>
        <v>V</v>
      </c>
    </row>
    <row r="52" spans="1:18" ht="16" x14ac:dyDescent="0.2">
      <c r="A52" s="6" t="s">
        <v>1750</v>
      </c>
      <c r="B52" s="40">
        <v>3</v>
      </c>
      <c r="C52" t="str">
        <f t="shared" si="0"/>
        <v>001.V.c.3</v>
      </c>
      <c r="D52">
        <v>5.3999999999999999E-2</v>
      </c>
      <c r="E52">
        <v>3</v>
      </c>
      <c r="F52" s="101">
        <v>4</v>
      </c>
      <c r="G52" s="64">
        <v>37</v>
      </c>
      <c r="H52" s="64">
        <v>23</v>
      </c>
      <c r="I52" s="64">
        <v>26</v>
      </c>
      <c r="J52">
        <v>30</v>
      </c>
      <c r="K52">
        <v>10</v>
      </c>
      <c r="L52">
        <f t="shared" si="1"/>
        <v>25.2</v>
      </c>
      <c r="M52" t="s">
        <v>1736</v>
      </c>
      <c r="O52" s="123">
        <f t="shared" si="4"/>
        <v>1260000</v>
      </c>
      <c r="P52" t="s">
        <v>32</v>
      </c>
      <c r="Q52" t="str">
        <f t="shared" si="2"/>
        <v>001</v>
      </c>
      <c r="R52" t="str">
        <f t="shared" si="3"/>
        <v>V</v>
      </c>
    </row>
    <row r="53" spans="1:18" ht="16" x14ac:dyDescent="0.2">
      <c r="A53" s="6" t="s">
        <v>1750</v>
      </c>
      <c r="B53" s="40">
        <v>4</v>
      </c>
      <c r="C53" t="str">
        <f t="shared" si="0"/>
        <v>001.V.c.4</v>
      </c>
      <c r="D53">
        <v>6.3E-2</v>
      </c>
      <c r="E53">
        <v>3</v>
      </c>
      <c r="F53" s="101">
        <v>5</v>
      </c>
      <c r="G53" s="64">
        <v>49</v>
      </c>
      <c r="H53" s="64">
        <v>15</v>
      </c>
      <c r="I53" s="64">
        <v>32</v>
      </c>
      <c r="J53">
        <v>5</v>
      </c>
      <c r="K53">
        <v>22</v>
      </c>
      <c r="L53">
        <f t="shared" si="1"/>
        <v>24.6</v>
      </c>
      <c r="M53" t="s">
        <v>1736</v>
      </c>
      <c r="O53" s="123">
        <f t="shared" si="4"/>
        <v>12300000</v>
      </c>
      <c r="P53" t="s">
        <v>32</v>
      </c>
      <c r="Q53" t="str">
        <f t="shared" si="2"/>
        <v>001</v>
      </c>
      <c r="R53" t="str">
        <f t="shared" si="3"/>
        <v>V</v>
      </c>
    </row>
    <row r="54" spans="1:18" ht="16" x14ac:dyDescent="0.2">
      <c r="A54" s="6" t="s">
        <v>1750</v>
      </c>
      <c r="B54" s="40">
        <v>5</v>
      </c>
      <c r="C54" t="str">
        <f t="shared" si="0"/>
        <v>001.V.c.5</v>
      </c>
      <c r="D54">
        <v>7.2999999999999995E-2</v>
      </c>
      <c r="E54">
        <v>5</v>
      </c>
      <c r="F54" s="101">
        <v>5</v>
      </c>
      <c r="G54" s="64">
        <v>35</v>
      </c>
      <c r="H54" s="64">
        <v>29</v>
      </c>
      <c r="I54" s="64">
        <v>23</v>
      </c>
      <c r="J54">
        <v>25</v>
      </c>
      <c r="K54">
        <v>3</v>
      </c>
      <c r="L54">
        <f t="shared" si="1"/>
        <v>23</v>
      </c>
      <c r="M54" t="s">
        <v>1736</v>
      </c>
      <c r="O54" s="123">
        <f t="shared" si="4"/>
        <v>11500000</v>
      </c>
      <c r="P54" t="s">
        <v>32</v>
      </c>
      <c r="Q54" t="str">
        <f t="shared" si="2"/>
        <v>001</v>
      </c>
      <c r="R54" t="str">
        <f t="shared" si="3"/>
        <v>V</v>
      </c>
    </row>
    <row r="55" spans="1:18" ht="16" x14ac:dyDescent="0.2">
      <c r="A55" s="6" t="s">
        <v>1750</v>
      </c>
      <c r="B55" s="40">
        <v>6</v>
      </c>
      <c r="C55" t="str">
        <f t="shared" si="0"/>
        <v>001.V.c.6</v>
      </c>
      <c r="D55">
        <v>6.6000000000000003E-2</v>
      </c>
      <c r="E55">
        <v>5</v>
      </c>
      <c r="F55" s="101">
        <v>6</v>
      </c>
      <c r="G55" s="64">
        <v>13</v>
      </c>
      <c r="H55" s="64">
        <v>2</v>
      </c>
      <c r="I55" s="64">
        <v>2</v>
      </c>
      <c r="J55">
        <v>22</v>
      </c>
      <c r="K55">
        <v>7</v>
      </c>
      <c r="L55">
        <f t="shared" si="1"/>
        <v>9.1999999999999993</v>
      </c>
      <c r="M55" t="s">
        <v>1736</v>
      </c>
      <c r="O55" s="123">
        <f t="shared" si="4"/>
        <v>46000000</v>
      </c>
      <c r="P55" t="s">
        <v>32</v>
      </c>
      <c r="Q55" t="str">
        <f t="shared" si="2"/>
        <v>001</v>
      </c>
      <c r="R55" t="str">
        <f t="shared" si="3"/>
        <v>V</v>
      </c>
    </row>
    <row r="56" spans="1:18" ht="16" x14ac:dyDescent="0.2">
      <c r="A56" t="s">
        <v>1751</v>
      </c>
      <c r="B56" s="39">
        <v>1</v>
      </c>
      <c r="C56" t="str">
        <f t="shared" si="0"/>
        <v>012.O.a.1</v>
      </c>
      <c r="D56">
        <v>0.01</v>
      </c>
      <c r="E56">
        <v>1</v>
      </c>
      <c r="F56" s="101"/>
      <c r="G56" s="64"/>
      <c r="H56" s="64"/>
      <c r="I56" s="64"/>
      <c r="L56" t="e">
        <f t="shared" si="1"/>
        <v>#DIV/0!</v>
      </c>
      <c r="N56" t="s">
        <v>1752</v>
      </c>
      <c r="O56" s="123" t="e">
        <f t="shared" si="4"/>
        <v>#DIV/0!</v>
      </c>
      <c r="P56" t="s">
        <v>32</v>
      </c>
      <c r="Q56" t="str">
        <f t="shared" si="2"/>
        <v>012</v>
      </c>
      <c r="R56" t="str">
        <f t="shared" si="3"/>
        <v>O</v>
      </c>
    </row>
    <row r="57" spans="1:18" s="43" customFormat="1" ht="16" x14ac:dyDescent="0.2">
      <c r="A57" s="43" t="s">
        <v>1751</v>
      </c>
      <c r="B57" s="75">
        <v>2</v>
      </c>
      <c r="C57" s="43" t="str">
        <f t="shared" si="0"/>
        <v>012.O.a.2</v>
      </c>
      <c r="D57" s="43">
        <v>1.2999999999999999E-2</v>
      </c>
      <c r="E57" s="43">
        <v>1</v>
      </c>
      <c r="F57" s="101"/>
      <c r="G57" s="74"/>
      <c r="H57" s="74"/>
      <c r="I57" s="74"/>
      <c r="L57" s="43" t="e">
        <f t="shared" si="1"/>
        <v>#DIV/0!</v>
      </c>
      <c r="M57" s="43" t="s">
        <v>1736</v>
      </c>
      <c r="N57" s="43" t="s">
        <v>1753</v>
      </c>
      <c r="O57" s="123" t="e">
        <f t="shared" si="4"/>
        <v>#DIV/0!</v>
      </c>
      <c r="P57" t="s">
        <v>32</v>
      </c>
      <c r="Q57" t="str">
        <f t="shared" si="2"/>
        <v>012</v>
      </c>
      <c r="R57" t="str">
        <f t="shared" si="3"/>
        <v>O</v>
      </c>
    </row>
    <row r="58" spans="1:18" ht="16" x14ac:dyDescent="0.2">
      <c r="A58" s="6" t="s">
        <v>1751</v>
      </c>
      <c r="B58" s="40">
        <v>3</v>
      </c>
      <c r="C58" t="str">
        <f t="shared" si="0"/>
        <v>012.O.a.3</v>
      </c>
      <c r="D58">
        <v>2.1999999999999999E-2</v>
      </c>
      <c r="E58">
        <v>1</v>
      </c>
      <c r="F58" s="101"/>
      <c r="G58" s="64"/>
      <c r="H58" s="64"/>
      <c r="I58" s="64"/>
      <c r="L58" t="e">
        <f t="shared" si="1"/>
        <v>#DIV/0!</v>
      </c>
      <c r="N58" t="s">
        <v>1754</v>
      </c>
      <c r="O58" s="123" t="e">
        <f t="shared" si="4"/>
        <v>#DIV/0!</v>
      </c>
      <c r="P58" t="s">
        <v>32</v>
      </c>
      <c r="Q58" t="str">
        <f t="shared" si="2"/>
        <v>012</v>
      </c>
      <c r="R58" t="str">
        <f t="shared" si="3"/>
        <v>O</v>
      </c>
    </row>
    <row r="59" spans="1:18" ht="16" x14ac:dyDescent="0.2">
      <c r="A59" s="6" t="s">
        <v>1751</v>
      </c>
      <c r="B59" s="40">
        <v>4</v>
      </c>
      <c r="C59" t="str">
        <f t="shared" si="0"/>
        <v>012.O.a.4</v>
      </c>
      <c r="D59">
        <v>3.3000000000000002E-2</v>
      </c>
      <c r="E59">
        <v>1</v>
      </c>
      <c r="F59" s="101"/>
      <c r="G59" s="64"/>
      <c r="H59" s="64"/>
      <c r="I59" s="64"/>
      <c r="L59" t="e">
        <f t="shared" si="1"/>
        <v>#DIV/0!</v>
      </c>
      <c r="N59" t="s">
        <v>1752</v>
      </c>
      <c r="O59" s="123" t="e">
        <f t="shared" si="4"/>
        <v>#DIV/0!</v>
      </c>
      <c r="P59" t="s">
        <v>32</v>
      </c>
      <c r="Q59" t="str">
        <f t="shared" si="2"/>
        <v>012</v>
      </c>
      <c r="R59" t="str">
        <f t="shared" si="3"/>
        <v>O</v>
      </c>
    </row>
    <row r="60" spans="1:18" s="43" customFormat="1" ht="16" x14ac:dyDescent="0.2">
      <c r="A60" s="59" t="s">
        <v>1751</v>
      </c>
      <c r="B60" s="73">
        <v>5</v>
      </c>
      <c r="C60" s="43" t="str">
        <f t="shared" si="0"/>
        <v>012.O.a.5</v>
      </c>
      <c r="D60" s="43">
        <v>4.4999999999999998E-2</v>
      </c>
      <c r="E60" s="43">
        <v>1</v>
      </c>
      <c r="F60" s="101"/>
      <c r="G60" s="74"/>
      <c r="H60" s="74"/>
      <c r="I60" s="74"/>
      <c r="L60" s="43" t="e">
        <f t="shared" si="1"/>
        <v>#DIV/0!</v>
      </c>
      <c r="M60" s="43" t="s">
        <v>1736</v>
      </c>
      <c r="N60" s="43" t="s">
        <v>1755</v>
      </c>
      <c r="O60" s="123" t="e">
        <f t="shared" si="4"/>
        <v>#DIV/0!</v>
      </c>
      <c r="P60" t="s">
        <v>32</v>
      </c>
      <c r="Q60" t="str">
        <f t="shared" si="2"/>
        <v>012</v>
      </c>
      <c r="R60" t="str">
        <f t="shared" si="3"/>
        <v>O</v>
      </c>
    </row>
    <row r="61" spans="1:18" s="43" customFormat="1" ht="16" x14ac:dyDescent="0.2">
      <c r="A61" s="59" t="s">
        <v>1751</v>
      </c>
      <c r="B61" s="73">
        <v>6</v>
      </c>
      <c r="C61" s="43" t="str">
        <f t="shared" si="0"/>
        <v>012.O.a.6</v>
      </c>
      <c r="D61" s="43">
        <v>6.2E-2</v>
      </c>
      <c r="E61" s="43">
        <v>1</v>
      </c>
      <c r="F61" s="101"/>
      <c r="G61" s="74"/>
      <c r="H61" s="74"/>
      <c r="I61" s="74"/>
      <c r="L61" s="43" t="e">
        <f t="shared" si="1"/>
        <v>#DIV/0!</v>
      </c>
      <c r="M61" s="43" t="s">
        <v>1736</v>
      </c>
      <c r="N61" s="43" t="s">
        <v>1753</v>
      </c>
      <c r="O61" s="123" t="e">
        <f t="shared" si="4"/>
        <v>#DIV/0!</v>
      </c>
      <c r="P61" t="s">
        <v>32</v>
      </c>
      <c r="Q61" t="str">
        <f t="shared" si="2"/>
        <v>012</v>
      </c>
      <c r="R61" t="str">
        <f t="shared" si="3"/>
        <v>O</v>
      </c>
    </row>
    <row r="62" spans="1:18" s="92" customFormat="1" ht="16" x14ac:dyDescent="0.2">
      <c r="A62" s="90" t="s">
        <v>1756</v>
      </c>
      <c r="B62" s="91">
        <v>1</v>
      </c>
      <c r="C62" s="92" t="str">
        <f t="shared" si="0"/>
        <v>012.O.b.1</v>
      </c>
      <c r="D62" s="92">
        <v>8.9999999999999993E-3</v>
      </c>
      <c r="E62" s="92">
        <v>1</v>
      </c>
      <c r="F62" s="102"/>
      <c r="G62" s="93"/>
      <c r="H62" s="93"/>
      <c r="I62" s="93"/>
      <c r="L62" s="92" t="e">
        <f t="shared" si="1"/>
        <v>#DIV/0!</v>
      </c>
      <c r="M62" s="92" t="s">
        <v>1736</v>
      </c>
      <c r="N62" s="92" t="s">
        <v>1753</v>
      </c>
      <c r="O62" s="123" t="e">
        <f t="shared" si="4"/>
        <v>#DIV/0!</v>
      </c>
      <c r="P62" t="s">
        <v>32</v>
      </c>
      <c r="Q62" t="str">
        <f t="shared" si="2"/>
        <v>012</v>
      </c>
      <c r="R62" t="str">
        <f t="shared" si="3"/>
        <v>O</v>
      </c>
    </row>
    <row r="63" spans="1:18" s="43" customFormat="1" ht="16" x14ac:dyDescent="0.2">
      <c r="A63" s="94" t="s">
        <v>1756</v>
      </c>
      <c r="B63" s="75">
        <v>2</v>
      </c>
      <c r="C63" s="43" t="str">
        <f t="shared" si="0"/>
        <v>012.O.b.2</v>
      </c>
      <c r="D63" s="43">
        <v>1.0999999999999999E-2</v>
      </c>
      <c r="E63" s="43">
        <v>1</v>
      </c>
      <c r="F63" s="101"/>
      <c r="G63" s="74"/>
      <c r="H63" s="74"/>
      <c r="I63" s="74"/>
      <c r="L63" s="43" t="e">
        <f t="shared" si="1"/>
        <v>#DIV/0!</v>
      </c>
      <c r="M63" s="43" t="s">
        <v>1736</v>
      </c>
      <c r="N63" s="43" t="s">
        <v>1753</v>
      </c>
      <c r="O63" s="123" t="e">
        <f t="shared" si="4"/>
        <v>#DIV/0!</v>
      </c>
      <c r="P63" t="s">
        <v>32</v>
      </c>
      <c r="Q63" t="str">
        <f t="shared" si="2"/>
        <v>012</v>
      </c>
      <c r="R63" t="str">
        <f t="shared" si="3"/>
        <v>O</v>
      </c>
    </row>
    <row r="64" spans="1:18" s="43" customFormat="1" ht="16" x14ac:dyDescent="0.2">
      <c r="A64" s="95" t="s">
        <v>1756</v>
      </c>
      <c r="B64" s="73">
        <v>3</v>
      </c>
      <c r="C64" s="43" t="str">
        <f t="shared" si="0"/>
        <v>012.O.b.3</v>
      </c>
      <c r="D64" s="43">
        <v>2.4E-2</v>
      </c>
      <c r="E64" s="43">
        <v>1</v>
      </c>
      <c r="F64" s="101"/>
      <c r="G64" s="74"/>
      <c r="H64" s="74"/>
      <c r="I64" s="74"/>
      <c r="L64" s="43" t="e">
        <f t="shared" si="1"/>
        <v>#DIV/0!</v>
      </c>
      <c r="M64" s="43" t="s">
        <v>1736</v>
      </c>
      <c r="N64" s="43" t="s">
        <v>1757</v>
      </c>
      <c r="O64" s="123" t="e">
        <f t="shared" si="4"/>
        <v>#DIV/0!</v>
      </c>
      <c r="P64" t="s">
        <v>32</v>
      </c>
      <c r="Q64" t="str">
        <f t="shared" si="2"/>
        <v>012</v>
      </c>
      <c r="R64" t="str">
        <f t="shared" si="3"/>
        <v>O</v>
      </c>
    </row>
    <row r="65" spans="1:18" s="43" customFormat="1" ht="16" x14ac:dyDescent="0.2">
      <c r="A65" s="95" t="s">
        <v>1756</v>
      </c>
      <c r="B65" s="73">
        <v>4</v>
      </c>
      <c r="C65" s="43" t="str">
        <f t="shared" si="0"/>
        <v>012.O.b.4</v>
      </c>
      <c r="D65" s="43">
        <v>2.5000000000000001E-2</v>
      </c>
      <c r="E65" s="43">
        <v>1</v>
      </c>
      <c r="F65" s="101"/>
      <c r="G65" s="74"/>
      <c r="H65" s="74"/>
      <c r="I65" s="74"/>
      <c r="L65" s="43" t="e">
        <f t="shared" si="1"/>
        <v>#DIV/0!</v>
      </c>
      <c r="M65" s="43" t="s">
        <v>1736</v>
      </c>
      <c r="N65" s="43" t="s">
        <v>1758</v>
      </c>
      <c r="O65" s="123" t="e">
        <f t="shared" si="4"/>
        <v>#DIV/0!</v>
      </c>
      <c r="P65" t="s">
        <v>32</v>
      </c>
      <c r="Q65" t="str">
        <f t="shared" si="2"/>
        <v>012</v>
      </c>
      <c r="R65" t="str">
        <f t="shared" si="3"/>
        <v>O</v>
      </c>
    </row>
    <row r="66" spans="1:18" s="43" customFormat="1" ht="16" x14ac:dyDescent="0.2">
      <c r="A66" s="95" t="s">
        <v>1756</v>
      </c>
      <c r="B66" s="73">
        <v>5</v>
      </c>
      <c r="C66" s="43" t="str">
        <f t="shared" ref="C66:C129" si="5">A66&amp;"."&amp;B66</f>
        <v>012.O.b.5</v>
      </c>
      <c r="D66" s="43">
        <v>3.1E-2</v>
      </c>
      <c r="E66" s="43">
        <v>1</v>
      </c>
      <c r="F66" s="101">
        <v>6</v>
      </c>
      <c r="G66" s="74" t="s">
        <v>34</v>
      </c>
      <c r="H66" s="74" t="s">
        <v>34</v>
      </c>
      <c r="I66" s="74" t="s">
        <v>34</v>
      </c>
      <c r="J66" s="43" t="s">
        <v>34</v>
      </c>
      <c r="K66" s="43">
        <v>6</v>
      </c>
      <c r="L66" s="43">
        <f t="shared" si="1"/>
        <v>6</v>
      </c>
      <c r="M66" s="43" t="s">
        <v>1736</v>
      </c>
      <c r="N66" s="43" t="s">
        <v>1759</v>
      </c>
      <c r="O66" s="123">
        <f t="shared" si="4"/>
        <v>30000000</v>
      </c>
      <c r="P66" t="s">
        <v>32</v>
      </c>
      <c r="Q66" t="str">
        <f t="shared" si="2"/>
        <v>012</v>
      </c>
      <c r="R66" t="str">
        <f t="shared" si="3"/>
        <v>O</v>
      </c>
    </row>
    <row r="67" spans="1:18" s="88" customFormat="1" ht="16" x14ac:dyDescent="0.2">
      <c r="A67" s="96" t="s">
        <v>1756</v>
      </c>
      <c r="B67" s="87">
        <v>6</v>
      </c>
      <c r="C67" s="88" t="str">
        <f t="shared" si="5"/>
        <v>012.O.b.6</v>
      </c>
      <c r="D67" s="88">
        <v>5.5E-2</v>
      </c>
      <c r="E67" s="88">
        <v>3</v>
      </c>
      <c r="F67" s="103"/>
      <c r="G67" s="89"/>
      <c r="H67" s="89"/>
      <c r="I67" s="89"/>
      <c r="L67" s="88" t="e">
        <f t="shared" ref="L67:L130" si="6">AVERAGE(G67:K67)</f>
        <v>#DIV/0!</v>
      </c>
      <c r="M67" s="88" t="s">
        <v>1736</v>
      </c>
      <c r="N67" s="88" t="s">
        <v>1753</v>
      </c>
      <c r="O67" s="123" t="e">
        <f t="shared" ref="O67:O130" si="7">(L67/2)*10^(F67+1)</f>
        <v>#DIV/0!</v>
      </c>
      <c r="P67" t="s">
        <v>32</v>
      </c>
      <c r="Q67" t="str">
        <f t="shared" ref="Q67:Q130" si="8">LEFT(A67,3)</f>
        <v>012</v>
      </c>
      <c r="R67" t="str">
        <f t="shared" ref="R67:R130" si="9">LEFT(RIGHT(A67,3),1)</f>
        <v>O</v>
      </c>
    </row>
    <row r="68" spans="1:18" ht="16" x14ac:dyDescent="0.2">
      <c r="A68" t="s">
        <v>1760</v>
      </c>
      <c r="B68" s="39">
        <v>1</v>
      </c>
      <c r="C68" t="str">
        <f t="shared" si="5"/>
        <v>012.O.c.1</v>
      </c>
      <c r="D68">
        <v>0.01</v>
      </c>
      <c r="E68">
        <v>1</v>
      </c>
      <c r="F68" s="101"/>
      <c r="G68" s="64"/>
      <c r="H68" s="64"/>
      <c r="I68" s="64"/>
      <c r="L68" t="e">
        <f t="shared" si="6"/>
        <v>#DIV/0!</v>
      </c>
      <c r="O68" s="123" t="e">
        <f t="shared" si="7"/>
        <v>#DIV/0!</v>
      </c>
      <c r="P68" t="s">
        <v>32</v>
      </c>
      <c r="Q68" t="str">
        <f t="shared" si="8"/>
        <v>012</v>
      </c>
      <c r="R68" t="str">
        <f t="shared" si="9"/>
        <v>O</v>
      </c>
    </row>
    <row r="69" spans="1:18" ht="16" x14ac:dyDescent="0.2">
      <c r="A69" t="s">
        <v>1760</v>
      </c>
      <c r="B69" s="39">
        <v>2</v>
      </c>
      <c r="C69" t="str">
        <f t="shared" si="5"/>
        <v>012.O.c.2</v>
      </c>
      <c r="D69">
        <v>0.01</v>
      </c>
      <c r="E69">
        <v>1</v>
      </c>
      <c r="F69" s="101"/>
      <c r="G69" s="64"/>
      <c r="H69" s="64"/>
      <c r="I69" s="64"/>
      <c r="L69" t="e">
        <f t="shared" si="6"/>
        <v>#DIV/0!</v>
      </c>
      <c r="O69" s="123" t="e">
        <f t="shared" si="7"/>
        <v>#DIV/0!</v>
      </c>
      <c r="P69" t="s">
        <v>32</v>
      </c>
      <c r="Q69" t="str">
        <f t="shared" si="8"/>
        <v>012</v>
      </c>
      <c r="R69" t="str">
        <f t="shared" si="9"/>
        <v>O</v>
      </c>
    </row>
    <row r="70" spans="1:18" s="43" customFormat="1" ht="16" x14ac:dyDescent="0.2">
      <c r="A70" s="59" t="s">
        <v>1760</v>
      </c>
      <c r="B70" s="73">
        <v>3</v>
      </c>
      <c r="C70" s="43" t="str">
        <f t="shared" si="5"/>
        <v>012.O.c.3</v>
      </c>
      <c r="D70" s="43">
        <v>2.5999999999999999E-2</v>
      </c>
      <c r="E70" s="43">
        <v>1</v>
      </c>
      <c r="F70" s="101"/>
      <c r="G70" s="74"/>
      <c r="H70" s="74"/>
      <c r="I70" s="74"/>
      <c r="L70" s="43" t="e">
        <f t="shared" si="6"/>
        <v>#DIV/0!</v>
      </c>
      <c r="N70" s="43" t="s">
        <v>1761</v>
      </c>
      <c r="O70" s="123" t="e">
        <f t="shared" si="7"/>
        <v>#DIV/0!</v>
      </c>
      <c r="P70" t="s">
        <v>32</v>
      </c>
      <c r="Q70" t="str">
        <f t="shared" si="8"/>
        <v>012</v>
      </c>
      <c r="R70" t="str">
        <f t="shared" si="9"/>
        <v>O</v>
      </c>
    </row>
    <row r="71" spans="1:18" ht="16" x14ac:dyDescent="0.2">
      <c r="A71" s="6" t="s">
        <v>1760</v>
      </c>
      <c r="B71" s="40">
        <v>4</v>
      </c>
      <c r="C71" t="str">
        <f t="shared" si="5"/>
        <v>012.O.c.4</v>
      </c>
      <c r="D71">
        <v>3.2000000000000001E-2</v>
      </c>
      <c r="E71">
        <v>1</v>
      </c>
      <c r="F71" s="101">
        <v>5</v>
      </c>
      <c r="G71" s="64">
        <v>1</v>
      </c>
      <c r="H71" s="64">
        <v>2</v>
      </c>
      <c r="I71" s="64">
        <v>1</v>
      </c>
      <c r="J71">
        <v>2</v>
      </c>
      <c r="K71">
        <v>2</v>
      </c>
      <c r="L71">
        <f t="shared" si="6"/>
        <v>1.6</v>
      </c>
      <c r="M71" t="s">
        <v>72</v>
      </c>
      <c r="O71" s="123">
        <f t="shared" si="7"/>
        <v>800000</v>
      </c>
      <c r="P71" t="s">
        <v>32</v>
      </c>
      <c r="Q71" t="str">
        <f t="shared" si="8"/>
        <v>012</v>
      </c>
      <c r="R71" t="str">
        <f t="shared" si="9"/>
        <v>O</v>
      </c>
    </row>
    <row r="72" spans="1:18" s="43" customFormat="1" ht="16" x14ac:dyDescent="0.2">
      <c r="A72" s="59" t="s">
        <v>1760</v>
      </c>
      <c r="B72" s="73">
        <v>5</v>
      </c>
      <c r="C72" s="43" t="str">
        <f t="shared" si="5"/>
        <v>012.O.c.5</v>
      </c>
      <c r="D72" s="43">
        <v>4.1000000000000002E-2</v>
      </c>
      <c r="E72" s="43">
        <v>2</v>
      </c>
      <c r="F72" s="101"/>
      <c r="G72" s="74"/>
      <c r="H72" s="74"/>
      <c r="I72" s="74"/>
      <c r="L72" s="43" t="e">
        <f t="shared" si="6"/>
        <v>#DIV/0!</v>
      </c>
      <c r="N72" s="43" t="s">
        <v>1761</v>
      </c>
      <c r="O72" s="123" t="e">
        <f t="shared" si="7"/>
        <v>#DIV/0!</v>
      </c>
      <c r="P72" t="s">
        <v>32</v>
      </c>
      <c r="Q72" t="str">
        <f t="shared" si="8"/>
        <v>012</v>
      </c>
      <c r="R72" t="str">
        <f t="shared" si="9"/>
        <v>O</v>
      </c>
    </row>
    <row r="73" spans="1:18" s="43" customFormat="1" ht="16" x14ac:dyDescent="0.2">
      <c r="A73" s="59" t="s">
        <v>1760</v>
      </c>
      <c r="B73" s="73">
        <v>6</v>
      </c>
      <c r="C73" s="43" t="str">
        <f t="shared" si="5"/>
        <v>012.O.c.6</v>
      </c>
      <c r="D73" s="43">
        <v>5.6000000000000001E-2</v>
      </c>
      <c r="E73" s="43">
        <v>3</v>
      </c>
      <c r="F73" s="101"/>
      <c r="G73" s="74"/>
      <c r="H73" s="74"/>
      <c r="I73" s="74"/>
      <c r="L73" s="43" t="e">
        <f t="shared" si="6"/>
        <v>#DIV/0!</v>
      </c>
      <c r="N73" s="43" t="s">
        <v>1761</v>
      </c>
      <c r="O73" s="123" t="e">
        <f t="shared" si="7"/>
        <v>#DIV/0!</v>
      </c>
      <c r="P73" t="s">
        <v>32</v>
      </c>
      <c r="Q73" t="str">
        <f t="shared" si="8"/>
        <v>012</v>
      </c>
      <c r="R73" t="str">
        <f t="shared" si="9"/>
        <v>O</v>
      </c>
    </row>
    <row r="74" spans="1:18" ht="16" x14ac:dyDescent="0.2">
      <c r="A74" t="s">
        <v>1762</v>
      </c>
      <c r="B74" s="39">
        <v>1</v>
      </c>
      <c r="C74" t="str">
        <f t="shared" si="5"/>
        <v>012.S.a.1</v>
      </c>
      <c r="D74">
        <v>7.0000000000000001E-3</v>
      </c>
      <c r="E74">
        <v>1</v>
      </c>
      <c r="F74" s="101"/>
      <c r="G74" s="64"/>
      <c r="H74" s="64"/>
      <c r="I74" s="64"/>
      <c r="L74" t="e">
        <f t="shared" si="6"/>
        <v>#DIV/0!</v>
      </c>
      <c r="N74" t="s">
        <v>1763</v>
      </c>
      <c r="O74" s="123" t="e">
        <f t="shared" si="7"/>
        <v>#DIV/0!</v>
      </c>
      <c r="P74" t="s">
        <v>32</v>
      </c>
      <c r="Q74" t="str">
        <f t="shared" si="8"/>
        <v>012</v>
      </c>
      <c r="R74" t="str">
        <f t="shared" si="9"/>
        <v>S</v>
      </c>
    </row>
    <row r="75" spans="1:18" ht="16" x14ac:dyDescent="0.2">
      <c r="A75" t="s">
        <v>1762</v>
      </c>
      <c r="B75" s="39">
        <v>2</v>
      </c>
      <c r="C75" t="str">
        <f t="shared" si="5"/>
        <v>012.S.a.2</v>
      </c>
      <c r="D75">
        <v>1.9E-2</v>
      </c>
      <c r="E75">
        <v>1</v>
      </c>
      <c r="F75" s="101">
        <v>5</v>
      </c>
      <c r="G75" s="64">
        <v>2</v>
      </c>
      <c r="H75" s="64">
        <v>10</v>
      </c>
      <c r="I75" s="64">
        <v>10</v>
      </c>
      <c r="J75">
        <v>8</v>
      </c>
      <c r="K75">
        <v>5</v>
      </c>
      <c r="L75">
        <f t="shared" si="6"/>
        <v>7</v>
      </c>
      <c r="M75" t="s">
        <v>1736</v>
      </c>
      <c r="N75" s="80" t="s">
        <v>1764</v>
      </c>
      <c r="O75" s="123">
        <f t="shared" si="7"/>
        <v>3500000</v>
      </c>
      <c r="P75" t="s">
        <v>32</v>
      </c>
      <c r="Q75" t="str">
        <f t="shared" si="8"/>
        <v>012</v>
      </c>
      <c r="R75" t="str">
        <f t="shared" si="9"/>
        <v>S</v>
      </c>
    </row>
    <row r="76" spans="1:18" ht="16" x14ac:dyDescent="0.2">
      <c r="A76" s="6" t="s">
        <v>1762</v>
      </c>
      <c r="B76" s="40">
        <v>3</v>
      </c>
      <c r="C76" t="str">
        <f t="shared" si="5"/>
        <v>012.S.a.3</v>
      </c>
      <c r="D76">
        <v>2.5000000000000001E-2</v>
      </c>
      <c r="E76">
        <v>2</v>
      </c>
      <c r="F76" s="101">
        <v>4</v>
      </c>
      <c r="G76" s="64">
        <v>42</v>
      </c>
      <c r="H76" s="64">
        <v>39</v>
      </c>
      <c r="I76" s="64">
        <v>43</v>
      </c>
      <c r="J76">
        <v>40</v>
      </c>
      <c r="K76">
        <v>38</v>
      </c>
      <c r="L76">
        <f t="shared" si="6"/>
        <v>40.4</v>
      </c>
      <c r="M76" t="s">
        <v>1736</v>
      </c>
      <c r="O76" s="123">
        <f t="shared" si="7"/>
        <v>2020000</v>
      </c>
      <c r="P76" t="s">
        <v>32</v>
      </c>
      <c r="Q76" t="str">
        <f t="shared" si="8"/>
        <v>012</v>
      </c>
      <c r="R76" t="str">
        <f t="shared" si="9"/>
        <v>S</v>
      </c>
    </row>
    <row r="77" spans="1:18" ht="16" x14ac:dyDescent="0.2">
      <c r="A77" s="6" t="s">
        <v>1762</v>
      </c>
      <c r="B77" s="40">
        <v>4</v>
      </c>
      <c r="C77" t="str">
        <f t="shared" si="5"/>
        <v>012.S.a.4</v>
      </c>
      <c r="D77">
        <v>2.1999999999999999E-2</v>
      </c>
      <c r="E77">
        <v>1</v>
      </c>
      <c r="F77" s="101"/>
      <c r="G77" s="64"/>
      <c r="H77" s="64"/>
      <c r="I77" s="64"/>
      <c r="L77" t="e">
        <f t="shared" si="6"/>
        <v>#DIV/0!</v>
      </c>
      <c r="O77" s="123" t="e">
        <f t="shared" si="7"/>
        <v>#DIV/0!</v>
      </c>
      <c r="P77" t="s">
        <v>32</v>
      </c>
      <c r="Q77" t="str">
        <f t="shared" si="8"/>
        <v>012</v>
      </c>
      <c r="R77" t="str">
        <f t="shared" si="9"/>
        <v>S</v>
      </c>
    </row>
    <row r="78" spans="1:18" ht="16" x14ac:dyDescent="0.2">
      <c r="A78" s="6" t="s">
        <v>1762</v>
      </c>
      <c r="B78" s="40">
        <v>5</v>
      </c>
      <c r="C78" t="str">
        <f t="shared" si="5"/>
        <v>012.S.a.5</v>
      </c>
      <c r="D78">
        <v>4.5999999999999999E-2</v>
      </c>
      <c r="E78">
        <v>3</v>
      </c>
      <c r="F78" s="101"/>
      <c r="G78" s="64"/>
      <c r="H78" s="64"/>
      <c r="I78" s="64"/>
      <c r="L78" t="e">
        <f t="shared" si="6"/>
        <v>#DIV/0!</v>
      </c>
      <c r="N78" t="s">
        <v>1765</v>
      </c>
      <c r="O78" s="123" t="e">
        <f t="shared" si="7"/>
        <v>#DIV/0!</v>
      </c>
      <c r="P78" t="s">
        <v>32</v>
      </c>
      <c r="Q78" t="str">
        <f t="shared" si="8"/>
        <v>012</v>
      </c>
      <c r="R78" t="str">
        <f t="shared" si="9"/>
        <v>S</v>
      </c>
    </row>
    <row r="79" spans="1:18" s="43" customFormat="1" ht="16" x14ac:dyDescent="0.2">
      <c r="A79" s="59" t="s">
        <v>1762</v>
      </c>
      <c r="B79" s="73">
        <v>6</v>
      </c>
      <c r="C79" s="43" t="str">
        <f t="shared" si="5"/>
        <v>012.S.a.6</v>
      </c>
      <c r="D79" s="43">
        <v>0.10199999999999999</v>
      </c>
      <c r="E79" s="43" t="s">
        <v>1740</v>
      </c>
      <c r="F79" s="101"/>
      <c r="G79" s="74"/>
      <c r="H79" s="74"/>
      <c r="I79" s="74"/>
      <c r="L79" s="43" t="e">
        <f t="shared" si="6"/>
        <v>#DIV/0!</v>
      </c>
      <c r="M79" s="43" t="s">
        <v>1736</v>
      </c>
      <c r="N79" s="43" t="s">
        <v>1766</v>
      </c>
      <c r="O79" s="123" t="e">
        <f t="shared" si="7"/>
        <v>#DIV/0!</v>
      </c>
      <c r="P79" t="s">
        <v>32</v>
      </c>
      <c r="Q79" t="str">
        <f t="shared" si="8"/>
        <v>012</v>
      </c>
      <c r="R79" t="str">
        <f t="shared" si="9"/>
        <v>S</v>
      </c>
    </row>
    <row r="80" spans="1:18" ht="16" x14ac:dyDescent="0.2">
      <c r="A80" t="s">
        <v>1767</v>
      </c>
      <c r="B80" s="39">
        <v>1</v>
      </c>
      <c r="C80" t="str">
        <f t="shared" si="5"/>
        <v>012.S.b.1</v>
      </c>
      <c r="D80">
        <v>8.9999999999999993E-3</v>
      </c>
      <c r="E80">
        <v>1</v>
      </c>
      <c r="F80" s="101">
        <v>3</v>
      </c>
      <c r="G80" s="64">
        <v>4</v>
      </c>
      <c r="H80" s="64">
        <v>2</v>
      </c>
      <c r="I80" s="64">
        <v>6</v>
      </c>
      <c r="J80">
        <v>7</v>
      </c>
      <c r="K80">
        <v>3</v>
      </c>
      <c r="L80">
        <f t="shared" si="6"/>
        <v>4.4000000000000004</v>
      </c>
      <c r="M80" t="s">
        <v>1736</v>
      </c>
      <c r="O80" s="123">
        <f t="shared" si="7"/>
        <v>22000</v>
      </c>
      <c r="P80" t="s">
        <v>32</v>
      </c>
      <c r="Q80" t="str">
        <f t="shared" si="8"/>
        <v>012</v>
      </c>
      <c r="R80" t="str">
        <f t="shared" si="9"/>
        <v>S</v>
      </c>
    </row>
    <row r="81" spans="1:18" ht="16" x14ac:dyDescent="0.2">
      <c r="A81" t="s">
        <v>1767</v>
      </c>
      <c r="B81" s="39">
        <v>2</v>
      </c>
      <c r="C81" t="str">
        <f t="shared" si="5"/>
        <v>012.S.b.2</v>
      </c>
      <c r="D81">
        <v>1.9E-2</v>
      </c>
      <c r="E81">
        <v>2</v>
      </c>
      <c r="F81" s="101">
        <v>3</v>
      </c>
      <c r="G81" s="64">
        <v>9</v>
      </c>
      <c r="H81" s="64">
        <v>9</v>
      </c>
      <c r="I81" s="64">
        <v>7</v>
      </c>
      <c r="J81">
        <v>7</v>
      </c>
      <c r="K81">
        <v>11</v>
      </c>
      <c r="L81">
        <f t="shared" si="6"/>
        <v>8.6</v>
      </c>
      <c r="M81" t="s">
        <v>1736</v>
      </c>
      <c r="O81" s="123">
        <f t="shared" si="7"/>
        <v>43000</v>
      </c>
      <c r="P81" t="s">
        <v>32</v>
      </c>
      <c r="Q81" t="str">
        <f t="shared" si="8"/>
        <v>012</v>
      </c>
      <c r="R81" t="str">
        <f t="shared" si="9"/>
        <v>S</v>
      </c>
    </row>
    <row r="82" spans="1:18" ht="16" x14ac:dyDescent="0.2">
      <c r="A82" s="6" t="s">
        <v>1767</v>
      </c>
      <c r="B82" s="40">
        <v>3</v>
      </c>
      <c r="C82" t="str">
        <f t="shared" si="5"/>
        <v>012.S.b.3</v>
      </c>
      <c r="D82">
        <v>2.3E-2</v>
      </c>
      <c r="E82">
        <v>2</v>
      </c>
      <c r="F82" s="101">
        <v>3</v>
      </c>
      <c r="G82" s="64">
        <v>14</v>
      </c>
      <c r="H82" s="64">
        <v>14</v>
      </c>
      <c r="I82" s="64">
        <v>11</v>
      </c>
      <c r="J82">
        <v>12</v>
      </c>
      <c r="K82">
        <v>12</v>
      </c>
      <c r="L82">
        <f t="shared" si="6"/>
        <v>12.6</v>
      </c>
      <c r="M82" t="s">
        <v>1736</v>
      </c>
      <c r="O82" s="123">
        <f t="shared" si="7"/>
        <v>63000</v>
      </c>
      <c r="P82" t="s">
        <v>32</v>
      </c>
      <c r="Q82" t="str">
        <f t="shared" si="8"/>
        <v>012</v>
      </c>
      <c r="R82" t="str">
        <f t="shared" si="9"/>
        <v>S</v>
      </c>
    </row>
    <row r="83" spans="1:18" ht="16" x14ac:dyDescent="0.2">
      <c r="A83" s="6" t="s">
        <v>1767</v>
      </c>
      <c r="B83" s="40">
        <v>4</v>
      </c>
      <c r="C83" t="str">
        <f t="shared" si="5"/>
        <v>012.S.b.4</v>
      </c>
      <c r="D83">
        <v>2.4E-2</v>
      </c>
      <c r="E83">
        <v>1</v>
      </c>
      <c r="F83" s="101"/>
      <c r="G83" s="64"/>
      <c r="H83" s="64"/>
      <c r="I83" s="64"/>
      <c r="L83" t="e">
        <f t="shared" si="6"/>
        <v>#DIV/0!</v>
      </c>
      <c r="N83" t="s">
        <v>1768</v>
      </c>
      <c r="O83" s="123" t="e">
        <f t="shared" si="7"/>
        <v>#DIV/0!</v>
      </c>
      <c r="P83" t="s">
        <v>32</v>
      </c>
      <c r="Q83" t="str">
        <f t="shared" si="8"/>
        <v>012</v>
      </c>
      <c r="R83" t="str">
        <f t="shared" si="9"/>
        <v>S</v>
      </c>
    </row>
    <row r="84" spans="1:18" ht="16" x14ac:dyDescent="0.2">
      <c r="A84" s="6" t="s">
        <v>1767</v>
      </c>
      <c r="B84" s="40">
        <v>5</v>
      </c>
      <c r="C84" t="str">
        <f t="shared" si="5"/>
        <v>012.S.b.5</v>
      </c>
      <c r="D84">
        <v>0.111</v>
      </c>
      <c r="E84">
        <v>4</v>
      </c>
      <c r="F84" s="101">
        <v>5</v>
      </c>
      <c r="G84" s="64">
        <v>5</v>
      </c>
      <c r="H84" s="64">
        <v>5</v>
      </c>
      <c r="I84" s="64">
        <v>4</v>
      </c>
      <c r="J84">
        <v>1</v>
      </c>
      <c r="K84">
        <v>0</v>
      </c>
      <c r="L84">
        <f t="shared" si="6"/>
        <v>3</v>
      </c>
      <c r="M84" t="s">
        <v>1736</v>
      </c>
      <c r="O84" s="123">
        <f t="shared" si="7"/>
        <v>1500000</v>
      </c>
      <c r="P84" t="s">
        <v>32</v>
      </c>
      <c r="Q84" t="str">
        <f t="shared" si="8"/>
        <v>012</v>
      </c>
      <c r="R84" t="str">
        <f t="shared" si="9"/>
        <v>S</v>
      </c>
    </row>
    <row r="85" spans="1:18" ht="16" x14ac:dyDescent="0.2">
      <c r="A85" s="6" t="s">
        <v>1767</v>
      </c>
      <c r="B85" s="40">
        <v>6</v>
      </c>
      <c r="C85" t="str">
        <f t="shared" si="5"/>
        <v>012.S.b.6</v>
      </c>
      <c r="D85">
        <v>7.6999999999999999E-2</v>
      </c>
      <c r="E85" t="s">
        <v>1740</v>
      </c>
      <c r="F85" s="101"/>
      <c r="G85" s="64"/>
      <c r="H85" s="64"/>
      <c r="I85" s="64"/>
      <c r="L85" t="e">
        <f t="shared" si="6"/>
        <v>#DIV/0!</v>
      </c>
      <c r="N85" t="s">
        <v>1769</v>
      </c>
      <c r="O85" s="123" t="e">
        <f t="shared" si="7"/>
        <v>#DIV/0!</v>
      </c>
      <c r="P85" t="s">
        <v>32</v>
      </c>
      <c r="Q85" t="str">
        <f t="shared" si="8"/>
        <v>012</v>
      </c>
      <c r="R85" t="str">
        <f t="shared" si="9"/>
        <v>S</v>
      </c>
    </row>
    <row r="86" spans="1:18" ht="16" x14ac:dyDescent="0.2">
      <c r="A86" t="s">
        <v>1770</v>
      </c>
      <c r="B86" s="39">
        <v>1</v>
      </c>
      <c r="C86" t="str">
        <f t="shared" si="5"/>
        <v>012.S.c.1</v>
      </c>
      <c r="D86">
        <v>7.0000000000000001E-3</v>
      </c>
      <c r="E86">
        <v>1</v>
      </c>
      <c r="F86" s="101"/>
      <c r="G86" s="64"/>
      <c r="H86" s="64"/>
      <c r="I86" s="64"/>
      <c r="L86" t="e">
        <f t="shared" si="6"/>
        <v>#DIV/0!</v>
      </c>
      <c r="N86" t="s">
        <v>1771</v>
      </c>
      <c r="O86" s="123" t="e">
        <f t="shared" si="7"/>
        <v>#DIV/0!</v>
      </c>
      <c r="P86" t="s">
        <v>32</v>
      </c>
      <c r="Q86" t="str">
        <f t="shared" si="8"/>
        <v>012</v>
      </c>
      <c r="R86" t="str">
        <f t="shared" si="9"/>
        <v>S</v>
      </c>
    </row>
    <row r="87" spans="1:18" s="43" customFormat="1" ht="16" x14ac:dyDescent="0.2">
      <c r="A87" s="43" t="s">
        <v>1770</v>
      </c>
      <c r="B87" s="75">
        <v>2</v>
      </c>
      <c r="C87" s="43" t="str">
        <f t="shared" si="5"/>
        <v>012.S.c.2</v>
      </c>
      <c r="D87" s="43">
        <v>1.4E-2</v>
      </c>
      <c r="E87" s="43">
        <v>1</v>
      </c>
      <c r="F87" s="101"/>
      <c r="G87" s="74"/>
      <c r="H87" s="74"/>
      <c r="I87" s="74"/>
      <c r="L87" s="43" t="e">
        <f t="shared" si="6"/>
        <v>#DIV/0!</v>
      </c>
      <c r="M87" s="43" t="s">
        <v>1736</v>
      </c>
      <c r="N87" s="43" t="s">
        <v>1772</v>
      </c>
      <c r="O87" s="123" t="e">
        <f t="shared" si="7"/>
        <v>#DIV/0!</v>
      </c>
      <c r="P87" t="s">
        <v>32</v>
      </c>
      <c r="Q87" t="str">
        <f t="shared" si="8"/>
        <v>012</v>
      </c>
      <c r="R87" t="str">
        <f t="shared" si="9"/>
        <v>S</v>
      </c>
    </row>
    <row r="88" spans="1:18" ht="16" x14ac:dyDescent="0.2">
      <c r="A88" s="6" t="s">
        <v>1770</v>
      </c>
      <c r="B88" s="40">
        <v>3</v>
      </c>
      <c r="C88" t="str">
        <f t="shared" si="5"/>
        <v>012.S.c.3</v>
      </c>
      <c r="D88">
        <v>2.5000000000000001E-2</v>
      </c>
      <c r="E88">
        <v>1</v>
      </c>
      <c r="F88" s="101">
        <v>6</v>
      </c>
      <c r="G88" s="64">
        <v>4</v>
      </c>
      <c r="H88" s="64">
        <v>2</v>
      </c>
      <c r="I88" s="64">
        <v>6</v>
      </c>
      <c r="J88">
        <v>4</v>
      </c>
      <c r="L88">
        <f t="shared" si="6"/>
        <v>4</v>
      </c>
      <c r="M88" t="s">
        <v>1736</v>
      </c>
      <c r="N88" s="99" t="s">
        <v>1773</v>
      </c>
      <c r="O88" s="123">
        <f t="shared" si="7"/>
        <v>20000000</v>
      </c>
      <c r="P88" t="s">
        <v>32</v>
      </c>
      <c r="Q88" t="str">
        <f t="shared" si="8"/>
        <v>012</v>
      </c>
      <c r="R88" t="str">
        <f t="shared" si="9"/>
        <v>S</v>
      </c>
    </row>
    <row r="89" spans="1:18" ht="16" x14ac:dyDescent="0.2">
      <c r="A89" s="6" t="s">
        <v>1770</v>
      </c>
      <c r="B89" s="40">
        <v>4</v>
      </c>
      <c r="C89" t="str">
        <f t="shared" si="5"/>
        <v>012.S.c.4</v>
      </c>
      <c r="D89">
        <v>2.4E-2</v>
      </c>
      <c r="E89">
        <v>1</v>
      </c>
      <c r="F89" s="101">
        <v>5</v>
      </c>
      <c r="G89" s="64">
        <v>2</v>
      </c>
      <c r="H89" s="64">
        <v>4</v>
      </c>
      <c r="I89" s="64">
        <v>2</v>
      </c>
      <c r="J89">
        <v>4</v>
      </c>
      <c r="K89">
        <v>3</v>
      </c>
      <c r="L89">
        <f t="shared" si="6"/>
        <v>3</v>
      </c>
      <c r="M89" t="s">
        <v>1736</v>
      </c>
      <c r="O89" s="123">
        <f t="shared" si="7"/>
        <v>1500000</v>
      </c>
      <c r="P89" t="s">
        <v>32</v>
      </c>
      <c r="Q89" t="str">
        <f t="shared" si="8"/>
        <v>012</v>
      </c>
      <c r="R89" t="str">
        <f t="shared" si="9"/>
        <v>S</v>
      </c>
    </row>
    <row r="90" spans="1:18" ht="16" x14ac:dyDescent="0.2">
      <c r="A90" s="6" t="s">
        <v>1770</v>
      </c>
      <c r="B90" s="40">
        <v>5</v>
      </c>
      <c r="C90" t="str">
        <f t="shared" si="5"/>
        <v>012.S.c.5</v>
      </c>
      <c r="D90">
        <v>4.4999999999999998E-2</v>
      </c>
      <c r="E90">
        <v>2</v>
      </c>
      <c r="F90" s="101">
        <v>5</v>
      </c>
      <c r="G90" s="64">
        <v>3</v>
      </c>
      <c r="H90" s="64">
        <v>13</v>
      </c>
      <c r="I90" s="64">
        <v>7</v>
      </c>
      <c r="J90">
        <v>4</v>
      </c>
      <c r="K90">
        <v>8</v>
      </c>
      <c r="L90">
        <f t="shared" si="6"/>
        <v>7</v>
      </c>
      <c r="M90" t="s">
        <v>1736</v>
      </c>
      <c r="O90" s="123">
        <f t="shared" si="7"/>
        <v>3500000</v>
      </c>
      <c r="P90" t="s">
        <v>32</v>
      </c>
      <c r="Q90" t="str">
        <f t="shared" si="8"/>
        <v>012</v>
      </c>
      <c r="R90" t="str">
        <f t="shared" si="9"/>
        <v>S</v>
      </c>
    </row>
    <row r="91" spans="1:18" s="43" customFormat="1" ht="16" x14ac:dyDescent="0.2">
      <c r="A91" s="59" t="s">
        <v>1770</v>
      </c>
      <c r="B91" s="73">
        <v>6</v>
      </c>
      <c r="C91" s="43" t="str">
        <f t="shared" si="5"/>
        <v>012.S.c.6</v>
      </c>
      <c r="D91" s="43">
        <v>0.11700000000000001</v>
      </c>
      <c r="E91" s="43" t="s">
        <v>1740</v>
      </c>
      <c r="F91" s="101"/>
      <c r="G91" s="74"/>
      <c r="H91" s="74"/>
      <c r="I91" s="74"/>
      <c r="L91" s="43" t="e">
        <f t="shared" si="6"/>
        <v>#DIV/0!</v>
      </c>
      <c r="M91" s="43" t="s">
        <v>1736</v>
      </c>
      <c r="N91" s="43" t="s">
        <v>1766</v>
      </c>
      <c r="O91" s="123" t="e">
        <f t="shared" si="7"/>
        <v>#DIV/0!</v>
      </c>
      <c r="P91" t="s">
        <v>32</v>
      </c>
      <c r="Q91" t="str">
        <f t="shared" si="8"/>
        <v>012</v>
      </c>
      <c r="R91" t="str">
        <f t="shared" si="9"/>
        <v>S</v>
      </c>
    </row>
    <row r="92" spans="1:18" ht="16" x14ac:dyDescent="0.2">
      <c r="A92" t="s">
        <v>1774</v>
      </c>
      <c r="B92" s="39">
        <v>1</v>
      </c>
      <c r="C92" t="str">
        <f t="shared" si="5"/>
        <v>012.V.a.1</v>
      </c>
      <c r="D92">
        <v>1.7000000000000001E-2</v>
      </c>
      <c r="E92">
        <v>1</v>
      </c>
      <c r="F92" s="101">
        <v>3</v>
      </c>
      <c r="G92" s="64">
        <v>1</v>
      </c>
      <c r="H92" s="64">
        <v>0</v>
      </c>
      <c r="I92" s="64">
        <v>0</v>
      </c>
      <c r="J92">
        <v>2</v>
      </c>
      <c r="K92">
        <v>1</v>
      </c>
      <c r="L92">
        <f t="shared" si="6"/>
        <v>0.8</v>
      </c>
      <c r="M92" t="s">
        <v>72</v>
      </c>
      <c r="O92" s="123">
        <f t="shared" si="7"/>
        <v>4000</v>
      </c>
      <c r="P92" t="s">
        <v>32</v>
      </c>
      <c r="Q92" t="str">
        <f t="shared" si="8"/>
        <v>012</v>
      </c>
      <c r="R92" t="str">
        <f t="shared" si="9"/>
        <v>V</v>
      </c>
    </row>
    <row r="93" spans="1:18" ht="16" x14ac:dyDescent="0.2">
      <c r="A93" t="s">
        <v>1774</v>
      </c>
      <c r="B93" s="39">
        <v>2</v>
      </c>
      <c r="C93" t="str">
        <f t="shared" si="5"/>
        <v>012.V.a.2</v>
      </c>
      <c r="D93">
        <v>2.7E-2</v>
      </c>
      <c r="E93">
        <v>1</v>
      </c>
      <c r="F93" s="101"/>
      <c r="G93" s="64"/>
      <c r="H93" s="64"/>
      <c r="I93" s="64"/>
      <c r="L93" t="e">
        <f t="shared" si="6"/>
        <v>#DIV/0!</v>
      </c>
      <c r="N93" t="s">
        <v>1775</v>
      </c>
      <c r="O93" s="123" t="e">
        <f t="shared" si="7"/>
        <v>#DIV/0!</v>
      </c>
      <c r="P93" t="s">
        <v>32</v>
      </c>
      <c r="Q93" t="str">
        <f t="shared" si="8"/>
        <v>012</v>
      </c>
      <c r="R93" t="str">
        <f t="shared" si="9"/>
        <v>V</v>
      </c>
    </row>
    <row r="94" spans="1:18" ht="16" x14ac:dyDescent="0.2">
      <c r="A94" s="6" t="s">
        <v>1774</v>
      </c>
      <c r="B94" s="40">
        <v>3</v>
      </c>
      <c r="C94" t="str">
        <f t="shared" si="5"/>
        <v>012.V.a.3</v>
      </c>
      <c r="D94">
        <v>2.1000000000000001E-2</v>
      </c>
      <c r="E94">
        <v>1</v>
      </c>
      <c r="F94" s="101"/>
      <c r="G94" s="64"/>
      <c r="H94" s="64"/>
      <c r="I94" s="64"/>
      <c r="L94" t="e">
        <f t="shared" si="6"/>
        <v>#DIV/0!</v>
      </c>
      <c r="N94" t="s">
        <v>1776</v>
      </c>
      <c r="O94" s="123" t="e">
        <f t="shared" si="7"/>
        <v>#DIV/0!</v>
      </c>
      <c r="P94" t="s">
        <v>32</v>
      </c>
      <c r="Q94" t="str">
        <f t="shared" si="8"/>
        <v>012</v>
      </c>
      <c r="R94" t="str">
        <f t="shared" si="9"/>
        <v>V</v>
      </c>
    </row>
    <row r="95" spans="1:18" ht="16" x14ac:dyDescent="0.2">
      <c r="A95" s="6" t="s">
        <v>1774</v>
      </c>
      <c r="B95" s="40">
        <v>4</v>
      </c>
      <c r="C95" t="str">
        <f t="shared" si="5"/>
        <v>012.V.a.4</v>
      </c>
      <c r="D95">
        <v>6.0999999999999999E-2</v>
      </c>
      <c r="E95">
        <v>2</v>
      </c>
      <c r="F95" s="101">
        <v>5</v>
      </c>
      <c r="G95" s="64">
        <v>3</v>
      </c>
      <c r="H95" s="64">
        <v>3</v>
      </c>
      <c r="I95" s="64">
        <v>2</v>
      </c>
      <c r="J95">
        <v>2</v>
      </c>
      <c r="K95">
        <v>0</v>
      </c>
      <c r="L95">
        <f t="shared" si="6"/>
        <v>2</v>
      </c>
      <c r="O95" s="123">
        <f t="shared" si="7"/>
        <v>1000000</v>
      </c>
      <c r="P95" t="s">
        <v>32</v>
      </c>
      <c r="Q95" t="str">
        <f t="shared" si="8"/>
        <v>012</v>
      </c>
      <c r="R95" t="str">
        <f t="shared" si="9"/>
        <v>V</v>
      </c>
    </row>
    <row r="96" spans="1:18" s="43" customFormat="1" ht="16" x14ac:dyDescent="0.2">
      <c r="A96" s="59" t="s">
        <v>1774</v>
      </c>
      <c r="B96" s="73">
        <v>5</v>
      </c>
      <c r="C96" s="43" t="str">
        <f t="shared" si="5"/>
        <v>012.V.a.5</v>
      </c>
      <c r="D96" s="43">
        <v>9.0999999999999998E-2</v>
      </c>
      <c r="E96" s="43">
        <v>2</v>
      </c>
      <c r="F96" s="101"/>
      <c r="G96" s="74"/>
      <c r="H96" s="74"/>
      <c r="I96" s="74"/>
      <c r="L96" s="43" t="e">
        <f t="shared" si="6"/>
        <v>#DIV/0!</v>
      </c>
      <c r="M96" s="43" t="s">
        <v>1736</v>
      </c>
      <c r="N96" s="43" t="s">
        <v>1753</v>
      </c>
      <c r="O96" s="123" t="e">
        <f t="shared" si="7"/>
        <v>#DIV/0!</v>
      </c>
      <c r="P96" t="s">
        <v>32</v>
      </c>
      <c r="Q96" t="str">
        <f t="shared" si="8"/>
        <v>012</v>
      </c>
      <c r="R96" t="str">
        <f t="shared" si="9"/>
        <v>V</v>
      </c>
    </row>
    <row r="97" spans="1:18" s="43" customFormat="1" ht="16" x14ac:dyDescent="0.2">
      <c r="A97" s="59" t="s">
        <v>1774</v>
      </c>
      <c r="B97" s="73">
        <v>6</v>
      </c>
      <c r="C97" s="43" t="str">
        <f t="shared" si="5"/>
        <v>012.V.a.6</v>
      </c>
      <c r="D97" s="43">
        <v>0.122</v>
      </c>
      <c r="E97" s="43" t="s">
        <v>1740</v>
      </c>
      <c r="F97" s="101"/>
      <c r="G97" s="74"/>
      <c r="H97" s="74"/>
      <c r="I97" s="74"/>
      <c r="L97" s="43" t="e">
        <f t="shared" si="6"/>
        <v>#DIV/0!</v>
      </c>
      <c r="M97" s="43" t="s">
        <v>1736</v>
      </c>
      <c r="N97" s="43" t="s">
        <v>1753</v>
      </c>
      <c r="O97" s="123" t="e">
        <f t="shared" si="7"/>
        <v>#DIV/0!</v>
      </c>
      <c r="P97" t="s">
        <v>32</v>
      </c>
      <c r="Q97" t="str">
        <f t="shared" si="8"/>
        <v>012</v>
      </c>
      <c r="R97" t="str">
        <f t="shared" si="9"/>
        <v>V</v>
      </c>
    </row>
    <row r="98" spans="1:18" s="43" customFormat="1" ht="16" x14ac:dyDescent="0.2">
      <c r="A98" s="43" t="s">
        <v>1777</v>
      </c>
      <c r="B98" s="75">
        <v>1</v>
      </c>
      <c r="C98" s="43" t="str">
        <f t="shared" si="5"/>
        <v>012.V.b.1</v>
      </c>
      <c r="D98" s="43">
        <v>2.1000000000000001E-2</v>
      </c>
      <c r="E98" s="43">
        <v>1</v>
      </c>
      <c r="F98" s="101"/>
      <c r="G98" s="74"/>
      <c r="H98" s="74"/>
      <c r="I98" s="74"/>
      <c r="L98" s="43" t="e">
        <f t="shared" si="6"/>
        <v>#DIV/0!</v>
      </c>
      <c r="M98" s="43" t="s">
        <v>1736</v>
      </c>
      <c r="N98" s="43" t="s">
        <v>1753</v>
      </c>
      <c r="O98" s="123" t="e">
        <f t="shared" si="7"/>
        <v>#DIV/0!</v>
      </c>
      <c r="P98" t="s">
        <v>32</v>
      </c>
      <c r="Q98" t="str">
        <f t="shared" si="8"/>
        <v>012</v>
      </c>
      <c r="R98" t="str">
        <f t="shared" si="9"/>
        <v>V</v>
      </c>
    </row>
    <row r="99" spans="1:18" ht="16" x14ac:dyDescent="0.2">
      <c r="A99" t="s">
        <v>1777</v>
      </c>
      <c r="B99" s="39">
        <v>2</v>
      </c>
      <c r="C99" t="str">
        <f t="shared" si="5"/>
        <v>012.V.b.2</v>
      </c>
      <c r="D99">
        <v>3.1E-2</v>
      </c>
      <c r="E99">
        <v>1</v>
      </c>
      <c r="F99" s="101">
        <v>4</v>
      </c>
      <c r="G99" s="64">
        <v>45</v>
      </c>
      <c r="H99" s="64">
        <v>38</v>
      </c>
      <c r="I99" s="64">
        <v>55</v>
      </c>
      <c r="J99">
        <v>43</v>
      </c>
      <c r="K99">
        <v>42</v>
      </c>
      <c r="L99">
        <f t="shared" si="6"/>
        <v>44.6</v>
      </c>
      <c r="M99" t="s">
        <v>1736</v>
      </c>
      <c r="O99" s="123">
        <f t="shared" si="7"/>
        <v>2230000</v>
      </c>
      <c r="P99" t="s">
        <v>32</v>
      </c>
      <c r="Q99" t="str">
        <f t="shared" si="8"/>
        <v>012</v>
      </c>
      <c r="R99" t="str">
        <f t="shared" si="9"/>
        <v>V</v>
      </c>
    </row>
    <row r="100" spans="1:18" s="43" customFormat="1" ht="16" x14ac:dyDescent="0.2">
      <c r="A100" s="59" t="s">
        <v>1777</v>
      </c>
      <c r="B100" s="73">
        <v>3</v>
      </c>
      <c r="C100" s="43" t="str">
        <f t="shared" si="5"/>
        <v>012.V.b.3</v>
      </c>
      <c r="D100" s="43">
        <v>2.1000000000000001E-2</v>
      </c>
      <c r="E100" s="43">
        <v>1</v>
      </c>
      <c r="F100" s="101"/>
      <c r="G100" s="74"/>
      <c r="H100" s="74"/>
      <c r="I100" s="74"/>
      <c r="L100" s="43" t="e">
        <f t="shared" si="6"/>
        <v>#DIV/0!</v>
      </c>
      <c r="N100" s="43" t="s">
        <v>1753</v>
      </c>
      <c r="O100" s="123" t="e">
        <f t="shared" si="7"/>
        <v>#DIV/0!</v>
      </c>
      <c r="P100" t="s">
        <v>32</v>
      </c>
      <c r="Q100" t="str">
        <f t="shared" si="8"/>
        <v>012</v>
      </c>
      <c r="R100" t="str">
        <f t="shared" si="9"/>
        <v>V</v>
      </c>
    </row>
    <row r="101" spans="1:18" s="43" customFormat="1" ht="16" x14ac:dyDescent="0.2">
      <c r="A101" s="59" t="s">
        <v>1777</v>
      </c>
      <c r="B101" s="73">
        <v>4</v>
      </c>
      <c r="C101" s="43" t="str">
        <f t="shared" si="5"/>
        <v>012.V.b.4</v>
      </c>
      <c r="D101" s="43">
        <v>2.3E-2</v>
      </c>
      <c r="E101" s="43">
        <v>1</v>
      </c>
      <c r="F101" s="101"/>
      <c r="G101" s="74"/>
      <c r="H101" s="74"/>
      <c r="I101" s="74"/>
      <c r="L101" s="43" t="e">
        <f t="shared" si="6"/>
        <v>#DIV/0!</v>
      </c>
      <c r="M101" s="43" t="s">
        <v>1736</v>
      </c>
      <c r="N101" s="43" t="s">
        <v>1766</v>
      </c>
      <c r="O101" s="123" t="e">
        <f t="shared" si="7"/>
        <v>#DIV/0!</v>
      </c>
      <c r="P101" t="s">
        <v>32</v>
      </c>
      <c r="Q101" t="str">
        <f t="shared" si="8"/>
        <v>012</v>
      </c>
      <c r="R101" t="str">
        <f t="shared" si="9"/>
        <v>V</v>
      </c>
    </row>
    <row r="102" spans="1:18" ht="16" x14ac:dyDescent="0.2">
      <c r="A102" s="6" t="s">
        <v>1777</v>
      </c>
      <c r="B102" s="40">
        <v>5</v>
      </c>
      <c r="C102" t="str">
        <f t="shared" si="5"/>
        <v>012.V.b.5</v>
      </c>
      <c r="D102">
        <v>0.05</v>
      </c>
      <c r="E102">
        <v>2</v>
      </c>
      <c r="F102" s="101">
        <v>5</v>
      </c>
      <c r="G102" s="64">
        <v>40</v>
      </c>
      <c r="H102" s="64">
        <v>24</v>
      </c>
      <c r="I102" s="64">
        <v>36</v>
      </c>
      <c r="J102">
        <v>18</v>
      </c>
      <c r="K102">
        <v>19</v>
      </c>
      <c r="L102">
        <f t="shared" si="6"/>
        <v>27.4</v>
      </c>
      <c r="M102" t="s">
        <v>1736</v>
      </c>
      <c r="O102" s="123">
        <f t="shared" si="7"/>
        <v>13700000</v>
      </c>
      <c r="P102" t="s">
        <v>32</v>
      </c>
      <c r="Q102" t="str">
        <f t="shared" si="8"/>
        <v>012</v>
      </c>
      <c r="R102" t="str">
        <f t="shared" si="9"/>
        <v>V</v>
      </c>
    </row>
    <row r="103" spans="1:18" ht="16" x14ac:dyDescent="0.2">
      <c r="A103" s="6" t="s">
        <v>1777</v>
      </c>
      <c r="B103" s="40">
        <v>6</v>
      </c>
      <c r="C103" t="str">
        <f t="shared" si="5"/>
        <v>012.V.b.6</v>
      </c>
      <c r="D103">
        <v>0.115</v>
      </c>
      <c r="E103" t="s">
        <v>1740</v>
      </c>
      <c r="F103" s="101">
        <v>5</v>
      </c>
      <c r="G103" s="64">
        <v>5</v>
      </c>
      <c r="H103" s="64">
        <v>3</v>
      </c>
      <c r="I103" s="64">
        <v>3</v>
      </c>
      <c r="J103">
        <v>3</v>
      </c>
      <c r="K103">
        <v>6</v>
      </c>
      <c r="L103">
        <f t="shared" si="6"/>
        <v>4</v>
      </c>
      <c r="M103" t="s">
        <v>1736</v>
      </c>
      <c r="O103" s="123">
        <f t="shared" si="7"/>
        <v>2000000</v>
      </c>
      <c r="P103" t="s">
        <v>32</v>
      </c>
      <c r="Q103" t="str">
        <f t="shared" si="8"/>
        <v>012</v>
      </c>
      <c r="R103" t="str">
        <f t="shared" si="9"/>
        <v>V</v>
      </c>
    </row>
    <row r="104" spans="1:18" s="43" customFormat="1" ht="16" x14ac:dyDescent="0.2">
      <c r="A104" s="43" t="s">
        <v>1778</v>
      </c>
      <c r="B104" s="75">
        <v>1</v>
      </c>
      <c r="C104" s="43" t="str">
        <f t="shared" si="5"/>
        <v>012.V.c.1</v>
      </c>
      <c r="D104" s="43">
        <v>1.7999999999999999E-2</v>
      </c>
      <c r="E104" s="43">
        <v>1</v>
      </c>
      <c r="F104" s="101"/>
      <c r="G104" s="74"/>
      <c r="H104" s="74"/>
      <c r="I104" s="74"/>
      <c r="L104" s="43" t="e">
        <f t="shared" si="6"/>
        <v>#DIV/0!</v>
      </c>
      <c r="M104" s="43" t="s">
        <v>1736</v>
      </c>
      <c r="N104" s="43" t="s">
        <v>1753</v>
      </c>
      <c r="O104" s="123" t="e">
        <f t="shared" si="7"/>
        <v>#DIV/0!</v>
      </c>
      <c r="P104" t="s">
        <v>32</v>
      </c>
      <c r="Q104" t="str">
        <f t="shared" si="8"/>
        <v>012</v>
      </c>
      <c r="R104" t="str">
        <f t="shared" si="9"/>
        <v>V</v>
      </c>
    </row>
    <row r="105" spans="1:18" s="43" customFormat="1" ht="16" x14ac:dyDescent="0.2">
      <c r="A105" s="43" t="s">
        <v>1778</v>
      </c>
      <c r="B105" s="75">
        <v>2</v>
      </c>
      <c r="C105" s="43" t="str">
        <f t="shared" si="5"/>
        <v>012.V.c.2</v>
      </c>
      <c r="D105" s="43">
        <v>0.03</v>
      </c>
      <c r="E105" s="43">
        <v>2</v>
      </c>
      <c r="F105" s="101"/>
      <c r="G105" s="74"/>
      <c r="H105" s="74"/>
      <c r="I105" s="74"/>
      <c r="L105" s="43" t="e">
        <f t="shared" si="6"/>
        <v>#DIV/0!</v>
      </c>
      <c r="M105" s="43" t="s">
        <v>1736</v>
      </c>
      <c r="N105" s="43" t="s">
        <v>1753</v>
      </c>
      <c r="O105" s="123" t="e">
        <f t="shared" si="7"/>
        <v>#DIV/0!</v>
      </c>
      <c r="P105" t="s">
        <v>32</v>
      </c>
      <c r="Q105" t="str">
        <f t="shared" si="8"/>
        <v>012</v>
      </c>
      <c r="R105" t="str">
        <f t="shared" si="9"/>
        <v>V</v>
      </c>
    </row>
    <row r="106" spans="1:18" ht="16" x14ac:dyDescent="0.2">
      <c r="A106" s="6" t="s">
        <v>1778</v>
      </c>
      <c r="B106" s="40">
        <v>3</v>
      </c>
      <c r="C106" t="str">
        <f t="shared" si="5"/>
        <v>012.V.c.3</v>
      </c>
      <c r="D106">
        <v>3.5000000000000003E-2</v>
      </c>
      <c r="E106">
        <v>1</v>
      </c>
      <c r="F106" s="101">
        <v>4</v>
      </c>
      <c r="G106" s="64">
        <v>89</v>
      </c>
      <c r="H106" s="64">
        <v>100</v>
      </c>
      <c r="I106" s="64">
        <v>89</v>
      </c>
      <c r="J106">
        <v>61</v>
      </c>
      <c r="K106">
        <v>84</v>
      </c>
      <c r="L106">
        <f t="shared" si="6"/>
        <v>84.6</v>
      </c>
      <c r="M106" t="s">
        <v>1736</v>
      </c>
      <c r="O106" s="123">
        <f t="shared" si="7"/>
        <v>4230000</v>
      </c>
      <c r="P106" t="s">
        <v>32</v>
      </c>
      <c r="Q106" t="str">
        <f t="shared" si="8"/>
        <v>012</v>
      </c>
      <c r="R106" t="str">
        <f t="shared" si="9"/>
        <v>V</v>
      </c>
    </row>
    <row r="107" spans="1:18" ht="16" x14ac:dyDescent="0.2">
      <c r="A107" s="6" t="s">
        <v>1778</v>
      </c>
      <c r="B107" s="40">
        <v>4</v>
      </c>
      <c r="C107" t="str">
        <f t="shared" si="5"/>
        <v>012.V.c.4</v>
      </c>
      <c r="D107">
        <v>4.3999999999999997E-2</v>
      </c>
      <c r="E107">
        <v>1</v>
      </c>
      <c r="F107" s="101"/>
      <c r="G107" s="64"/>
      <c r="H107" s="64"/>
      <c r="I107" s="64"/>
      <c r="L107" t="e">
        <f t="shared" si="6"/>
        <v>#DIV/0!</v>
      </c>
      <c r="N107" t="s">
        <v>1752</v>
      </c>
      <c r="O107" s="123" t="e">
        <f t="shared" si="7"/>
        <v>#DIV/0!</v>
      </c>
      <c r="P107" t="s">
        <v>32</v>
      </c>
      <c r="Q107" t="str">
        <f t="shared" si="8"/>
        <v>012</v>
      </c>
      <c r="R107" t="str">
        <f t="shared" si="9"/>
        <v>V</v>
      </c>
    </row>
    <row r="108" spans="1:18" ht="16" x14ac:dyDescent="0.2">
      <c r="A108" s="6" t="s">
        <v>1778</v>
      </c>
      <c r="B108" s="40">
        <v>5</v>
      </c>
      <c r="C108" t="str">
        <f t="shared" si="5"/>
        <v>012.V.c.5</v>
      </c>
      <c r="D108">
        <v>8.6999999999999994E-2</v>
      </c>
      <c r="E108">
        <v>4</v>
      </c>
      <c r="F108" s="101"/>
      <c r="G108" s="64"/>
      <c r="H108" s="64"/>
      <c r="I108" s="64"/>
      <c r="L108" t="e">
        <f t="shared" si="6"/>
        <v>#DIV/0!</v>
      </c>
      <c r="N108" t="s">
        <v>1752</v>
      </c>
      <c r="O108" s="123" t="e">
        <f t="shared" si="7"/>
        <v>#DIV/0!</v>
      </c>
      <c r="P108" t="s">
        <v>32</v>
      </c>
      <c r="Q108" t="str">
        <f t="shared" si="8"/>
        <v>012</v>
      </c>
      <c r="R108" t="str">
        <f t="shared" si="9"/>
        <v>V</v>
      </c>
    </row>
    <row r="109" spans="1:18" ht="16" x14ac:dyDescent="0.2">
      <c r="A109" s="6" t="s">
        <v>1778</v>
      </c>
      <c r="B109" s="40">
        <v>6</v>
      </c>
      <c r="C109" t="str">
        <f t="shared" si="5"/>
        <v>012.V.c.6</v>
      </c>
      <c r="D109">
        <v>0.112</v>
      </c>
      <c r="E109" t="s">
        <v>1740</v>
      </c>
      <c r="F109" s="101"/>
      <c r="G109" s="64"/>
      <c r="H109" s="64"/>
      <c r="I109" s="64"/>
      <c r="L109" t="e">
        <f t="shared" si="6"/>
        <v>#DIV/0!</v>
      </c>
      <c r="N109" t="s">
        <v>1752</v>
      </c>
      <c r="O109" s="123" t="e">
        <f t="shared" si="7"/>
        <v>#DIV/0!</v>
      </c>
      <c r="P109" t="s">
        <v>32</v>
      </c>
      <c r="Q109" t="str">
        <f t="shared" si="8"/>
        <v>012</v>
      </c>
      <c r="R109" t="str">
        <f t="shared" si="9"/>
        <v>V</v>
      </c>
    </row>
    <row r="110" spans="1:18" x14ac:dyDescent="0.2">
      <c r="A110" t="s">
        <v>1779</v>
      </c>
      <c r="B110" s="39">
        <v>1</v>
      </c>
      <c r="C110" t="str">
        <f>A110&amp;"."&amp;B110</f>
        <v>044.O.a.1</v>
      </c>
      <c r="D110">
        <v>1.4999999999999999E-2</v>
      </c>
      <c r="E110">
        <v>1</v>
      </c>
      <c r="F110" s="104">
        <v>4</v>
      </c>
      <c r="G110">
        <v>16</v>
      </c>
      <c r="H110">
        <v>14</v>
      </c>
      <c r="I110">
        <v>18</v>
      </c>
      <c r="J110">
        <v>16</v>
      </c>
      <c r="K110">
        <v>14</v>
      </c>
      <c r="L110">
        <f t="shared" si="6"/>
        <v>15.6</v>
      </c>
      <c r="M110" t="s">
        <v>72</v>
      </c>
      <c r="O110" s="123">
        <f t="shared" si="7"/>
        <v>780000</v>
      </c>
      <c r="P110" t="s">
        <v>32</v>
      </c>
      <c r="Q110" t="str">
        <f t="shared" si="8"/>
        <v>044</v>
      </c>
      <c r="R110" t="str">
        <f t="shared" si="9"/>
        <v>O</v>
      </c>
    </row>
    <row r="111" spans="1:18" x14ac:dyDescent="0.2">
      <c r="A111" t="s">
        <v>1779</v>
      </c>
      <c r="B111" s="39">
        <v>2</v>
      </c>
      <c r="C111" t="str">
        <f t="shared" si="5"/>
        <v>044.O.a.2</v>
      </c>
      <c r="D111">
        <v>0.02</v>
      </c>
      <c r="E111">
        <v>1</v>
      </c>
      <c r="L111" t="e">
        <f t="shared" si="6"/>
        <v>#DIV/0!</v>
      </c>
      <c r="N111" t="s">
        <v>1780</v>
      </c>
      <c r="O111" s="123" t="e">
        <f t="shared" si="7"/>
        <v>#DIV/0!</v>
      </c>
      <c r="P111" t="s">
        <v>32</v>
      </c>
      <c r="Q111" t="str">
        <f t="shared" si="8"/>
        <v>044</v>
      </c>
      <c r="R111" t="str">
        <f t="shared" si="9"/>
        <v>O</v>
      </c>
    </row>
    <row r="112" spans="1:18" x14ac:dyDescent="0.2">
      <c r="A112" s="6" t="s">
        <v>1779</v>
      </c>
      <c r="B112" s="40">
        <v>3</v>
      </c>
      <c r="C112" t="str">
        <f t="shared" si="5"/>
        <v>044.O.a.3</v>
      </c>
      <c r="D112">
        <v>5.1999999999999998E-2</v>
      </c>
      <c r="E112">
        <v>2</v>
      </c>
      <c r="F112" s="104">
        <v>5</v>
      </c>
      <c r="G112">
        <v>12</v>
      </c>
      <c r="H112">
        <v>14</v>
      </c>
      <c r="I112">
        <v>22</v>
      </c>
      <c r="J112">
        <v>18</v>
      </c>
      <c r="K112">
        <v>25</v>
      </c>
      <c r="L112">
        <f t="shared" si="6"/>
        <v>18.2</v>
      </c>
      <c r="M112" t="s">
        <v>72</v>
      </c>
      <c r="N112" t="s">
        <v>1781</v>
      </c>
      <c r="O112" s="123">
        <f t="shared" si="7"/>
        <v>9100000</v>
      </c>
      <c r="P112" t="s">
        <v>32</v>
      </c>
      <c r="Q112" t="str">
        <f t="shared" si="8"/>
        <v>044</v>
      </c>
      <c r="R112" t="str">
        <f t="shared" si="9"/>
        <v>O</v>
      </c>
    </row>
    <row r="113" spans="1:18" x14ac:dyDescent="0.2">
      <c r="A113" s="6" t="s">
        <v>1779</v>
      </c>
      <c r="B113" s="40">
        <v>4</v>
      </c>
      <c r="C113" t="str">
        <f>A113&amp;"."&amp;B113</f>
        <v>044.O.a.4</v>
      </c>
      <c r="D113">
        <v>7.2999999999999995E-2</v>
      </c>
      <c r="E113">
        <v>3</v>
      </c>
      <c r="F113" s="104" t="s">
        <v>57</v>
      </c>
      <c r="G113" t="s">
        <v>57</v>
      </c>
      <c r="H113" t="s">
        <v>57</v>
      </c>
      <c r="I113" t="s">
        <v>57</v>
      </c>
      <c r="J113" t="s">
        <v>57</v>
      </c>
      <c r="K113" t="s">
        <v>57</v>
      </c>
      <c r="L113" t="e">
        <f t="shared" si="6"/>
        <v>#DIV/0!</v>
      </c>
      <c r="N113" t="s">
        <v>1782</v>
      </c>
      <c r="O113" s="123" t="e">
        <f t="shared" si="7"/>
        <v>#DIV/0!</v>
      </c>
      <c r="P113" t="s">
        <v>32</v>
      </c>
      <c r="Q113" t="str">
        <f t="shared" si="8"/>
        <v>044</v>
      </c>
      <c r="R113" t="str">
        <f t="shared" si="9"/>
        <v>O</v>
      </c>
    </row>
    <row r="114" spans="1:18" x14ac:dyDescent="0.2">
      <c r="A114" s="6" t="s">
        <v>1779</v>
      </c>
      <c r="B114" s="40">
        <v>5</v>
      </c>
      <c r="C114" t="str">
        <f t="shared" si="5"/>
        <v>044.O.a.5</v>
      </c>
      <c r="D114">
        <v>7.9000000000000001E-2</v>
      </c>
      <c r="E114" t="s">
        <v>1740</v>
      </c>
      <c r="F114" s="104">
        <v>5</v>
      </c>
      <c r="G114">
        <v>22</v>
      </c>
      <c r="H114">
        <v>24</v>
      </c>
      <c r="I114">
        <v>14</v>
      </c>
      <c r="J114">
        <v>9</v>
      </c>
      <c r="K114">
        <v>16</v>
      </c>
      <c r="L114">
        <f t="shared" si="6"/>
        <v>17</v>
      </c>
      <c r="M114" t="s">
        <v>72</v>
      </c>
      <c r="O114" s="123">
        <f t="shared" si="7"/>
        <v>8500000</v>
      </c>
      <c r="P114" t="s">
        <v>32</v>
      </c>
      <c r="Q114" t="str">
        <f t="shared" si="8"/>
        <v>044</v>
      </c>
      <c r="R114" t="str">
        <f t="shared" si="9"/>
        <v>O</v>
      </c>
    </row>
    <row r="115" spans="1:18" x14ac:dyDescent="0.2">
      <c r="A115" s="6" t="s">
        <v>1779</v>
      </c>
      <c r="B115" s="40">
        <v>6</v>
      </c>
      <c r="C115" t="str">
        <f t="shared" si="5"/>
        <v>044.O.a.6</v>
      </c>
      <c r="D115">
        <v>0.219</v>
      </c>
      <c r="E115" t="s">
        <v>1740</v>
      </c>
      <c r="F115" s="104">
        <v>5</v>
      </c>
      <c r="G115">
        <v>29</v>
      </c>
      <c r="H115">
        <v>35</v>
      </c>
      <c r="I115">
        <v>32</v>
      </c>
      <c r="J115">
        <v>22</v>
      </c>
      <c r="K115">
        <v>34</v>
      </c>
      <c r="L115">
        <f t="shared" si="6"/>
        <v>30.4</v>
      </c>
      <c r="M115" t="s">
        <v>72</v>
      </c>
      <c r="O115" s="123">
        <f t="shared" si="7"/>
        <v>15200000</v>
      </c>
      <c r="P115" t="s">
        <v>32</v>
      </c>
      <c r="Q115" t="str">
        <f t="shared" si="8"/>
        <v>044</v>
      </c>
      <c r="R115" t="str">
        <f t="shared" si="9"/>
        <v>O</v>
      </c>
    </row>
    <row r="116" spans="1:18" x14ac:dyDescent="0.2">
      <c r="A116" t="s">
        <v>1783</v>
      </c>
      <c r="B116" s="39">
        <v>1</v>
      </c>
      <c r="C116" t="str">
        <f t="shared" si="5"/>
        <v>044.O.b.1</v>
      </c>
      <c r="D116">
        <v>8.0000000000000002E-3</v>
      </c>
      <c r="E116">
        <v>1</v>
      </c>
      <c r="F116" s="104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f t="shared" si="6"/>
        <v>0</v>
      </c>
      <c r="N116" t="s">
        <v>1784</v>
      </c>
      <c r="O116" s="123">
        <f t="shared" si="7"/>
        <v>0</v>
      </c>
      <c r="P116" t="s">
        <v>32</v>
      </c>
      <c r="Q116" t="str">
        <f t="shared" si="8"/>
        <v>044</v>
      </c>
      <c r="R116" t="str">
        <f t="shared" si="9"/>
        <v>O</v>
      </c>
    </row>
    <row r="117" spans="1:18" x14ac:dyDescent="0.2">
      <c r="A117" t="s">
        <v>1783</v>
      </c>
      <c r="B117" s="39">
        <v>2</v>
      </c>
      <c r="C117" t="str">
        <f>A117&amp;"."&amp;B117</f>
        <v>044.O.b.2</v>
      </c>
      <c r="D117">
        <v>3.5000000000000003E-2</v>
      </c>
      <c r="E117">
        <v>3</v>
      </c>
      <c r="L117" t="e">
        <f t="shared" si="6"/>
        <v>#DIV/0!</v>
      </c>
      <c r="N117" t="s">
        <v>1785</v>
      </c>
      <c r="O117" s="123" t="e">
        <f t="shared" si="7"/>
        <v>#DIV/0!</v>
      </c>
      <c r="P117" t="s">
        <v>32</v>
      </c>
      <c r="Q117" t="str">
        <f t="shared" si="8"/>
        <v>044</v>
      </c>
      <c r="R117" t="str">
        <f t="shared" si="9"/>
        <v>O</v>
      </c>
    </row>
    <row r="118" spans="1:18" x14ac:dyDescent="0.2">
      <c r="A118" s="6" t="s">
        <v>1783</v>
      </c>
      <c r="B118" s="40">
        <v>3</v>
      </c>
      <c r="C118" t="str">
        <f t="shared" si="5"/>
        <v>044.O.b.3</v>
      </c>
      <c r="D118">
        <v>3.7999999999999999E-2</v>
      </c>
      <c r="E118">
        <v>2</v>
      </c>
      <c r="F118" s="104" t="s">
        <v>57</v>
      </c>
      <c r="G118" t="s">
        <v>57</v>
      </c>
      <c r="H118" t="s">
        <v>57</v>
      </c>
      <c r="I118" t="s">
        <v>57</v>
      </c>
      <c r="J118" t="s">
        <v>57</v>
      </c>
      <c r="K118" t="s">
        <v>57</v>
      </c>
      <c r="L118" t="e">
        <f t="shared" si="6"/>
        <v>#DIV/0!</v>
      </c>
      <c r="N118" t="s">
        <v>1786</v>
      </c>
      <c r="O118" s="123" t="e">
        <f t="shared" si="7"/>
        <v>#DIV/0!</v>
      </c>
      <c r="P118" t="s">
        <v>32</v>
      </c>
      <c r="Q118" t="str">
        <f t="shared" si="8"/>
        <v>044</v>
      </c>
      <c r="R118" t="str">
        <f t="shared" si="9"/>
        <v>O</v>
      </c>
    </row>
    <row r="119" spans="1:18" x14ac:dyDescent="0.2">
      <c r="A119" s="6" t="s">
        <v>1783</v>
      </c>
      <c r="B119" s="40">
        <v>4</v>
      </c>
      <c r="C119" t="str">
        <f>A119&amp;"."&amp;B119</f>
        <v>044.O.b.4</v>
      </c>
      <c r="D119">
        <v>0.04</v>
      </c>
      <c r="E119">
        <v>1</v>
      </c>
      <c r="L119" t="e">
        <f t="shared" si="6"/>
        <v>#DIV/0!</v>
      </c>
      <c r="N119" t="s">
        <v>1787</v>
      </c>
      <c r="O119" s="123" t="e">
        <f t="shared" si="7"/>
        <v>#DIV/0!</v>
      </c>
      <c r="P119" t="s">
        <v>32</v>
      </c>
      <c r="Q119" t="str">
        <f t="shared" si="8"/>
        <v>044</v>
      </c>
      <c r="R119" t="str">
        <f t="shared" si="9"/>
        <v>O</v>
      </c>
    </row>
    <row r="120" spans="1:18" x14ac:dyDescent="0.2">
      <c r="A120" s="6" t="s">
        <v>1783</v>
      </c>
      <c r="B120" s="40">
        <v>5</v>
      </c>
      <c r="C120" t="str">
        <f t="shared" si="5"/>
        <v>044.O.b.5</v>
      </c>
      <c r="D120">
        <v>5.7000000000000002E-2</v>
      </c>
      <c r="E120">
        <v>5</v>
      </c>
      <c r="L120" t="e">
        <f t="shared" si="6"/>
        <v>#DIV/0!</v>
      </c>
      <c r="N120" t="s">
        <v>1788</v>
      </c>
      <c r="O120" s="123" t="e">
        <f t="shared" si="7"/>
        <v>#DIV/0!</v>
      </c>
      <c r="P120" t="s">
        <v>32</v>
      </c>
      <c r="Q120" t="str">
        <f t="shared" si="8"/>
        <v>044</v>
      </c>
      <c r="R120" t="str">
        <f t="shared" si="9"/>
        <v>O</v>
      </c>
    </row>
    <row r="121" spans="1:18" x14ac:dyDescent="0.2">
      <c r="A121" s="6" t="s">
        <v>1783</v>
      </c>
      <c r="B121" s="40">
        <v>6</v>
      </c>
      <c r="C121" t="str">
        <f t="shared" si="5"/>
        <v>044.O.b.6</v>
      </c>
      <c r="D121">
        <v>8.4000000000000005E-2</v>
      </c>
      <c r="E121">
        <v>3</v>
      </c>
      <c r="L121" t="e">
        <f t="shared" si="6"/>
        <v>#DIV/0!</v>
      </c>
      <c r="N121" t="s">
        <v>1789</v>
      </c>
      <c r="O121" s="123" t="e">
        <f t="shared" si="7"/>
        <v>#DIV/0!</v>
      </c>
      <c r="P121" t="s">
        <v>32</v>
      </c>
      <c r="Q121" t="str">
        <f t="shared" si="8"/>
        <v>044</v>
      </c>
      <c r="R121" t="str">
        <f t="shared" si="9"/>
        <v>O</v>
      </c>
    </row>
    <row r="122" spans="1:18" x14ac:dyDescent="0.2">
      <c r="A122" t="s">
        <v>1790</v>
      </c>
      <c r="B122" s="39">
        <v>1</v>
      </c>
      <c r="C122" t="str">
        <f>A122&amp;"."&amp;B122</f>
        <v>044.O.c.1</v>
      </c>
      <c r="D122">
        <v>1.6E-2</v>
      </c>
      <c r="E122">
        <v>1</v>
      </c>
      <c r="F122" s="104">
        <v>3</v>
      </c>
      <c r="G122">
        <v>6</v>
      </c>
      <c r="H122">
        <v>1</v>
      </c>
      <c r="I122">
        <v>2</v>
      </c>
      <c r="J122">
        <v>3</v>
      </c>
      <c r="K122">
        <v>0</v>
      </c>
      <c r="L122">
        <f t="shared" si="6"/>
        <v>2.4</v>
      </c>
      <c r="M122" t="s">
        <v>72</v>
      </c>
      <c r="O122" s="123">
        <f t="shared" si="7"/>
        <v>12000</v>
      </c>
      <c r="P122" t="s">
        <v>32</v>
      </c>
      <c r="Q122" t="str">
        <f t="shared" si="8"/>
        <v>044</v>
      </c>
      <c r="R122" t="str">
        <f t="shared" si="9"/>
        <v>O</v>
      </c>
    </row>
    <row r="123" spans="1:18" x14ac:dyDescent="0.2">
      <c r="A123" t="s">
        <v>1790</v>
      </c>
      <c r="B123" s="39">
        <v>2</v>
      </c>
      <c r="C123" t="str">
        <f t="shared" si="5"/>
        <v>044.O.c.2</v>
      </c>
      <c r="D123">
        <v>2.3E-2</v>
      </c>
      <c r="E123">
        <v>1</v>
      </c>
      <c r="F123" s="104">
        <v>4</v>
      </c>
      <c r="G123">
        <v>12</v>
      </c>
      <c r="H123">
        <v>11</v>
      </c>
      <c r="I123">
        <v>8</v>
      </c>
      <c r="J123">
        <v>7</v>
      </c>
      <c r="K123">
        <v>12</v>
      </c>
      <c r="L123">
        <f t="shared" si="6"/>
        <v>10</v>
      </c>
      <c r="M123" t="s">
        <v>72</v>
      </c>
      <c r="O123" s="123">
        <f t="shared" si="7"/>
        <v>500000</v>
      </c>
      <c r="P123" t="s">
        <v>32</v>
      </c>
      <c r="Q123" t="str">
        <f t="shared" si="8"/>
        <v>044</v>
      </c>
      <c r="R123" t="str">
        <f t="shared" si="9"/>
        <v>O</v>
      </c>
    </row>
    <row r="124" spans="1:18" x14ac:dyDescent="0.2">
      <c r="A124" s="6" t="s">
        <v>1790</v>
      </c>
      <c r="B124" s="40">
        <v>3</v>
      </c>
      <c r="C124" t="str">
        <f>A124&amp;"."&amp;B124</f>
        <v>044.O.c.3</v>
      </c>
      <c r="D124">
        <v>3.5000000000000003E-2</v>
      </c>
      <c r="E124">
        <v>1</v>
      </c>
      <c r="F124" s="104">
        <v>4</v>
      </c>
      <c r="G124" t="s">
        <v>57</v>
      </c>
      <c r="H124">
        <v>31</v>
      </c>
      <c r="I124">
        <v>27</v>
      </c>
      <c r="J124">
        <v>27</v>
      </c>
      <c r="K124">
        <v>35</v>
      </c>
      <c r="L124">
        <f t="shared" si="6"/>
        <v>30</v>
      </c>
      <c r="M124" t="s">
        <v>72</v>
      </c>
      <c r="N124" t="s">
        <v>1791</v>
      </c>
      <c r="O124" s="123">
        <f t="shared" si="7"/>
        <v>1500000</v>
      </c>
      <c r="P124" t="s">
        <v>32</v>
      </c>
      <c r="Q124" t="str">
        <f t="shared" si="8"/>
        <v>044</v>
      </c>
      <c r="R124" t="str">
        <f t="shared" si="9"/>
        <v>O</v>
      </c>
    </row>
    <row r="125" spans="1:18" x14ac:dyDescent="0.2">
      <c r="A125" s="6" t="s">
        <v>1790</v>
      </c>
      <c r="B125" s="40">
        <v>4</v>
      </c>
      <c r="C125" t="str">
        <f t="shared" si="5"/>
        <v>044.O.c.4</v>
      </c>
      <c r="D125">
        <v>4.8000000000000001E-2</v>
      </c>
      <c r="E125">
        <v>3</v>
      </c>
      <c r="F125" s="104" t="s">
        <v>57</v>
      </c>
      <c r="G125" t="s">
        <v>57</v>
      </c>
      <c r="H125" t="s">
        <v>57</v>
      </c>
      <c r="I125" t="s">
        <v>57</v>
      </c>
      <c r="J125" t="s">
        <v>57</v>
      </c>
      <c r="K125" t="s">
        <v>57</v>
      </c>
      <c r="L125" t="e">
        <f t="shared" si="6"/>
        <v>#DIV/0!</v>
      </c>
      <c r="N125" t="s">
        <v>1792</v>
      </c>
      <c r="O125" s="123" t="e">
        <f t="shared" si="7"/>
        <v>#DIV/0!</v>
      </c>
      <c r="P125" t="s">
        <v>32</v>
      </c>
      <c r="Q125" t="str">
        <f t="shared" si="8"/>
        <v>044</v>
      </c>
      <c r="R125" t="str">
        <f t="shared" si="9"/>
        <v>O</v>
      </c>
    </row>
    <row r="126" spans="1:18" x14ac:dyDescent="0.2">
      <c r="A126" s="6" t="s">
        <v>1790</v>
      </c>
      <c r="B126" s="40">
        <v>5</v>
      </c>
      <c r="C126" t="str">
        <f t="shared" si="5"/>
        <v>044.O.c.5</v>
      </c>
      <c r="D126">
        <v>6.4000000000000001E-2</v>
      </c>
      <c r="E126">
        <v>4</v>
      </c>
      <c r="L126" t="e">
        <f t="shared" si="6"/>
        <v>#DIV/0!</v>
      </c>
      <c r="N126" t="s">
        <v>1793</v>
      </c>
      <c r="O126" s="123" t="e">
        <f t="shared" si="7"/>
        <v>#DIV/0!</v>
      </c>
      <c r="P126" t="s">
        <v>32</v>
      </c>
      <c r="Q126" t="str">
        <f t="shared" si="8"/>
        <v>044</v>
      </c>
      <c r="R126" t="str">
        <f t="shared" si="9"/>
        <v>O</v>
      </c>
    </row>
    <row r="127" spans="1:18" x14ac:dyDescent="0.2">
      <c r="A127" s="6" t="s">
        <v>1790</v>
      </c>
      <c r="B127" s="40">
        <v>6</v>
      </c>
      <c r="C127" t="str">
        <f t="shared" si="5"/>
        <v>044.O.c.6</v>
      </c>
      <c r="D127">
        <v>0.26</v>
      </c>
      <c r="E127" t="s">
        <v>1740</v>
      </c>
      <c r="L127" t="e">
        <f t="shared" si="6"/>
        <v>#DIV/0!</v>
      </c>
      <c r="N127" t="s">
        <v>1794</v>
      </c>
      <c r="O127" s="123" t="e">
        <f t="shared" si="7"/>
        <v>#DIV/0!</v>
      </c>
      <c r="P127" t="s">
        <v>32</v>
      </c>
      <c r="Q127" t="str">
        <f t="shared" si="8"/>
        <v>044</v>
      </c>
      <c r="R127" t="str">
        <f t="shared" si="9"/>
        <v>O</v>
      </c>
    </row>
    <row r="128" spans="1:18" x14ac:dyDescent="0.2">
      <c r="A128" t="s">
        <v>1795</v>
      </c>
      <c r="B128" s="39">
        <v>1</v>
      </c>
      <c r="C128" t="str">
        <f t="shared" si="5"/>
        <v>044.S.a.1</v>
      </c>
      <c r="D128">
        <v>1.4E-2</v>
      </c>
      <c r="E128">
        <v>1</v>
      </c>
      <c r="F128" s="104">
        <v>6</v>
      </c>
      <c r="G128" t="s">
        <v>34</v>
      </c>
      <c r="H128">
        <v>1</v>
      </c>
      <c r="I128">
        <v>1</v>
      </c>
      <c r="J128">
        <v>1</v>
      </c>
      <c r="K128">
        <v>0</v>
      </c>
      <c r="L128">
        <f t="shared" si="6"/>
        <v>0.75</v>
      </c>
      <c r="M128" t="s">
        <v>72</v>
      </c>
      <c r="N128" t="s">
        <v>1796</v>
      </c>
      <c r="O128" s="123">
        <f t="shared" si="7"/>
        <v>3750000</v>
      </c>
      <c r="P128" t="s">
        <v>32</v>
      </c>
      <c r="Q128" t="str">
        <f t="shared" si="8"/>
        <v>044</v>
      </c>
      <c r="R128" t="str">
        <f t="shared" si="9"/>
        <v>S</v>
      </c>
    </row>
    <row r="129" spans="1:18" x14ac:dyDescent="0.2">
      <c r="A129" t="s">
        <v>1795</v>
      </c>
      <c r="B129" s="39">
        <v>2</v>
      </c>
      <c r="C129" t="str">
        <f t="shared" si="5"/>
        <v>044.S.a.2</v>
      </c>
      <c r="D129">
        <v>1.6E-2</v>
      </c>
      <c r="E129">
        <v>2</v>
      </c>
      <c r="F129" s="105">
        <v>3</v>
      </c>
      <c r="G129">
        <v>4</v>
      </c>
      <c r="H129">
        <v>6</v>
      </c>
      <c r="I129">
        <v>7</v>
      </c>
      <c r="J129">
        <v>8</v>
      </c>
      <c r="K129">
        <v>2</v>
      </c>
      <c r="L129">
        <f t="shared" si="6"/>
        <v>5.4</v>
      </c>
      <c r="M129" t="s">
        <v>72</v>
      </c>
      <c r="O129" s="123">
        <f t="shared" si="7"/>
        <v>27000</v>
      </c>
      <c r="P129" t="s">
        <v>32</v>
      </c>
      <c r="Q129" t="str">
        <f t="shared" si="8"/>
        <v>044</v>
      </c>
      <c r="R129" t="str">
        <f t="shared" si="9"/>
        <v>S</v>
      </c>
    </row>
    <row r="130" spans="1:18" x14ac:dyDescent="0.2">
      <c r="A130" s="6" t="s">
        <v>1795</v>
      </c>
      <c r="B130" s="40">
        <v>3</v>
      </c>
      <c r="C130" t="str">
        <f t="shared" ref="C130:C193" si="10">A130&amp;"."&amp;B130</f>
        <v>044.S.a.3</v>
      </c>
      <c r="D130">
        <v>0.02</v>
      </c>
      <c r="E130">
        <v>1</v>
      </c>
      <c r="F130" s="104">
        <v>4</v>
      </c>
      <c r="G130">
        <v>9</v>
      </c>
      <c r="H130">
        <v>10</v>
      </c>
      <c r="I130">
        <v>13</v>
      </c>
      <c r="J130">
        <v>8</v>
      </c>
      <c r="K130">
        <v>13</v>
      </c>
      <c r="L130">
        <f t="shared" si="6"/>
        <v>10.6</v>
      </c>
      <c r="N130" t="s">
        <v>1797</v>
      </c>
      <c r="O130" s="123">
        <f t="shared" si="7"/>
        <v>530000</v>
      </c>
      <c r="P130" t="s">
        <v>32</v>
      </c>
      <c r="Q130" t="str">
        <f t="shared" si="8"/>
        <v>044</v>
      </c>
      <c r="R130" t="str">
        <f t="shared" si="9"/>
        <v>S</v>
      </c>
    </row>
    <row r="131" spans="1:18" x14ac:dyDescent="0.2">
      <c r="A131" s="6" t="s">
        <v>1795</v>
      </c>
      <c r="B131" s="40">
        <v>4</v>
      </c>
      <c r="C131" t="str">
        <f t="shared" si="10"/>
        <v>044.S.a.4</v>
      </c>
      <c r="D131">
        <v>3.5000000000000003E-2</v>
      </c>
      <c r="E131">
        <v>1</v>
      </c>
      <c r="F131" s="104">
        <v>3</v>
      </c>
      <c r="G131">
        <v>13</v>
      </c>
      <c r="H131">
        <v>9</v>
      </c>
      <c r="I131">
        <v>10</v>
      </c>
      <c r="J131">
        <v>9</v>
      </c>
      <c r="K131" t="s">
        <v>57</v>
      </c>
      <c r="L131">
        <f t="shared" ref="L131:L194" si="11">AVERAGE(G131:K131)</f>
        <v>10.25</v>
      </c>
      <c r="N131" t="s">
        <v>1798</v>
      </c>
      <c r="O131" s="123">
        <f t="shared" ref="O131:O194" si="12">(L131/2)*10^(F131+1)</f>
        <v>51250</v>
      </c>
      <c r="P131" t="s">
        <v>32</v>
      </c>
      <c r="Q131" t="str">
        <f t="shared" ref="Q131:Q194" si="13">LEFT(A131,3)</f>
        <v>044</v>
      </c>
      <c r="R131" t="str">
        <f t="shared" ref="R131:R194" si="14">LEFT(RIGHT(A131,3),1)</f>
        <v>S</v>
      </c>
    </row>
    <row r="132" spans="1:18" x14ac:dyDescent="0.2">
      <c r="A132" s="6" t="s">
        <v>1795</v>
      </c>
      <c r="B132" s="40">
        <v>5</v>
      </c>
      <c r="C132" t="str">
        <f t="shared" si="10"/>
        <v>044.S.a.5</v>
      </c>
      <c r="D132">
        <v>8.3000000000000004E-2</v>
      </c>
      <c r="E132">
        <v>3</v>
      </c>
      <c r="F132" s="104" t="s">
        <v>57</v>
      </c>
      <c r="G132" t="s">
        <v>57</v>
      </c>
      <c r="H132" t="s">
        <v>57</v>
      </c>
      <c r="I132" t="s">
        <v>57</v>
      </c>
      <c r="J132" t="s">
        <v>57</v>
      </c>
      <c r="K132" t="s">
        <v>57</v>
      </c>
      <c r="L132" t="e">
        <f t="shared" si="11"/>
        <v>#DIV/0!</v>
      </c>
      <c r="N132" t="s">
        <v>1799</v>
      </c>
      <c r="O132" s="123" t="e">
        <f t="shared" si="12"/>
        <v>#DIV/0!</v>
      </c>
      <c r="P132" t="s">
        <v>32</v>
      </c>
      <c r="Q132" t="str">
        <f t="shared" si="13"/>
        <v>044</v>
      </c>
      <c r="R132" t="str">
        <f t="shared" si="14"/>
        <v>S</v>
      </c>
    </row>
    <row r="133" spans="1:18" x14ac:dyDescent="0.2">
      <c r="A133" s="6" t="s">
        <v>1795</v>
      </c>
      <c r="B133" s="40">
        <v>6</v>
      </c>
      <c r="C133" t="str">
        <f t="shared" si="10"/>
        <v>044.S.a.6</v>
      </c>
      <c r="D133">
        <v>6.7000000000000004E-2</v>
      </c>
      <c r="E133">
        <v>4</v>
      </c>
      <c r="F133" s="104">
        <v>4</v>
      </c>
      <c r="G133">
        <v>4</v>
      </c>
      <c r="H133">
        <v>6</v>
      </c>
      <c r="I133">
        <v>6</v>
      </c>
      <c r="J133">
        <v>3</v>
      </c>
      <c r="K133">
        <v>3</v>
      </c>
      <c r="L133">
        <f t="shared" si="11"/>
        <v>4.4000000000000004</v>
      </c>
      <c r="M133" t="s">
        <v>72</v>
      </c>
      <c r="O133" s="123">
        <f t="shared" si="12"/>
        <v>220000.00000000003</v>
      </c>
      <c r="P133" t="s">
        <v>32</v>
      </c>
      <c r="Q133" t="str">
        <f t="shared" si="13"/>
        <v>044</v>
      </c>
      <c r="R133" t="str">
        <f t="shared" si="14"/>
        <v>S</v>
      </c>
    </row>
    <row r="134" spans="1:18" x14ac:dyDescent="0.2">
      <c r="A134" t="s">
        <v>1800</v>
      </c>
      <c r="B134" s="39">
        <v>1</v>
      </c>
      <c r="C134" t="str">
        <f>A134&amp;"."&amp;B134</f>
        <v>044.S.b.1</v>
      </c>
      <c r="D134">
        <v>1.4E-2</v>
      </c>
      <c r="E134">
        <v>1</v>
      </c>
      <c r="F134" s="104" t="s">
        <v>57</v>
      </c>
      <c r="G134" t="s">
        <v>57</v>
      </c>
      <c r="H134" t="s">
        <v>57</v>
      </c>
      <c r="I134" t="s">
        <v>57</v>
      </c>
      <c r="J134" t="s">
        <v>57</v>
      </c>
      <c r="K134" t="s">
        <v>57</v>
      </c>
      <c r="L134" t="e">
        <f t="shared" si="11"/>
        <v>#DIV/0!</v>
      </c>
      <c r="N134" t="s">
        <v>1801</v>
      </c>
      <c r="O134" s="123" t="e">
        <f t="shared" si="12"/>
        <v>#DIV/0!</v>
      </c>
      <c r="P134" t="s">
        <v>32</v>
      </c>
      <c r="Q134" t="str">
        <f t="shared" si="13"/>
        <v>044</v>
      </c>
      <c r="R134" t="str">
        <f t="shared" si="14"/>
        <v>S</v>
      </c>
    </row>
    <row r="135" spans="1:18" x14ac:dyDescent="0.2">
      <c r="A135" t="s">
        <v>1800</v>
      </c>
      <c r="B135" s="39">
        <v>2</v>
      </c>
      <c r="C135" t="str">
        <f t="shared" si="10"/>
        <v>044.S.b.2</v>
      </c>
      <c r="D135">
        <v>3.4000000000000002E-2</v>
      </c>
      <c r="E135">
        <v>1</v>
      </c>
      <c r="F135" s="104">
        <v>4</v>
      </c>
      <c r="G135" t="s">
        <v>1802</v>
      </c>
      <c r="H135">
        <v>12</v>
      </c>
      <c r="I135">
        <v>11</v>
      </c>
      <c r="J135">
        <v>5</v>
      </c>
      <c r="K135">
        <v>9</v>
      </c>
      <c r="L135">
        <f t="shared" si="11"/>
        <v>9.25</v>
      </c>
      <c r="M135" t="s">
        <v>72</v>
      </c>
      <c r="N135" t="s">
        <v>1803</v>
      </c>
      <c r="O135" s="123">
        <f t="shared" si="12"/>
        <v>462500</v>
      </c>
      <c r="P135" t="s">
        <v>32</v>
      </c>
      <c r="Q135" t="str">
        <f t="shared" si="13"/>
        <v>044</v>
      </c>
      <c r="R135" t="str">
        <f t="shared" si="14"/>
        <v>S</v>
      </c>
    </row>
    <row r="136" spans="1:18" x14ac:dyDescent="0.2">
      <c r="A136" s="6" t="s">
        <v>1800</v>
      </c>
      <c r="B136" s="40">
        <v>3</v>
      </c>
      <c r="C136" t="str">
        <f t="shared" si="10"/>
        <v>044.S.b.3</v>
      </c>
      <c r="D136">
        <v>5.3999999999999999E-2</v>
      </c>
      <c r="E136">
        <v>4</v>
      </c>
      <c r="F136" s="104">
        <v>4</v>
      </c>
      <c r="G136">
        <v>18</v>
      </c>
      <c r="H136">
        <v>18</v>
      </c>
      <c r="I136">
        <v>24</v>
      </c>
      <c r="J136">
        <v>15</v>
      </c>
      <c r="K136">
        <v>20</v>
      </c>
      <c r="L136">
        <f t="shared" si="11"/>
        <v>19</v>
      </c>
      <c r="M136" t="s">
        <v>72</v>
      </c>
      <c r="O136" s="123">
        <f t="shared" si="12"/>
        <v>950000</v>
      </c>
      <c r="P136" t="s">
        <v>32</v>
      </c>
      <c r="Q136" t="str">
        <f t="shared" si="13"/>
        <v>044</v>
      </c>
      <c r="R136" t="str">
        <f t="shared" si="14"/>
        <v>S</v>
      </c>
    </row>
    <row r="137" spans="1:18" x14ac:dyDescent="0.2">
      <c r="A137" s="6" t="s">
        <v>1800</v>
      </c>
      <c r="B137" s="40">
        <v>4</v>
      </c>
      <c r="C137" t="str">
        <f t="shared" si="10"/>
        <v>044.S.b.4</v>
      </c>
      <c r="D137">
        <v>5.3999999999999999E-2</v>
      </c>
      <c r="E137">
        <v>2</v>
      </c>
      <c r="L137" t="e">
        <f t="shared" si="11"/>
        <v>#DIV/0!</v>
      </c>
      <c r="N137" t="s">
        <v>1804</v>
      </c>
      <c r="O137" s="123" t="e">
        <f t="shared" si="12"/>
        <v>#DIV/0!</v>
      </c>
      <c r="P137" t="s">
        <v>32</v>
      </c>
      <c r="Q137" t="str">
        <f t="shared" si="13"/>
        <v>044</v>
      </c>
      <c r="R137" t="str">
        <f t="shared" si="14"/>
        <v>S</v>
      </c>
    </row>
    <row r="138" spans="1:18" x14ac:dyDescent="0.2">
      <c r="A138" s="6" t="s">
        <v>1800</v>
      </c>
      <c r="B138" s="40">
        <v>5</v>
      </c>
      <c r="C138" t="str">
        <f t="shared" si="10"/>
        <v>044.S.b.5</v>
      </c>
      <c r="D138">
        <v>0.1</v>
      </c>
      <c r="E138">
        <v>4</v>
      </c>
      <c r="F138" s="104">
        <v>5</v>
      </c>
      <c r="G138">
        <v>12</v>
      </c>
      <c r="H138">
        <v>14</v>
      </c>
      <c r="I138">
        <v>16</v>
      </c>
      <c r="J138">
        <v>14</v>
      </c>
      <c r="K138">
        <v>16</v>
      </c>
      <c r="L138">
        <f t="shared" si="11"/>
        <v>14.4</v>
      </c>
      <c r="M138" t="s">
        <v>72</v>
      </c>
      <c r="O138" s="123">
        <f t="shared" si="12"/>
        <v>7200000</v>
      </c>
      <c r="P138" t="s">
        <v>32</v>
      </c>
      <c r="Q138" t="str">
        <f t="shared" si="13"/>
        <v>044</v>
      </c>
      <c r="R138" t="str">
        <f t="shared" si="14"/>
        <v>S</v>
      </c>
    </row>
    <row r="139" spans="1:18" x14ac:dyDescent="0.2">
      <c r="A139" s="6" t="s">
        <v>1800</v>
      </c>
      <c r="B139" s="40">
        <v>6</v>
      </c>
      <c r="C139" t="str">
        <f t="shared" si="10"/>
        <v>044.S.b.6</v>
      </c>
      <c r="D139">
        <v>6.8000000000000005E-2</v>
      </c>
      <c r="E139">
        <v>4</v>
      </c>
      <c r="F139" s="104">
        <v>6</v>
      </c>
      <c r="G139">
        <v>11</v>
      </c>
      <c r="H139">
        <v>10</v>
      </c>
      <c r="I139">
        <v>9</v>
      </c>
      <c r="J139">
        <v>4</v>
      </c>
      <c r="K139">
        <v>5</v>
      </c>
      <c r="L139">
        <f t="shared" si="11"/>
        <v>7.8</v>
      </c>
      <c r="M139" t="s">
        <v>72</v>
      </c>
      <c r="O139" s="123">
        <f t="shared" si="12"/>
        <v>39000000</v>
      </c>
      <c r="P139" t="s">
        <v>32</v>
      </c>
      <c r="Q139" t="str">
        <f t="shared" si="13"/>
        <v>044</v>
      </c>
      <c r="R139" t="str">
        <f t="shared" si="14"/>
        <v>S</v>
      </c>
    </row>
    <row r="140" spans="1:18" x14ac:dyDescent="0.2">
      <c r="A140" t="s">
        <v>1805</v>
      </c>
      <c r="B140" s="39">
        <v>1</v>
      </c>
      <c r="C140" t="str">
        <f t="shared" si="10"/>
        <v>044.S.c.1</v>
      </c>
      <c r="D140">
        <v>1.2999999999999999E-2</v>
      </c>
      <c r="E140">
        <v>1</v>
      </c>
      <c r="L140" t="e">
        <f t="shared" si="11"/>
        <v>#DIV/0!</v>
      </c>
      <c r="N140" t="s">
        <v>1806</v>
      </c>
      <c r="O140" s="123" t="e">
        <f t="shared" si="12"/>
        <v>#DIV/0!</v>
      </c>
      <c r="P140" t="s">
        <v>32</v>
      </c>
      <c r="Q140" t="str">
        <f t="shared" si="13"/>
        <v>044</v>
      </c>
      <c r="R140" t="str">
        <f t="shared" si="14"/>
        <v>S</v>
      </c>
    </row>
    <row r="141" spans="1:18" x14ac:dyDescent="0.2">
      <c r="A141" t="s">
        <v>1805</v>
      </c>
      <c r="B141" s="39">
        <v>2</v>
      </c>
      <c r="C141" t="str">
        <f t="shared" si="10"/>
        <v>044.S.c.2</v>
      </c>
      <c r="D141">
        <v>0.03</v>
      </c>
      <c r="E141">
        <v>2</v>
      </c>
      <c r="F141" s="104">
        <v>3</v>
      </c>
      <c r="G141">
        <v>4</v>
      </c>
      <c r="H141">
        <v>5</v>
      </c>
      <c r="I141">
        <v>2</v>
      </c>
      <c r="J141">
        <v>8</v>
      </c>
      <c r="K141">
        <v>9</v>
      </c>
      <c r="L141">
        <f t="shared" si="11"/>
        <v>5.6</v>
      </c>
      <c r="M141" t="s">
        <v>72</v>
      </c>
      <c r="O141" s="123">
        <f t="shared" si="12"/>
        <v>28000</v>
      </c>
      <c r="P141" t="s">
        <v>32</v>
      </c>
      <c r="Q141" t="str">
        <f t="shared" si="13"/>
        <v>044</v>
      </c>
      <c r="R141" t="str">
        <f t="shared" si="14"/>
        <v>S</v>
      </c>
    </row>
    <row r="142" spans="1:18" x14ac:dyDescent="0.2">
      <c r="A142" s="6" t="s">
        <v>1805</v>
      </c>
      <c r="B142" s="40">
        <v>3</v>
      </c>
      <c r="C142" t="str">
        <f t="shared" si="10"/>
        <v>044.S.c.3</v>
      </c>
      <c r="D142">
        <v>3.5999999999999997E-2</v>
      </c>
      <c r="E142">
        <v>2</v>
      </c>
      <c r="F142" s="104">
        <v>5</v>
      </c>
      <c r="G142">
        <v>11</v>
      </c>
      <c r="H142">
        <v>13</v>
      </c>
      <c r="I142">
        <v>16</v>
      </c>
      <c r="J142">
        <v>12</v>
      </c>
      <c r="K142">
        <v>11</v>
      </c>
      <c r="L142">
        <f t="shared" si="11"/>
        <v>12.6</v>
      </c>
      <c r="M142" t="s">
        <v>72</v>
      </c>
      <c r="N142" t="s">
        <v>1807</v>
      </c>
      <c r="O142" s="123">
        <f t="shared" si="12"/>
        <v>6300000</v>
      </c>
      <c r="P142" t="s">
        <v>32</v>
      </c>
      <c r="Q142" t="str">
        <f t="shared" si="13"/>
        <v>044</v>
      </c>
      <c r="R142" t="str">
        <f t="shared" si="14"/>
        <v>S</v>
      </c>
    </row>
    <row r="143" spans="1:18" x14ac:dyDescent="0.2">
      <c r="A143" s="6" t="s">
        <v>1805</v>
      </c>
      <c r="B143" s="40">
        <v>4</v>
      </c>
      <c r="C143" t="str">
        <f t="shared" si="10"/>
        <v>044.S.c.4</v>
      </c>
      <c r="D143">
        <v>4.7E-2</v>
      </c>
      <c r="E143">
        <v>2</v>
      </c>
      <c r="L143" t="e">
        <f t="shared" si="11"/>
        <v>#DIV/0!</v>
      </c>
      <c r="N143" t="s">
        <v>1808</v>
      </c>
      <c r="O143" s="123" t="e">
        <f t="shared" si="12"/>
        <v>#DIV/0!</v>
      </c>
      <c r="P143" t="s">
        <v>32</v>
      </c>
      <c r="Q143" t="str">
        <f t="shared" si="13"/>
        <v>044</v>
      </c>
      <c r="R143" t="str">
        <f t="shared" si="14"/>
        <v>S</v>
      </c>
    </row>
    <row r="144" spans="1:18" x14ac:dyDescent="0.2">
      <c r="A144" s="6" t="s">
        <v>1805</v>
      </c>
      <c r="B144" s="40">
        <v>5</v>
      </c>
      <c r="C144" t="str">
        <f t="shared" si="10"/>
        <v>044.S.c.5</v>
      </c>
      <c r="D144">
        <v>5.7000000000000002E-2</v>
      </c>
      <c r="E144">
        <v>2</v>
      </c>
      <c r="L144" t="e">
        <f t="shared" si="11"/>
        <v>#DIV/0!</v>
      </c>
      <c r="N144" t="s">
        <v>1809</v>
      </c>
      <c r="O144" s="123" t="e">
        <f t="shared" si="12"/>
        <v>#DIV/0!</v>
      </c>
      <c r="P144" t="s">
        <v>32</v>
      </c>
      <c r="Q144" t="str">
        <f t="shared" si="13"/>
        <v>044</v>
      </c>
      <c r="R144" t="str">
        <f t="shared" si="14"/>
        <v>S</v>
      </c>
    </row>
    <row r="145" spans="1:18" x14ac:dyDescent="0.2">
      <c r="A145" s="6" t="s">
        <v>1805</v>
      </c>
      <c r="B145" s="40">
        <v>6</v>
      </c>
      <c r="C145" s="6" t="str">
        <f t="shared" si="10"/>
        <v>044.S.c.6</v>
      </c>
      <c r="D145">
        <v>6.6000000000000003E-2</v>
      </c>
      <c r="E145">
        <v>2</v>
      </c>
      <c r="F145" s="104" t="s">
        <v>57</v>
      </c>
      <c r="G145" t="s">
        <v>57</v>
      </c>
      <c r="H145" t="s">
        <v>57</v>
      </c>
      <c r="I145" t="s">
        <v>57</v>
      </c>
      <c r="J145" t="s">
        <v>57</v>
      </c>
      <c r="K145" t="s">
        <v>57</v>
      </c>
      <c r="L145" t="e">
        <f t="shared" si="11"/>
        <v>#DIV/0!</v>
      </c>
      <c r="N145" t="s">
        <v>1810</v>
      </c>
      <c r="O145" s="123" t="e">
        <f t="shared" si="12"/>
        <v>#DIV/0!</v>
      </c>
      <c r="P145" t="s">
        <v>32</v>
      </c>
      <c r="Q145" t="str">
        <f t="shared" si="13"/>
        <v>044</v>
      </c>
      <c r="R145" t="str">
        <f t="shared" si="14"/>
        <v>S</v>
      </c>
    </row>
    <row r="146" spans="1:18" x14ac:dyDescent="0.2">
      <c r="A146" t="s">
        <v>1811</v>
      </c>
      <c r="B146" s="39">
        <v>1</v>
      </c>
      <c r="C146" t="str">
        <f t="shared" si="10"/>
        <v>044.V.a.1</v>
      </c>
      <c r="D146">
        <v>1.4E-2</v>
      </c>
      <c r="E146">
        <v>1</v>
      </c>
      <c r="L146" t="e">
        <f t="shared" si="11"/>
        <v>#DIV/0!</v>
      </c>
      <c r="N146" t="s">
        <v>1806</v>
      </c>
      <c r="O146" s="123" t="e">
        <f t="shared" si="12"/>
        <v>#DIV/0!</v>
      </c>
      <c r="P146" t="s">
        <v>32</v>
      </c>
      <c r="Q146" t="str">
        <f t="shared" si="13"/>
        <v>044</v>
      </c>
      <c r="R146" t="str">
        <f t="shared" si="14"/>
        <v>V</v>
      </c>
    </row>
    <row r="147" spans="1:18" x14ac:dyDescent="0.2">
      <c r="A147" t="s">
        <v>1811</v>
      </c>
      <c r="B147" s="39">
        <v>2</v>
      </c>
      <c r="C147" t="str">
        <f t="shared" si="10"/>
        <v>044.V.a.2</v>
      </c>
      <c r="D147">
        <v>2.4E-2</v>
      </c>
      <c r="E147">
        <v>1</v>
      </c>
      <c r="F147" s="104">
        <v>5</v>
      </c>
      <c r="G147">
        <v>7</v>
      </c>
      <c r="H147">
        <v>12</v>
      </c>
      <c r="I147">
        <v>11</v>
      </c>
      <c r="J147">
        <v>8</v>
      </c>
      <c r="K147">
        <v>6</v>
      </c>
      <c r="L147">
        <f t="shared" si="11"/>
        <v>8.8000000000000007</v>
      </c>
      <c r="M147" t="s">
        <v>72</v>
      </c>
      <c r="N147" t="s">
        <v>1812</v>
      </c>
      <c r="O147" s="123">
        <f t="shared" si="12"/>
        <v>4400000</v>
      </c>
      <c r="P147" t="s">
        <v>32</v>
      </c>
      <c r="Q147" t="str">
        <f t="shared" si="13"/>
        <v>044</v>
      </c>
      <c r="R147" t="str">
        <f t="shared" si="14"/>
        <v>V</v>
      </c>
    </row>
    <row r="148" spans="1:18" x14ac:dyDescent="0.2">
      <c r="A148" s="6" t="s">
        <v>1811</v>
      </c>
      <c r="B148" s="40">
        <v>3</v>
      </c>
      <c r="C148" t="str">
        <f>A148&amp;"."&amp;B148</f>
        <v>044.V.a.3</v>
      </c>
      <c r="D148">
        <v>4.8000000000000001E-2</v>
      </c>
      <c r="E148">
        <v>1</v>
      </c>
      <c r="F148" s="104">
        <v>5</v>
      </c>
      <c r="G148">
        <v>3</v>
      </c>
      <c r="H148">
        <v>8</v>
      </c>
      <c r="I148">
        <v>11</v>
      </c>
      <c r="J148">
        <v>10</v>
      </c>
      <c r="K148">
        <v>5</v>
      </c>
      <c r="L148">
        <f t="shared" si="11"/>
        <v>7.4</v>
      </c>
      <c r="M148" t="s">
        <v>72</v>
      </c>
      <c r="N148" t="s">
        <v>1813</v>
      </c>
      <c r="O148" s="123">
        <f t="shared" si="12"/>
        <v>3700000</v>
      </c>
      <c r="P148" t="s">
        <v>32</v>
      </c>
      <c r="Q148" t="str">
        <f t="shared" si="13"/>
        <v>044</v>
      </c>
      <c r="R148" t="str">
        <f t="shared" si="14"/>
        <v>V</v>
      </c>
    </row>
    <row r="149" spans="1:18" x14ac:dyDescent="0.2">
      <c r="A149" s="6" t="s">
        <v>1811</v>
      </c>
      <c r="B149" s="40">
        <v>4</v>
      </c>
      <c r="C149" t="str">
        <f t="shared" si="10"/>
        <v>044.V.a.4</v>
      </c>
      <c r="D149">
        <v>4.9000000000000002E-2</v>
      </c>
      <c r="E149">
        <v>2</v>
      </c>
      <c r="F149" s="104">
        <v>5</v>
      </c>
      <c r="G149">
        <v>4</v>
      </c>
      <c r="H149">
        <v>3</v>
      </c>
      <c r="I149">
        <v>4</v>
      </c>
      <c r="J149">
        <v>6</v>
      </c>
      <c r="K149">
        <v>4</v>
      </c>
      <c r="L149">
        <f t="shared" si="11"/>
        <v>4.2</v>
      </c>
      <c r="M149" t="s">
        <v>72</v>
      </c>
      <c r="O149" s="123">
        <f t="shared" si="12"/>
        <v>2100000</v>
      </c>
      <c r="P149" t="s">
        <v>32</v>
      </c>
      <c r="Q149" t="str">
        <f t="shared" si="13"/>
        <v>044</v>
      </c>
      <c r="R149" t="str">
        <f t="shared" si="14"/>
        <v>V</v>
      </c>
    </row>
    <row r="150" spans="1:18" x14ac:dyDescent="0.2">
      <c r="A150" s="6" t="s">
        <v>1811</v>
      </c>
      <c r="B150" s="40">
        <v>5</v>
      </c>
      <c r="C150" t="str">
        <f t="shared" si="10"/>
        <v>044.V.a.5</v>
      </c>
      <c r="D150">
        <v>9.6000000000000002E-2</v>
      </c>
      <c r="E150">
        <v>5</v>
      </c>
      <c r="F150" s="104">
        <v>5</v>
      </c>
      <c r="G150">
        <v>0</v>
      </c>
      <c r="H150">
        <v>3</v>
      </c>
      <c r="I150">
        <v>2</v>
      </c>
      <c r="J150">
        <v>1</v>
      </c>
      <c r="K150">
        <v>3</v>
      </c>
      <c r="L150">
        <f t="shared" si="11"/>
        <v>1.8</v>
      </c>
      <c r="M150" t="s">
        <v>72</v>
      </c>
      <c r="O150" s="123">
        <f t="shared" si="12"/>
        <v>900000</v>
      </c>
      <c r="P150" t="s">
        <v>32</v>
      </c>
      <c r="Q150" t="str">
        <f t="shared" si="13"/>
        <v>044</v>
      </c>
      <c r="R150" t="str">
        <f t="shared" si="14"/>
        <v>V</v>
      </c>
    </row>
    <row r="151" spans="1:18" x14ac:dyDescent="0.2">
      <c r="A151" s="6" t="s">
        <v>1811</v>
      </c>
      <c r="B151" s="40">
        <v>6</v>
      </c>
      <c r="C151" t="str">
        <f t="shared" si="10"/>
        <v>044.V.a.6</v>
      </c>
      <c r="D151">
        <v>0.16300000000000001</v>
      </c>
      <c r="E151" t="s">
        <v>1740</v>
      </c>
      <c r="F151" s="104">
        <v>6</v>
      </c>
      <c r="G151">
        <v>1</v>
      </c>
      <c r="H151">
        <v>4</v>
      </c>
      <c r="I151">
        <v>3</v>
      </c>
      <c r="J151" t="s">
        <v>45</v>
      </c>
      <c r="K151" t="s">
        <v>45</v>
      </c>
      <c r="L151">
        <f t="shared" si="11"/>
        <v>2.6666666666666665</v>
      </c>
      <c r="M151" t="s">
        <v>72</v>
      </c>
      <c r="O151" s="123">
        <f t="shared" si="12"/>
        <v>13333333.333333332</v>
      </c>
      <c r="P151" t="s">
        <v>32</v>
      </c>
      <c r="Q151" t="str">
        <f t="shared" si="13"/>
        <v>044</v>
      </c>
      <c r="R151" t="str">
        <f t="shared" si="14"/>
        <v>V</v>
      </c>
    </row>
    <row r="152" spans="1:18" x14ac:dyDescent="0.2">
      <c r="A152" t="s">
        <v>1814</v>
      </c>
      <c r="B152" s="39">
        <v>1</v>
      </c>
      <c r="C152" t="str">
        <f t="shared" si="10"/>
        <v>044.V.b.1</v>
      </c>
      <c r="D152">
        <v>1.4999999999999999E-2</v>
      </c>
      <c r="E152">
        <v>1</v>
      </c>
      <c r="F152" s="104">
        <v>2</v>
      </c>
      <c r="G152">
        <v>26</v>
      </c>
      <c r="H152">
        <v>17</v>
      </c>
      <c r="I152">
        <v>14</v>
      </c>
      <c r="J152">
        <v>18</v>
      </c>
      <c r="K152">
        <v>15</v>
      </c>
      <c r="L152">
        <f t="shared" si="11"/>
        <v>18</v>
      </c>
      <c r="M152" t="s">
        <v>72</v>
      </c>
      <c r="N152" t="s">
        <v>1815</v>
      </c>
      <c r="O152" s="123">
        <f t="shared" si="12"/>
        <v>9000</v>
      </c>
      <c r="P152" t="s">
        <v>32</v>
      </c>
      <c r="Q152" t="str">
        <f t="shared" si="13"/>
        <v>044</v>
      </c>
      <c r="R152" t="str">
        <f t="shared" si="14"/>
        <v>V</v>
      </c>
    </row>
    <row r="153" spans="1:18" x14ac:dyDescent="0.2">
      <c r="A153" t="s">
        <v>1814</v>
      </c>
      <c r="B153" s="39">
        <v>2</v>
      </c>
      <c r="C153" t="str">
        <f t="shared" si="10"/>
        <v>044.V.b.2</v>
      </c>
      <c r="D153">
        <v>1.6E-2</v>
      </c>
      <c r="E153">
        <v>2</v>
      </c>
      <c r="F153" s="104">
        <v>2</v>
      </c>
      <c r="G153">
        <v>4</v>
      </c>
      <c r="H153">
        <v>12</v>
      </c>
      <c r="I153">
        <v>15</v>
      </c>
      <c r="J153">
        <v>17</v>
      </c>
      <c r="K153">
        <v>9</v>
      </c>
      <c r="L153">
        <f t="shared" si="11"/>
        <v>11.4</v>
      </c>
      <c r="M153" t="s">
        <v>72</v>
      </c>
      <c r="N153" t="s">
        <v>1816</v>
      </c>
      <c r="O153" s="123">
        <f t="shared" si="12"/>
        <v>5700</v>
      </c>
      <c r="P153" t="s">
        <v>32</v>
      </c>
      <c r="Q153" t="str">
        <f t="shared" si="13"/>
        <v>044</v>
      </c>
      <c r="R153" t="str">
        <f t="shared" si="14"/>
        <v>V</v>
      </c>
    </row>
    <row r="154" spans="1:18" x14ac:dyDescent="0.2">
      <c r="A154" s="6" t="s">
        <v>1814</v>
      </c>
      <c r="B154" s="40">
        <v>3</v>
      </c>
      <c r="C154" t="str">
        <f t="shared" si="10"/>
        <v>044.V.b.3</v>
      </c>
      <c r="D154">
        <v>3.3000000000000002E-2</v>
      </c>
      <c r="E154">
        <v>1</v>
      </c>
      <c r="F154" s="104" t="s">
        <v>57</v>
      </c>
      <c r="G154" t="s">
        <v>57</v>
      </c>
      <c r="H154" t="s">
        <v>57</v>
      </c>
      <c r="I154" t="s">
        <v>57</v>
      </c>
      <c r="J154" t="s">
        <v>57</v>
      </c>
      <c r="K154" t="s">
        <v>57</v>
      </c>
      <c r="L154" t="e">
        <f t="shared" si="11"/>
        <v>#DIV/0!</v>
      </c>
      <c r="N154" t="s">
        <v>1817</v>
      </c>
      <c r="O154" s="123" t="e">
        <f t="shared" si="12"/>
        <v>#DIV/0!</v>
      </c>
      <c r="P154" t="s">
        <v>32</v>
      </c>
      <c r="Q154" t="str">
        <f t="shared" si="13"/>
        <v>044</v>
      </c>
      <c r="R154" t="str">
        <f t="shared" si="14"/>
        <v>V</v>
      </c>
    </row>
    <row r="155" spans="1:18" x14ac:dyDescent="0.2">
      <c r="A155" s="6" t="s">
        <v>1814</v>
      </c>
      <c r="B155" s="40">
        <v>4</v>
      </c>
      <c r="C155" t="str">
        <f t="shared" si="10"/>
        <v>044.V.b.4</v>
      </c>
      <c r="D155">
        <v>26</v>
      </c>
      <c r="E155">
        <v>2</v>
      </c>
      <c r="F155" s="104">
        <v>4</v>
      </c>
      <c r="G155">
        <v>0</v>
      </c>
      <c r="H155">
        <v>0</v>
      </c>
      <c r="I155">
        <v>0</v>
      </c>
      <c r="J155">
        <v>1</v>
      </c>
      <c r="K155">
        <v>1</v>
      </c>
      <c r="L155">
        <f t="shared" si="11"/>
        <v>0.4</v>
      </c>
      <c r="N155" t="s">
        <v>1818</v>
      </c>
      <c r="O155" s="123">
        <f t="shared" si="12"/>
        <v>20000</v>
      </c>
      <c r="P155" t="s">
        <v>32</v>
      </c>
      <c r="Q155" t="str">
        <f t="shared" si="13"/>
        <v>044</v>
      </c>
      <c r="R155" t="str">
        <f t="shared" si="14"/>
        <v>V</v>
      </c>
    </row>
    <row r="156" spans="1:18" x14ac:dyDescent="0.2">
      <c r="A156" s="6" t="s">
        <v>1814</v>
      </c>
      <c r="B156" s="40">
        <v>5</v>
      </c>
      <c r="C156" s="6" t="str">
        <f t="shared" si="10"/>
        <v>044.V.b.5</v>
      </c>
      <c r="D156" s="6">
        <v>7.9000000000000001E-2</v>
      </c>
      <c r="E156" s="6">
        <v>4</v>
      </c>
      <c r="F156" s="104">
        <v>4</v>
      </c>
      <c r="G156">
        <v>4</v>
      </c>
      <c r="H156">
        <v>6</v>
      </c>
      <c r="I156">
        <v>7</v>
      </c>
      <c r="J156">
        <v>1</v>
      </c>
      <c r="K156">
        <v>1</v>
      </c>
      <c r="L156">
        <f t="shared" si="11"/>
        <v>3.8</v>
      </c>
      <c r="N156" t="s">
        <v>1819</v>
      </c>
      <c r="O156" s="123">
        <f t="shared" si="12"/>
        <v>190000</v>
      </c>
      <c r="P156" t="s">
        <v>32</v>
      </c>
      <c r="Q156" t="str">
        <f t="shared" si="13"/>
        <v>044</v>
      </c>
      <c r="R156" t="str">
        <f t="shared" si="14"/>
        <v>V</v>
      </c>
    </row>
    <row r="157" spans="1:18" x14ac:dyDescent="0.2">
      <c r="A157" s="6" t="s">
        <v>1814</v>
      </c>
      <c r="B157" s="40">
        <v>6</v>
      </c>
      <c r="C157" s="43" t="str">
        <f t="shared" si="10"/>
        <v>044.V.b.6</v>
      </c>
      <c r="D157">
        <v>0.2</v>
      </c>
      <c r="E157" t="s">
        <v>1740</v>
      </c>
      <c r="L157" t="e">
        <f t="shared" si="11"/>
        <v>#DIV/0!</v>
      </c>
      <c r="N157" t="s">
        <v>1820</v>
      </c>
      <c r="O157" s="123" t="e">
        <f t="shared" si="12"/>
        <v>#DIV/0!</v>
      </c>
      <c r="P157" t="s">
        <v>32</v>
      </c>
      <c r="Q157" t="str">
        <f t="shared" si="13"/>
        <v>044</v>
      </c>
      <c r="R157" t="str">
        <f t="shared" si="14"/>
        <v>V</v>
      </c>
    </row>
    <row r="158" spans="1:18" x14ac:dyDescent="0.2">
      <c r="A158" t="s">
        <v>1821</v>
      </c>
      <c r="B158" s="39">
        <v>1</v>
      </c>
      <c r="C158" t="str">
        <f t="shared" si="10"/>
        <v>044.V.c.1</v>
      </c>
      <c r="D158">
        <v>1.0999999999999999E-2</v>
      </c>
      <c r="E158">
        <v>2</v>
      </c>
      <c r="F158" s="104">
        <v>2</v>
      </c>
      <c r="G158">
        <v>8</v>
      </c>
      <c r="H158">
        <v>9</v>
      </c>
      <c r="I158">
        <v>15</v>
      </c>
      <c r="J158">
        <v>15</v>
      </c>
      <c r="K158">
        <v>15</v>
      </c>
      <c r="L158">
        <f t="shared" si="11"/>
        <v>12.4</v>
      </c>
      <c r="N158" t="s">
        <v>1822</v>
      </c>
      <c r="O158" s="123">
        <f t="shared" si="12"/>
        <v>6200</v>
      </c>
      <c r="P158" t="s">
        <v>32</v>
      </c>
      <c r="Q158" t="str">
        <f t="shared" si="13"/>
        <v>044</v>
      </c>
      <c r="R158" t="str">
        <f t="shared" si="14"/>
        <v>V</v>
      </c>
    </row>
    <row r="159" spans="1:18" x14ac:dyDescent="0.2">
      <c r="A159" t="s">
        <v>1821</v>
      </c>
      <c r="B159" s="39">
        <v>2</v>
      </c>
      <c r="C159" t="str">
        <f t="shared" si="10"/>
        <v>044.V.c.2</v>
      </c>
      <c r="D159">
        <v>1.7999999999999999E-2</v>
      </c>
      <c r="E159">
        <v>1</v>
      </c>
      <c r="F159" s="104" t="s">
        <v>57</v>
      </c>
      <c r="G159" t="s">
        <v>57</v>
      </c>
      <c r="H159" t="s">
        <v>57</v>
      </c>
      <c r="I159" t="s">
        <v>57</v>
      </c>
      <c r="J159" t="s">
        <v>57</v>
      </c>
      <c r="K159" t="s">
        <v>57</v>
      </c>
      <c r="L159" t="e">
        <f t="shared" si="11"/>
        <v>#DIV/0!</v>
      </c>
      <c r="N159" t="s">
        <v>1823</v>
      </c>
      <c r="O159" s="123" t="e">
        <f t="shared" si="12"/>
        <v>#DIV/0!</v>
      </c>
      <c r="P159" t="s">
        <v>32</v>
      </c>
      <c r="Q159" t="str">
        <f t="shared" si="13"/>
        <v>044</v>
      </c>
      <c r="R159" t="str">
        <f t="shared" si="14"/>
        <v>V</v>
      </c>
    </row>
    <row r="160" spans="1:18" x14ac:dyDescent="0.2">
      <c r="A160" s="6" t="s">
        <v>1821</v>
      </c>
      <c r="B160" s="40">
        <v>3</v>
      </c>
      <c r="C160" t="str">
        <f t="shared" si="10"/>
        <v>044.V.c.3</v>
      </c>
      <c r="D160">
        <v>2.7E-2</v>
      </c>
      <c r="E160">
        <v>1</v>
      </c>
      <c r="F160" s="104">
        <v>4</v>
      </c>
      <c r="G160">
        <v>6</v>
      </c>
      <c r="H160">
        <v>6</v>
      </c>
      <c r="I160">
        <v>6</v>
      </c>
      <c r="J160">
        <v>6</v>
      </c>
      <c r="K160">
        <v>6</v>
      </c>
      <c r="L160">
        <f t="shared" si="11"/>
        <v>6</v>
      </c>
      <c r="M160" t="s">
        <v>72</v>
      </c>
      <c r="O160" s="123">
        <f t="shared" si="12"/>
        <v>300000</v>
      </c>
      <c r="P160" t="s">
        <v>32</v>
      </c>
      <c r="Q160" t="str">
        <f t="shared" si="13"/>
        <v>044</v>
      </c>
      <c r="R160" t="str">
        <f t="shared" si="14"/>
        <v>V</v>
      </c>
    </row>
    <row r="161" spans="1:18" x14ac:dyDescent="0.2">
      <c r="A161" s="6" t="s">
        <v>1821</v>
      </c>
      <c r="B161" s="40">
        <v>4</v>
      </c>
      <c r="C161" t="str">
        <f t="shared" si="10"/>
        <v>044.V.c.4</v>
      </c>
      <c r="D161">
        <v>3.7999999999999999E-2</v>
      </c>
      <c r="E161">
        <v>2</v>
      </c>
      <c r="F161" s="104">
        <v>4</v>
      </c>
      <c r="G161">
        <v>50</v>
      </c>
      <c r="H161">
        <v>35</v>
      </c>
      <c r="I161" s="6">
        <v>54</v>
      </c>
      <c r="J161">
        <v>39</v>
      </c>
      <c r="K161">
        <v>30</v>
      </c>
      <c r="L161">
        <f t="shared" si="11"/>
        <v>41.6</v>
      </c>
      <c r="N161" t="s">
        <v>1824</v>
      </c>
      <c r="O161" s="123">
        <f t="shared" si="12"/>
        <v>2080000</v>
      </c>
      <c r="P161" t="s">
        <v>32</v>
      </c>
      <c r="Q161" t="str">
        <f t="shared" si="13"/>
        <v>044</v>
      </c>
      <c r="R161" t="str">
        <f t="shared" si="14"/>
        <v>V</v>
      </c>
    </row>
    <row r="162" spans="1:18" x14ac:dyDescent="0.2">
      <c r="A162" s="6" t="s">
        <v>1821</v>
      </c>
      <c r="B162" s="40">
        <v>5</v>
      </c>
      <c r="C162" t="str">
        <f t="shared" si="10"/>
        <v>044.V.c.5</v>
      </c>
      <c r="D162">
        <v>5.1999999999999998E-2</v>
      </c>
      <c r="E162">
        <v>3</v>
      </c>
      <c r="F162" s="104" t="s">
        <v>57</v>
      </c>
      <c r="G162" t="s">
        <v>57</v>
      </c>
      <c r="H162" t="s">
        <v>57</v>
      </c>
      <c r="I162" t="s">
        <v>57</v>
      </c>
      <c r="J162" t="s">
        <v>57</v>
      </c>
      <c r="K162" t="s">
        <v>57</v>
      </c>
      <c r="L162" t="e">
        <f t="shared" si="11"/>
        <v>#DIV/0!</v>
      </c>
      <c r="N162" t="s">
        <v>1825</v>
      </c>
      <c r="O162" s="123" t="e">
        <f t="shared" si="12"/>
        <v>#DIV/0!</v>
      </c>
      <c r="P162" t="s">
        <v>32</v>
      </c>
      <c r="Q162" t="str">
        <f t="shared" si="13"/>
        <v>044</v>
      </c>
      <c r="R162" t="str">
        <f t="shared" si="14"/>
        <v>V</v>
      </c>
    </row>
    <row r="163" spans="1:18" x14ac:dyDescent="0.2">
      <c r="A163" s="6" t="s">
        <v>1821</v>
      </c>
      <c r="B163" s="40">
        <v>6</v>
      </c>
      <c r="C163" t="str">
        <f t="shared" si="10"/>
        <v>044.V.c.6</v>
      </c>
      <c r="D163">
        <v>7.4999999999999997E-2</v>
      </c>
      <c r="E163" t="s">
        <v>1740</v>
      </c>
      <c r="F163" s="104" t="s">
        <v>57</v>
      </c>
      <c r="G163" t="s">
        <v>57</v>
      </c>
      <c r="H163" t="s">
        <v>57</v>
      </c>
      <c r="I163" t="s">
        <v>57</v>
      </c>
      <c r="J163" t="s">
        <v>57</v>
      </c>
      <c r="K163" t="s">
        <v>57</v>
      </c>
      <c r="L163" t="e">
        <f t="shared" si="11"/>
        <v>#DIV/0!</v>
      </c>
      <c r="N163" t="s">
        <v>1826</v>
      </c>
      <c r="O163" s="123" t="e">
        <f t="shared" si="12"/>
        <v>#DIV/0!</v>
      </c>
      <c r="P163" t="s">
        <v>32</v>
      </c>
      <c r="Q163" t="str">
        <f t="shared" si="13"/>
        <v>044</v>
      </c>
      <c r="R163" t="str">
        <f t="shared" si="14"/>
        <v>V</v>
      </c>
    </row>
    <row r="164" spans="1:18" x14ac:dyDescent="0.2">
      <c r="A164" t="s">
        <v>1827</v>
      </c>
      <c r="B164" s="39">
        <v>1</v>
      </c>
      <c r="C164" t="str">
        <f t="shared" si="10"/>
        <v>059.O.a.1</v>
      </c>
      <c r="D164">
        <v>1.2E-2</v>
      </c>
      <c r="E164">
        <v>1</v>
      </c>
      <c r="F164" s="104">
        <v>3</v>
      </c>
      <c r="G164">
        <v>6</v>
      </c>
      <c r="H164">
        <v>3</v>
      </c>
      <c r="I164">
        <v>1</v>
      </c>
      <c r="J164">
        <v>2</v>
      </c>
      <c r="K164">
        <v>0</v>
      </c>
      <c r="L164">
        <f t="shared" si="11"/>
        <v>2.4</v>
      </c>
      <c r="M164" t="s">
        <v>72</v>
      </c>
      <c r="O164" s="123">
        <f t="shared" si="12"/>
        <v>12000</v>
      </c>
      <c r="P164" t="s">
        <v>32</v>
      </c>
      <c r="Q164" t="str">
        <f t="shared" si="13"/>
        <v>059</v>
      </c>
      <c r="R164" t="str">
        <f t="shared" si="14"/>
        <v>O</v>
      </c>
    </row>
    <row r="165" spans="1:18" x14ac:dyDescent="0.2">
      <c r="A165" t="s">
        <v>1827</v>
      </c>
      <c r="B165" s="39">
        <v>2</v>
      </c>
      <c r="C165" t="str">
        <f t="shared" si="10"/>
        <v>059.O.a.2</v>
      </c>
      <c r="D165">
        <v>2.4E-2</v>
      </c>
      <c r="E165">
        <v>3</v>
      </c>
      <c r="F165" s="104">
        <v>4</v>
      </c>
      <c r="G165">
        <v>7</v>
      </c>
      <c r="H165">
        <v>4</v>
      </c>
      <c r="I165">
        <v>8</v>
      </c>
      <c r="J165">
        <v>5</v>
      </c>
      <c r="K165">
        <v>3</v>
      </c>
      <c r="L165">
        <f t="shared" si="11"/>
        <v>5.4</v>
      </c>
      <c r="M165" t="s">
        <v>72</v>
      </c>
      <c r="O165" s="123">
        <f t="shared" si="12"/>
        <v>270000</v>
      </c>
      <c r="P165" t="s">
        <v>32</v>
      </c>
      <c r="Q165" t="str">
        <f t="shared" si="13"/>
        <v>059</v>
      </c>
      <c r="R165" t="str">
        <f t="shared" si="14"/>
        <v>O</v>
      </c>
    </row>
    <row r="166" spans="1:18" x14ac:dyDescent="0.2">
      <c r="A166" s="6" t="s">
        <v>1827</v>
      </c>
      <c r="B166" s="40">
        <v>3</v>
      </c>
      <c r="C166" t="str">
        <f t="shared" si="10"/>
        <v>059.O.a.3</v>
      </c>
      <c r="D166">
        <v>2.3E-2</v>
      </c>
      <c r="E166">
        <v>1</v>
      </c>
      <c r="F166" s="104">
        <v>3</v>
      </c>
      <c r="G166">
        <v>9</v>
      </c>
      <c r="H166">
        <v>4</v>
      </c>
      <c r="I166">
        <v>6</v>
      </c>
      <c r="J166">
        <v>6</v>
      </c>
      <c r="K166">
        <v>4</v>
      </c>
      <c r="L166">
        <f t="shared" si="11"/>
        <v>5.8</v>
      </c>
      <c r="M166" t="s">
        <v>72</v>
      </c>
      <c r="O166" s="123">
        <f t="shared" si="12"/>
        <v>29000</v>
      </c>
      <c r="P166" t="s">
        <v>32</v>
      </c>
      <c r="Q166" t="str">
        <f t="shared" si="13"/>
        <v>059</v>
      </c>
      <c r="R166" t="str">
        <f t="shared" si="14"/>
        <v>O</v>
      </c>
    </row>
    <row r="167" spans="1:18" x14ac:dyDescent="0.2">
      <c r="A167" s="6" t="s">
        <v>1827</v>
      </c>
      <c r="B167" s="40">
        <v>4</v>
      </c>
      <c r="C167" t="str">
        <f t="shared" si="10"/>
        <v>059.O.a.4</v>
      </c>
      <c r="D167">
        <v>3.7999999999999999E-2</v>
      </c>
      <c r="E167">
        <v>2</v>
      </c>
      <c r="F167" s="104">
        <v>4</v>
      </c>
      <c r="G167" t="s">
        <v>57</v>
      </c>
      <c r="H167" t="s">
        <v>57</v>
      </c>
      <c r="I167" t="s">
        <v>57</v>
      </c>
      <c r="J167" t="s">
        <v>57</v>
      </c>
      <c r="K167" t="s">
        <v>57</v>
      </c>
      <c r="L167" t="e">
        <f t="shared" si="11"/>
        <v>#DIV/0!</v>
      </c>
      <c r="N167" t="s">
        <v>1828</v>
      </c>
      <c r="O167" s="123" t="e">
        <f t="shared" si="12"/>
        <v>#DIV/0!</v>
      </c>
      <c r="P167" t="s">
        <v>32</v>
      </c>
      <c r="Q167" t="str">
        <f t="shared" si="13"/>
        <v>059</v>
      </c>
      <c r="R167" t="str">
        <f t="shared" si="14"/>
        <v>O</v>
      </c>
    </row>
    <row r="168" spans="1:18" x14ac:dyDescent="0.2">
      <c r="A168" s="6" t="s">
        <v>1827</v>
      </c>
      <c r="B168" s="40">
        <v>5</v>
      </c>
      <c r="C168" t="str">
        <f t="shared" si="10"/>
        <v>059.O.a.5</v>
      </c>
      <c r="D168">
        <v>3.5999999999999997E-2</v>
      </c>
      <c r="E168">
        <v>1</v>
      </c>
      <c r="L168" t="e">
        <f t="shared" si="11"/>
        <v>#DIV/0!</v>
      </c>
      <c r="N168" t="s">
        <v>1829</v>
      </c>
      <c r="O168" s="123" t="e">
        <f t="shared" si="12"/>
        <v>#DIV/0!</v>
      </c>
      <c r="P168" t="s">
        <v>32</v>
      </c>
      <c r="Q168" t="str">
        <f t="shared" si="13"/>
        <v>059</v>
      </c>
      <c r="R168" t="str">
        <f t="shared" si="14"/>
        <v>O</v>
      </c>
    </row>
    <row r="169" spans="1:18" x14ac:dyDescent="0.2">
      <c r="A169" s="6" t="s">
        <v>1827</v>
      </c>
      <c r="B169" s="40">
        <v>6</v>
      </c>
      <c r="C169" t="str">
        <f t="shared" si="10"/>
        <v>059.O.a.6</v>
      </c>
      <c r="D169">
        <v>0.05</v>
      </c>
      <c r="E169">
        <v>2</v>
      </c>
      <c r="L169" t="e">
        <f t="shared" si="11"/>
        <v>#DIV/0!</v>
      </c>
      <c r="N169" t="s">
        <v>1830</v>
      </c>
      <c r="O169" s="123" t="e">
        <f t="shared" si="12"/>
        <v>#DIV/0!</v>
      </c>
      <c r="P169" t="s">
        <v>32</v>
      </c>
      <c r="Q169" t="str">
        <f t="shared" si="13"/>
        <v>059</v>
      </c>
      <c r="R169" t="str">
        <f t="shared" si="14"/>
        <v>O</v>
      </c>
    </row>
    <row r="170" spans="1:18" x14ac:dyDescent="0.2">
      <c r="A170" t="s">
        <v>1831</v>
      </c>
      <c r="B170" s="39">
        <v>1</v>
      </c>
      <c r="C170" t="str">
        <f t="shared" si="10"/>
        <v>059.O.b.1</v>
      </c>
      <c r="D170">
        <v>2.5999999999999999E-2</v>
      </c>
      <c r="E170">
        <v>2</v>
      </c>
      <c r="F170" s="104">
        <v>3</v>
      </c>
      <c r="G170">
        <v>8</v>
      </c>
      <c r="H170">
        <v>9</v>
      </c>
      <c r="I170">
        <v>9</v>
      </c>
      <c r="J170">
        <v>6</v>
      </c>
      <c r="K170">
        <v>8</v>
      </c>
      <c r="L170">
        <f t="shared" si="11"/>
        <v>8</v>
      </c>
      <c r="M170" t="s">
        <v>72</v>
      </c>
      <c r="O170" s="123">
        <f t="shared" si="12"/>
        <v>40000</v>
      </c>
      <c r="P170" t="s">
        <v>32</v>
      </c>
      <c r="Q170" t="str">
        <f t="shared" si="13"/>
        <v>059</v>
      </c>
      <c r="R170" t="str">
        <f t="shared" si="14"/>
        <v>O</v>
      </c>
    </row>
    <row r="171" spans="1:18" x14ac:dyDescent="0.2">
      <c r="A171" t="s">
        <v>1831</v>
      </c>
      <c r="B171" s="39">
        <v>2</v>
      </c>
      <c r="C171" t="str">
        <f t="shared" si="10"/>
        <v>059.O.b.2</v>
      </c>
      <c r="D171">
        <v>3.5999999999999997E-2</v>
      </c>
      <c r="E171">
        <v>3</v>
      </c>
      <c r="F171" s="104">
        <v>5</v>
      </c>
      <c r="G171">
        <v>35</v>
      </c>
      <c r="H171">
        <v>31</v>
      </c>
      <c r="I171">
        <v>29</v>
      </c>
      <c r="J171">
        <v>29</v>
      </c>
      <c r="K171">
        <v>33</v>
      </c>
      <c r="L171">
        <f t="shared" si="11"/>
        <v>31.4</v>
      </c>
      <c r="M171" t="s">
        <v>72</v>
      </c>
      <c r="N171" t="s">
        <v>1832</v>
      </c>
      <c r="O171" s="123">
        <f t="shared" si="12"/>
        <v>15700000</v>
      </c>
      <c r="P171" t="s">
        <v>32</v>
      </c>
      <c r="Q171" t="str">
        <f t="shared" si="13"/>
        <v>059</v>
      </c>
      <c r="R171" t="str">
        <f t="shared" si="14"/>
        <v>O</v>
      </c>
    </row>
    <row r="172" spans="1:18" x14ac:dyDescent="0.2">
      <c r="A172" s="6" t="s">
        <v>1831</v>
      </c>
      <c r="B172" s="40">
        <v>3</v>
      </c>
      <c r="C172" t="str">
        <f t="shared" si="10"/>
        <v>059.O.b.3</v>
      </c>
      <c r="D172">
        <v>9.1999999999999998E-2</v>
      </c>
      <c r="E172" t="s">
        <v>1833</v>
      </c>
      <c r="L172" t="e">
        <f t="shared" si="11"/>
        <v>#DIV/0!</v>
      </c>
      <c r="N172" t="s">
        <v>1834</v>
      </c>
      <c r="O172" s="123" t="e">
        <f t="shared" si="12"/>
        <v>#DIV/0!</v>
      </c>
      <c r="P172" t="s">
        <v>32</v>
      </c>
      <c r="Q172" t="str">
        <f t="shared" si="13"/>
        <v>059</v>
      </c>
      <c r="R172" t="str">
        <f t="shared" si="14"/>
        <v>O</v>
      </c>
    </row>
    <row r="173" spans="1:18" x14ac:dyDescent="0.2">
      <c r="A173" s="6" t="s">
        <v>1831</v>
      </c>
      <c r="B173" s="40">
        <v>4</v>
      </c>
      <c r="C173" t="str">
        <f>A173&amp;"."&amp;B173</f>
        <v>059.O.b.4</v>
      </c>
      <c r="D173">
        <v>0.104</v>
      </c>
      <c r="E173" t="s">
        <v>1833</v>
      </c>
      <c r="F173" s="104">
        <v>5</v>
      </c>
      <c r="G173" t="s">
        <v>57</v>
      </c>
      <c r="H173" t="s">
        <v>57</v>
      </c>
      <c r="I173" t="s">
        <v>57</v>
      </c>
      <c r="J173" t="s">
        <v>57</v>
      </c>
      <c r="K173" t="s">
        <v>57</v>
      </c>
      <c r="L173" t="e">
        <f t="shared" si="11"/>
        <v>#DIV/0!</v>
      </c>
      <c r="N173" t="s">
        <v>1835</v>
      </c>
      <c r="O173" s="123" t="e">
        <f t="shared" si="12"/>
        <v>#DIV/0!</v>
      </c>
      <c r="P173" t="s">
        <v>32</v>
      </c>
      <c r="Q173" t="str">
        <f t="shared" si="13"/>
        <v>059</v>
      </c>
      <c r="R173" t="str">
        <f t="shared" si="14"/>
        <v>O</v>
      </c>
    </row>
    <row r="174" spans="1:18" x14ac:dyDescent="0.2">
      <c r="A174" s="6" t="s">
        <v>1831</v>
      </c>
      <c r="B174" s="40">
        <v>5</v>
      </c>
      <c r="C174" t="str">
        <f t="shared" si="10"/>
        <v>059.O.b.5</v>
      </c>
      <c r="D174">
        <v>0.222</v>
      </c>
      <c r="E174" t="s">
        <v>1740</v>
      </c>
      <c r="F174" s="104" t="s">
        <v>57</v>
      </c>
      <c r="G174" t="s">
        <v>57</v>
      </c>
      <c r="H174" t="s">
        <v>57</v>
      </c>
      <c r="I174" t="s">
        <v>57</v>
      </c>
      <c r="J174" t="s">
        <v>57</v>
      </c>
      <c r="K174" t="s">
        <v>57</v>
      </c>
      <c r="L174" t="e">
        <f t="shared" si="11"/>
        <v>#DIV/0!</v>
      </c>
      <c r="N174" t="s">
        <v>1836</v>
      </c>
      <c r="O174" s="123" t="e">
        <f t="shared" si="12"/>
        <v>#DIV/0!</v>
      </c>
      <c r="P174" t="s">
        <v>32</v>
      </c>
      <c r="Q174" t="str">
        <f t="shared" si="13"/>
        <v>059</v>
      </c>
      <c r="R174" t="str">
        <f t="shared" si="14"/>
        <v>O</v>
      </c>
    </row>
    <row r="175" spans="1:18" x14ac:dyDescent="0.2">
      <c r="A175" s="6" t="s">
        <v>1831</v>
      </c>
      <c r="B175" s="40">
        <v>6</v>
      </c>
      <c r="C175" t="str">
        <f t="shared" si="10"/>
        <v>059.O.b.6</v>
      </c>
      <c r="D175">
        <v>0.186</v>
      </c>
      <c r="E175" t="s">
        <v>1740</v>
      </c>
      <c r="F175" s="104">
        <v>5</v>
      </c>
      <c r="G175" t="s">
        <v>57</v>
      </c>
      <c r="H175" t="s">
        <v>57</v>
      </c>
      <c r="I175" t="s">
        <v>57</v>
      </c>
      <c r="J175" t="s">
        <v>57</v>
      </c>
      <c r="K175" t="s">
        <v>57</v>
      </c>
      <c r="L175" t="e">
        <f t="shared" si="11"/>
        <v>#DIV/0!</v>
      </c>
      <c r="N175" t="s">
        <v>1837</v>
      </c>
      <c r="O175" s="123" t="e">
        <f t="shared" si="12"/>
        <v>#DIV/0!</v>
      </c>
      <c r="P175" t="s">
        <v>32</v>
      </c>
      <c r="Q175" t="str">
        <f t="shared" si="13"/>
        <v>059</v>
      </c>
      <c r="R175" t="str">
        <f t="shared" si="14"/>
        <v>O</v>
      </c>
    </row>
    <row r="176" spans="1:18" x14ac:dyDescent="0.2">
      <c r="A176" t="s">
        <v>1838</v>
      </c>
      <c r="B176" s="39">
        <v>1</v>
      </c>
      <c r="C176" t="str">
        <f>A176&amp;"."&amp;B176</f>
        <v>059.O.c.1</v>
      </c>
      <c r="D176">
        <v>8.9999999999999993E-3</v>
      </c>
      <c r="E176">
        <v>1</v>
      </c>
      <c r="F176" s="104">
        <v>2</v>
      </c>
      <c r="G176">
        <v>10</v>
      </c>
      <c r="H176">
        <v>6</v>
      </c>
      <c r="I176">
        <v>6</v>
      </c>
      <c r="J176">
        <v>15</v>
      </c>
      <c r="K176">
        <v>11</v>
      </c>
      <c r="L176">
        <f t="shared" si="11"/>
        <v>9.6</v>
      </c>
      <c r="M176" t="s">
        <v>72</v>
      </c>
      <c r="N176" t="s">
        <v>1839</v>
      </c>
      <c r="O176" s="123">
        <f t="shared" si="12"/>
        <v>4800</v>
      </c>
      <c r="P176" t="s">
        <v>32</v>
      </c>
      <c r="Q176" t="str">
        <f t="shared" si="13"/>
        <v>059</v>
      </c>
      <c r="R176" t="str">
        <f t="shared" si="14"/>
        <v>O</v>
      </c>
    </row>
    <row r="177" spans="1:18" x14ac:dyDescent="0.2">
      <c r="A177" t="s">
        <v>1838</v>
      </c>
      <c r="B177" s="39">
        <v>2</v>
      </c>
      <c r="C177" s="43" t="str">
        <f t="shared" si="10"/>
        <v>059.O.c.2</v>
      </c>
      <c r="D177">
        <v>7.0000000000000001E-3</v>
      </c>
      <c r="E177">
        <v>1</v>
      </c>
      <c r="F177" s="104">
        <v>2</v>
      </c>
      <c r="G177" t="s">
        <v>57</v>
      </c>
      <c r="H177" t="s">
        <v>57</v>
      </c>
      <c r="I177" t="s">
        <v>57</v>
      </c>
      <c r="J177" t="s">
        <v>57</v>
      </c>
      <c r="K177" t="s">
        <v>1840</v>
      </c>
      <c r="L177" t="e">
        <f t="shared" si="11"/>
        <v>#DIV/0!</v>
      </c>
      <c r="N177" t="s">
        <v>1841</v>
      </c>
      <c r="O177" s="123" t="e">
        <f t="shared" si="12"/>
        <v>#DIV/0!</v>
      </c>
      <c r="P177" t="s">
        <v>32</v>
      </c>
      <c r="Q177" t="str">
        <f t="shared" si="13"/>
        <v>059</v>
      </c>
      <c r="R177" t="str">
        <f t="shared" si="14"/>
        <v>O</v>
      </c>
    </row>
    <row r="178" spans="1:18" x14ac:dyDescent="0.2">
      <c r="A178" s="6" t="s">
        <v>1838</v>
      </c>
      <c r="B178" s="40">
        <v>3</v>
      </c>
      <c r="C178" t="str">
        <f t="shared" si="10"/>
        <v>059.O.c.3</v>
      </c>
      <c r="D178">
        <v>4.4999999999999998E-2</v>
      </c>
      <c r="E178">
        <v>2</v>
      </c>
      <c r="L178" t="e">
        <f t="shared" si="11"/>
        <v>#DIV/0!</v>
      </c>
      <c r="N178" t="s">
        <v>1842</v>
      </c>
      <c r="O178" s="123" t="e">
        <f t="shared" si="12"/>
        <v>#DIV/0!</v>
      </c>
      <c r="P178" t="s">
        <v>32</v>
      </c>
      <c r="Q178" t="str">
        <f t="shared" si="13"/>
        <v>059</v>
      </c>
      <c r="R178" t="str">
        <f t="shared" si="14"/>
        <v>O</v>
      </c>
    </row>
    <row r="179" spans="1:18" x14ac:dyDescent="0.2">
      <c r="A179" s="6" t="s">
        <v>1838</v>
      </c>
      <c r="B179" s="40">
        <v>4</v>
      </c>
      <c r="C179" t="str">
        <f>A179&amp;"."&amp;B179</f>
        <v>059.O.c.4</v>
      </c>
      <c r="D179">
        <v>0.04</v>
      </c>
      <c r="E179">
        <v>2</v>
      </c>
      <c r="F179" s="104">
        <v>5</v>
      </c>
      <c r="G179">
        <v>5</v>
      </c>
      <c r="H179">
        <v>1</v>
      </c>
      <c r="I179">
        <v>2</v>
      </c>
      <c r="J179">
        <v>4</v>
      </c>
      <c r="K179">
        <v>3</v>
      </c>
      <c r="L179">
        <f t="shared" si="11"/>
        <v>3</v>
      </c>
      <c r="M179" t="s">
        <v>72</v>
      </c>
      <c r="O179" s="123">
        <f t="shared" si="12"/>
        <v>1500000</v>
      </c>
      <c r="P179" t="s">
        <v>32</v>
      </c>
      <c r="Q179" t="str">
        <f t="shared" si="13"/>
        <v>059</v>
      </c>
      <c r="R179" t="str">
        <f t="shared" si="14"/>
        <v>O</v>
      </c>
    </row>
    <row r="180" spans="1:18" x14ac:dyDescent="0.2">
      <c r="A180" s="6" t="s">
        <v>1838</v>
      </c>
      <c r="B180" s="40">
        <v>5</v>
      </c>
      <c r="C180" t="str">
        <f t="shared" si="10"/>
        <v>059.O.c.5</v>
      </c>
      <c r="D180">
        <v>0.04</v>
      </c>
      <c r="E180">
        <v>2</v>
      </c>
      <c r="L180" t="e">
        <f t="shared" si="11"/>
        <v>#DIV/0!</v>
      </c>
      <c r="N180" t="s">
        <v>1829</v>
      </c>
      <c r="O180" s="123" t="e">
        <f t="shared" si="12"/>
        <v>#DIV/0!</v>
      </c>
      <c r="P180" t="s">
        <v>32</v>
      </c>
      <c r="Q180" t="str">
        <f t="shared" si="13"/>
        <v>059</v>
      </c>
      <c r="R180" t="str">
        <f t="shared" si="14"/>
        <v>O</v>
      </c>
    </row>
    <row r="181" spans="1:18" x14ac:dyDescent="0.2">
      <c r="A181" s="6" t="s">
        <v>1838</v>
      </c>
      <c r="B181" s="40">
        <v>6</v>
      </c>
      <c r="C181" t="str">
        <f t="shared" si="10"/>
        <v>059.O.c.6</v>
      </c>
      <c r="D181">
        <v>0.108</v>
      </c>
      <c r="E181" t="s">
        <v>1740</v>
      </c>
      <c r="L181" t="e">
        <f t="shared" si="11"/>
        <v>#DIV/0!</v>
      </c>
      <c r="N181" t="s">
        <v>1843</v>
      </c>
      <c r="O181" s="123" t="e">
        <f t="shared" si="12"/>
        <v>#DIV/0!</v>
      </c>
      <c r="P181" t="s">
        <v>32</v>
      </c>
      <c r="Q181" t="str">
        <f t="shared" si="13"/>
        <v>059</v>
      </c>
      <c r="R181" t="str">
        <f t="shared" si="14"/>
        <v>O</v>
      </c>
    </row>
    <row r="182" spans="1:18" x14ac:dyDescent="0.2">
      <c r="A182" t="s">
        <v>1844</v>
      </c>
      <c r="B182" s="39">
        <v>1</v>
      </c>
      <c r="C182" t="str">
        <f t="shared" si="10"/>
        <v>059.S.a.1</v>
      </c>
      <c r="D182">
        <v>2.1999999999999999E-2</v>
      </c>
      <c r="E182">
        <v>1</v>
      </c>
      <c r="L182" t="e">
        <f t="shared" si="11"/>
        <v>#DIV/0!</v>
      </c>
      <c r="N182" t="s">
        <v>1845</v>
      </c>
      <c r="O182" s="123" t="e">
        <f t="shared" si="12"/>
        <v>#DIV/0!</v>
      </c>
      <c r="P182" t="s">
        <v>32</v>
      </c>
      <c r="Q182" t="str">
        <f t="shared" si="13"/>
        <v>059</v>
      </c>
      <c r="R182" t="str">
        <f t="shared" si="14"/>
        <v>S</v>
      </c>
    </row>
    <row r="183" spans="1:18" x14ac:dyDescent="0.2">
      <c r="A183" t="s">
        <v>1844</v>
      </c>
      <c r="B183" s="39">
        <v>2</v>
      </c>
      <c r="C183" t="str">
        <f t="shared" si="10"/>
        <v>059.S.a.2</v>
      </c>
      <c r="D183">
        <v>2.1999999999999999E-2</v>
      </c>
      <c r="E183">
        <v>4</v>
      </c>
      <c r="L183" t="e">
        <f t="shared" si="11"/>
        <v>#DIV/0!</v>
      </c>
      <c r="N183" t="s">
        <v>1846</v>
      </c>
      <c r="O183" s="123" t="e">
        <f t="shared" si="12"/>
        <v>#DIV/0!</v>
      </c>
      <c r="P183" t="s">
        <v>32</v>
      </c>
      <c r="Q183" t="str">
        <f t="shared" si="13"/>
        <v>059</v>
      </c>
      <c r="R183" t="str">
        <f t="shared" si="14"/>
        <v>S</v>
      </c>
    </row>
    <row r="184" spans="1:18" x14ac:dyDescent="0.2">
      <c r="A184" s="6" t="s">
        <v>1844</v>
      </c>
      <c r="B184" s="40">
        <v>3</v>
      </c>
      <c r="C184" t="str">
        <f t="shared" si="10"/>
        <v>059.S.a.3</v>
      </c>
      <c r="D184">
        <v>2.3E-2</v>
      </c>
      <c r="E184">
        <v>2</v>
      </c>
      <c r="F184" s="104" t="s">
        <v>57</v>
      </c>
      <c r="G184" t="s">
        <v>57</v>
      </c>
      <c r="H184" t="s">
        <v>57</v>
      </c>
      <c r="I184" t="s">
        <v>57</v>
      </c>
      <c r="J184" t="s">
        <v>57</v>
      </c>
      <c r="K184" t="s">
        <v>57</v>
      </c>
      <c r="L184" t="e">
        <f t="shared" si="11"/>
        <v>#DIV/0!</v>
      </c>
      <c r="N184" t="s">
        <v>1847</v>
      </c>
      <c r="O184" s="123" t="e">
        <f t="shared" si="12"/>
        <v>#DIV/0!</v>
      </c>
      <c r="P184" t="s">
        <v>32</v>
      </c>
      <c r="Q184" t="str">
        <f t="shared" si="13"/>
        <v>059</v>
      </c>
      <c r="R184" t="str">
        <f t="shared" si="14"/>
        <v>S</v>
      </c>
    </row>
    <row r="185" spans="1:18" x14ac:dyDescent="0.2">
      <c r="A185" s="6" t="s">
        <v>1844</v>
      </c>
      <c r="B185" s="40">
        <v>4</v>
      </c>
      <c r="C185" t="str">
        <f t="shared" si="10"/>
        <v>059.S.a.4</v>
      </c>
      <c r="D185">
        <v>6.9000000000000006E-2</v>
      </c>
      <c r="E185">
        <v>4</v>
      </c>
      <c r="F185" s="104">
        <v>6</v>
      </c>
      <c r="G185">
        <v>9</v>
      </c>
      <c r="H185">
        <v>15</v>
      </c>
      <c r="I185">
        <v>15</v>
      </c>
      <c r="J185">
        <v>12</v>
      </c>
      <c r="K185">
        <v>16</v>
      </c>
      <c r="L185">
        <f t="shared" si="11"/>
        <v>13.4</v>
      </c>
      <c r="M185" t="s">
        <v>72</v>
      </c>
      <c r="O185" s="123">
        <f t="shared" si="12"/>
        <v>67000000</v>
      </c>
      <c r="P185" t="s">
        <v>32</v>
      </c>
      <c r="Q185" t="str">
        <f t="shared" si="13"/>
        <v>059</v>
      </c>
      <c r="R185" t="str">
        <f t="shared" si="14"/>
        <v>S</v>
      </c>
    </row>
    <row r="186" spans="1:18" x14ac:dyDescent="0.2">
      <c r="A186" s="6" t="s">
        <v>1844</v>
      </c>
      <c r="B186" s="40">
        <v>5</v>
      </c>
      <c r="C186" t="str">
        <f t="shared" si="10"/>
        <v>059.S.a.5</v>
      </c>
      <c r="D186">
        <v>0.09</v>
      </c>
      <c r="L186" t="e">
        <f t="shared" si="11"/>
        <v>#DIV/0!</v>
      </c>
      <c r="O186" s="123" t="e">
        <f t="shared" si="12"/>
        <v>#DIV/0!</v>
      </c>
      <c r="P186" t="s">
        <v>32</v>
      </c>
      <c r="Q186" t="str">
        <f t="shared" si="13"/>
        <v>059</v>
      </c>
      <c r="R186" t="str">
        <f t="shared" si="14"/>
        <v>S</v>
      </c>
    </row>
    <row r="187" spans="1:18" x14ac:dyDescent="0.2">
      <c r="A187" s="6" t="s">
        <v>1844</v>
      </c>
      <c r="B187" s="40">
        <v>6</v>
      </c>
      <c r="C187" t="str">
        <f t="shared" si="10"/>
        <v>059.S.a.6</v>
      </c>
      <c r="D187">
        <v>8.1000000000000003E-2</v>
      </c>
      <c r="L187" t="e">
        <f t="shared" si="11"/>
        <v>#DIV/0!</v>
      </c>
      <c r="O187" s="123" t="e">
        <f t="shared" si="12"/>
        <v>#DIV/0!</v>
      </c>
      <c r="P187" t="s">
        <v>32</v>
      </c>
      <c r="Q187" t="str">
        <f t="shared" si="13"/>
        <v>059</v>
      </c>
      <c r="R187" t="str">
        <f t="shared" si="14"/>
        <v>S</v>
      </c>
    </row>
    <row r="188" spans="1:18" x14ac:dyDescent="0.2">
      <c r="A188" t="s">
        <v>1848</v>
      </c>
      <c r="B188" s="39">
        <v>1</v>
      </c>
      <c r="C188" t="str">
        <f t="shared" si="10"/>
        <v>059.S.b.1</v>
      </c>
      <c r="D188">
        <v>2.8000000000000001E-2</v>
      </c>
      <c r="E188">
        <v>1</v>
      </c>
      <c r="F188" s="104">
        <v>3</v>
      </c>
      <c r="G188">
        <v>8</v>
      </c>
      <c r="H188">
        <v>10</v>
      </c>
      <c r="I188">
        <v>7</v>
      </c>
      <c r="J188">
        <v>13</v>
      </c>
      <c r="K188">
        <v>7</v>
      </c>
      <c r="L188">
        <f t="shared" si="11"/>
        <v>9</v>
      </c>
      <c r="M188" t="s">
        <v>72</v>
      </c>
      <c r="O188" s="123">
        <f t="shared" si="12"/>
        <v>45000</v>
      </c>
      <c r="P188" t="s">
        <v>32</v>
      </c>
      <c r="Q188" t="str">
        <f t="shared" si="13"/>
        <v>059</v>
      </c>
      <c r="R188" t="str">
        <f t="shared" si="14"/>
        <v>S</v>
      </c>
    </row>
    <row r="189" spans="1:18" x14ac:dyDescent="0.2">
      <c r="A189" t="s">
        <v>1848</v>
      </c>
      <c r="B189" s="39">
        <v>2</v>
      </c>
      <c r="C189" t="str">
        <f t="shared" si="10"/>
        <v>059.S.b.2</v>
      </c>
      <c r="D189">
        <v>2.7E-2</v>
      </c>
      <c r="E189">
        <v>1</v>
      </c>
      <c r="F189" s="104">
        <v>2</v>
      </c>
      <c r="G189" t="s">
        <v>57</v>
      </c>
      <c r="H189" t="s">
        <v>57</v>
      </c>
      <c r="I189" t="s">
        <v>57</v>
      </c>
      <c r="J189" t="s">
        <v>57</v>
      </c>
      <c r="K189" t="s">
        <v>57</v>
      </c>
      <c r="L189" t="e">
        <f t="shared" si="11"/>
        <v>#DIV/0!</v>
      </c>
      <c r="N189" t="s">
        <v>1849</v>
      </c>
      <c r="O189" s="123" t="e">
        <f t="shared" si="12"/>
        <v>#DIV/0!</v>
      </c>
      <c r="P189" t="s">
        <v>32</v>
      </c>
      <c r="Q189" t="str">
        <f t="shared" si="13"/>
        <v>059</v>
      </c>
      <c r="R189" t="str">
        <f t="shared" si="14"/>
        <v>S</v>
      </c>
    </row>
    <row r="190" spans="1:18" x14ac:dyDescent="0.2">
      <c r="A190" s="6" t="s">
        <v>1848</v>
      </c>
      <c r="B190" s="40">
        <v>3</v>
      </c>
      <c r="C190" t="str">
        <f t="shared" si="10"/>
        <v>059.S.b.3</v>
      </c>
      <c r="D190">
        <v>3.4000000000000002E-2</v>
      </c>
      <c r="E190">
        <v>1</v>
      </c>
      <c r="F190" s="104">
        <v>4</v>
      </c>
      <c r="G190">
        <v>30</v>
      </c>
      <c r="H190">
        <v>32</v>
      </c>
      <c r="I190">
        <v>38</v>
      </c>
      <c r="J190">
        <v>22</v>
      </c>
      <c r="K190">
        <v>22</v>
      </c>
      <c r="L190">
        <f t="shared" si="11"/>
        <v>28.8</v>
      </c>
      <c r="M190" t="s">
        <v>72</v>
      </c>
      <c r="O190" s="123">
        <f t="shared" si="12"/>
        <v>1440000</v>
      </c>
      <c r="P190" t="s">
        <v>32</v>
      </c>
      <c r="Q190" t="str">
        <f t="shared" si="13"/>
        <v>059</v>
      </c>
      <c r="R190" t="str">
        <f t="shared" si="14"/>
        <v>S</v>
      </c>
    </row>
    <row r="191" spans="1:18" x14ac:dyDescent="0.2">
      <c r="A191" s="6" t="s">
        <v>1848</v>
      </c>
      <c r="B191" s="40">
        <v>4</v>
      </c>
      <c r="C191" t="str">
        <f t="shared" si="10"/>
        <v>059.S.b.4</v>
      </c>
      <c r="D191">
        <v>0.06</v>
      </c>
      <c r="E191">
        <v>2</v>
      </c>
      <c r="F191" s="104">
        <v>4</v>
      </c>
      <c r="G191" t="s">
        <v>57</v>
      </c>
      <c r="H191" t="s">
        <v>57</v>
      </c>
      <c r="I191" t="s">
        <v>57</v>
      </c>
      <c r="J191" t="s">
        <v>57</v>
      </c>
      <c r="K191" t="s">
        <v>57</v>
      </c>
      <c r="L191" t="e">
        <f t="shared" si="11"/>
        <v>#DIV/0!</v>
      </c>
      <c r="N191" t="s">
        <v>1850</v>
      </c>
      <c r="O191" s="123" t="e">
        <f t="shared" si="12"/>
        <v>#DIV/0!</v>
      </c>
      <c r="P191" t="s">
        <v>32</v>
      </c>
      <c r="Q191" t="str">
        <f t="shared" si="13"/>
        <v>059</v>
      </c>
      <c r="R191" t="str">
        <f t="shared" si="14"/>
        <v>S</v>
      </c>
    </row>
    <row r="192" spans="1:18" x14ac:dyDescent="0.2">
      <c r="A192" s="6" t="s">
        <v>1848</v>
      </c>
      <c r="B192" s="40">
        <v>5</v>
      </c>
      <c r="C192" t="str">
        <f t="shared" si="10"/>
        <v>059.S.b.5</v>
      </c>
      <c r="D192">
        <v>7.5999999999999998E-2</v>
      </c>
      <c r="E192">
        <v>2</v>
      </c>
      <c r="L192" t="e">
        <f t="shared" si="11"/>
        <v>#DIV/0!</v>
      </c>
      <c r="N192" t="s">
        <v>1851</v>
      </c>
      <c r="O192" s="123" t="e">
        <f t="shared" si="12"/>
        <v>#DIV/0!</v>
      </c>
      <c r="P192" t="s">
        <v>32</v>
      </c>
      <c r="Q192" t="str">
        <f t="shared" si="13"/>
        <v>059</v>
      </c>
      <c r="R192" t="str">
        <f t="shared" si="14"/>
        <v>S</v>
      </c>
    </row>
    <row r="193" spans="1:18" x14ac:dyDescent="0.2">
      <c r="A193" s="6" t="s">
        <v>1848</v>
      </c>
      <c r="B193" s="40">
        <v>6</v>
      </c>
      <c r="C193" s="6" t="str">
        <f t="shared" si="10"/>
        <v>059.S.b.6</v>
      </c>
      <c r="D193" s="6">
        <v>0.111</v>
      </c>
      <c r="E193" s="6" t="s">
        <v>1740</v>
      </c>
      <c r="F193" s="104">
        <v>6</v>
      </c>
      <c r="G193" t="s">
        <v>57</v>
      </c>
      <c r="H193" t="s">
        <v>57</v>
      </c>
      <c r="I193" t="s">
        <v>57</v>
      </c>
      <c r="J193" t="s">
        <v>57</v>
      </c>
      <c r="K193" t="s">
        <v>57</v>
      </c>
      <c r="L193" t="e">
        <f t="shared" si="11"/>
        <v>#DIV/0!</v>
      </c>
      <c r="N193" t="s">
        <v>1852</v>
      </c>
      <c r="O193" s="123" t="e">
        <f t="shared" si="12"/>
        <v>#DIV/0!</v>
      </c>
      <c r="P193" t="s">
        <v>32</v>
      </c>
      <c r="Q193" t="str">
        <f t="shared" si="13"/>
        <v>059</v>
      </c>
      <c r="R193" t="str">
        <f t="shared" si="14"/>
        <v>S</v>
      </c>
    </row>
    <row r="194" spans="1:18" x14ac:dyDescent="0.2">
      <c r="A194" t="s">
        <v>1853</v>
      </c>
      <c r="B194" s="39">
        <v>1</v>
      </c>
      <c r="C194" t="str">
        <f t="shared" ref="C194:C257" si="15">A194&amp;"."&amp;B194</f>
        <v>059.S.c.1</v>
      </c>
      <c r="E194">
        <v>1</v>
      </c>
      <c r="F194" s="104">
        <v>4</v>
      </c>
      <c r="G194">
        <v>26</v>
      </c>
      <c r="H194">
        <v>19</v>
      </c>
      <c r="I194">
        <v>29</v>
      </c>
      <c r="J194">
        <v>24</v>
      </c>
      <c r="K194">
        <v>34</v>
      </c>
      <c r="L194">
        <f t="shared" si="11"/>
        <v>26.4</v>
      </c>
      <c r="M194" t="s">
        <v>72</v>
      </c>
      <c r="O194" s="123">
        <f t="shared" si="12"/>
        <v>1320000</v>
      </c>
      <c r="P194" t="s">
        <v>32</v>
      </c>
      <c r="Q194" t="str">
        <f t="shared" si="13"/>
        <v>059</v>
      </c>
      <c r="R194" t="str">
        <f t="shared" si="14"/>
        <v>S</v>
      </c>
    </row>
    <row r="195" spans="1:18" x14ac:dyDescent="0.2">
      <c r="A195" t="s">
        <v>1853</v>
      </c>
      <c r="B195" s="39">
        <v>2</v>
      </c>
      <c r="C195" t="str">
        <f t="shared" si="15"/>
        <v>059.S.c.2</v>
      </c>
      <c r="E195">
        <v>1</v>
      </c>
      <c r="L195" t="e">
        <f t="shared" ref="L195:L258" si="16">AVERAGE(G195:K195)</f>
        <v>#DIV/0!</v>
      </c>
      <c r="N195" t="s">
        <v>1854</v>
      </c>
      <c r="O195" s="123" t="e">
        <f t="shared" ref="O195:O258" si="17">(L195/2)*10^(F195+1)</f>
        <v>#DIV/0!</v>
      </c>
      <c r="P195" t="s">
        <v>32</v>
      </c>
      <c r="Q195" t="str">
        <f t="shared" ref="Q195:Q258" si="18">LEFT(A195,3)</f>
        <v>059</v>
      </c>
      <c r="R195" t="str">
        <f t="shared" ref="R195:R258" si="19">LEFT(RIGHT(A195,3),1)</f>
        <v>S</v>
      </c>
    </row>
    <row r="196" spans="1:18" x14ac:dyDescent="0.2">
      <c r="A196" s="6" t="s">
        <v>1853</v>
      </c>
      <c r="B196" s="40">
        <v>3</v>
      </c>
      <c r="C196" t="str">
        <f t="shared" si="15"/>
        <v>059.S.c.3</v>
      </c>
      <c r="E196">
        <v>1</v>
      </c>
      <c r="F196" s="104">
        <v>4</v>
      </c>
      <c r="G196">
        <v>7</v>
      </c>
      <c r="H196">
        <v>3</v>
      </c>
      <c r="I196">
        <v>2</v>
      </c>
      <c r="J196">
        <v>3</v>
      </c>
      <c r="K196">
        <v>3</v>
      </c>
      <c r="L196">
        <f t="shared" si="16"/>
        <v>3.6</v>
      </c>
      <c r="M196" t="s">
        <v>72</v>
      </c>
      <c r="O196" s="123">
        <f t="shared" si="17"/>
        <v>180000</v>
      </c>
      <c r="P196" t="s">
        <v>32</v>
      </c>
      <c r="Q196" t="str">
        <f t="shared" si="18"/>
        <v>059</v>
      </c>
      <c r="R196" t="str">
        <f t="shared" si="19"/>
        <v>S</v>
      </c>
    </row>
    <row r="197" spans="1:18" x14ac:dyDescent="0.2">
      <c r="A197" s="6" t="s">
        <v>1853</v>
      </c>
      <c r="B197" s="40">
        <v>4</v>
      </c>
      <c r="C197" t="str">
        <f t="shared" si="15"/>
        <v>059.S.c.4</v>
      </c>
      <c r="E197">
        <v>3</v>
      </c>
      <c r="F197" s="104">
        <v>5</v>
      </c>
      <c r="G197">
        <v>18</v>
      </c>
      <c r="H197">
        <v>14</v>
      </c>
      <c r="I197">
        <v>17</v>
      </c>
      <c r="J197">
        <v>25</v>
      </c>
      <c r="K197">
        <v>18</v>
      </c>
      <c r="L197">
        <f t="shared" si="16"/>
        <v>18.399999999999999</v>
      </c>
      <c r="M197" t="s">
        <v>72</v>
      </c>
      <c r="O197" s="123">
        <f t="shared" si="17"/>
        <v>9200000</v>
      </c>
      <c r="P197" t="s">
        <v>32</v>
      </c>
      <c r="Q197" t="str">
        <f t="shared" si="18"/>
        <v>059</v>
      </c>
      <c r="R197" t="str">
        <f t="shared" si="19"/>
        <v>S</v>
      </c>
    </row>
    <row r="198" spans="1:18" x14ac:dyDescent="0.2">
      <c r="A198" s="6" t="s">
        <v>1853</v>
      </c>
      <c r="B198" s="40">
        <v>5</v>
      </c>
      <c r="C198" t="str">
        <f t="shared" si="15"/>
        <v>059.S.c.5</v>
      </c>
      <c r="E198" t="s">
        <v>1740</v>
      </c>
      <c r="F198" s="104">
        <v>6</v>
      </c>
      <c r="G198">
        <v>23</v>
      </c>
      <c r="H198">
        <v>15</v>
      </c>
      <c r="I198">
        <v>18</v>
      </c>
      <c r="J198">
        <v>15</v>
      </c>
      <c r="K198">
        <v>16</v>
      </c>
      <c r="L198">
        <f t="shared" si="16"/>
        <v>17.399999999999999</v>
      </c>
      <c r="M198" t="s">
        <v>72</v>
      </c>
      <c r="O198" s="123">
        <f t="shared" si="17"/>
        <v>87000000</v>
      </c>
      <c r="P198" t="s">
        <v>32</v>
      </c>
      <c r="Q198" t="str">
        <f t="shared" si="18"/>
        <v>059</v>
      </c>
      <c r="R198" t="str">
        <f t="shared" si="19"/>
        <v>S</v>
      </c>
    </row>
    <row r="199" spans="1:18" x14ac:dyDescent="0.2">
      <c r="A199" s="6" t="s">
        <v>1853</v>
      </c>
      <c r="B199" s="40">
        <v>6</v>
      </c>
      <c r="C199" t="str">
        <f t="shared" si="15"/>
        <v>059.S.c.6</v>
      </c>
      <c r="E199" t="s">
        <v>1740</v>
      </c>
      <c r="F199" s="104">
        <v>6</v>
      </c>
      <c r="G199">
        <v>17</v>
      </c>
      <c r="H199">
        <v>21</v>
      </c>
      <c r="I199">
        <v>22</v>
      </c>
      <c r="J199">
        <v>20</v>
      </c>
      <c r="K199">
        <v>20</v>
      </c>
      <c r="L199">
        <f t="shared" si="16"/>
        <v>20</v>
      </c>
      <c r="M199" t="s">
        <v>72</v>
      </c>
      <c r="O199" s="123">
        <f t="shared" si="17"/>
        <v>100000000</v>
      </c>
      <c r="P199" t="s">
        <v>32</v>
      </c>
      <c r="Q199" t="str">
        <f t="shared" si="18"/>
        <v>059</v>
      </c>
      <c r="R199" t="str">
        <f t="shared" si="19"/>
        <v>S</v>
      </c>
    </row>
    <row r="200" spans="1:18" x14ac:dyDescent="0.2">
      <c r="A200" t="s">
        <v>1855</v>
      </c>
      <c r="B200" s="39">
        <v>1</v>
      </c>
      <c r="C200" t="str">
        <f>A200&amp;"."&amp;B200</f>
        <v>059.V.a.1</v>
      </c>
      <c r="D200">
        <v>1.6E-2</v>
      </c>
      <c r="E200">
        <v>1</v>
      </c>
      <c r="F200" s="104">
        <v>4</v>
      </c>
      <c r="G200">
        <v>36</v>
      </c>
      <c r="H200">
        <v>24</v>
      </c>
      <c r="I200">
        <v>21</v>
      </c>
      <c r="J200">
        <v>40</v>
      </c>
      <c r="K200">
        <v>26</v>
      </c>
      <c r="L200">
        <f t="shared" si="16"/>
        <v>29.4</v>
      </c>
      <c r="M200" t="s">
        <v>72</v>
      </c>
      <c r="N200" t="s">
        <v>1856</v>
      </c>
      <c r="O200" s="123">
        <f t="shared" si="17"/>
        <v>1470000</v>
      </c>
      <c r="P200" t="s">
        <v>32</v>
      </c>
      <c r="Q200" t="str">
        <f t="shared" si="18"/>
        <v>059</v>
      </c>
      <c r="R200" t="str">
        <f t="shared" si="19"/>
        <v>V</v>
      </c>
    </row>
    <row r="201" spans="1:18" x14ac:dyDescent="0.2">
      <c r="A201" t="s">
        <v>1855</v>
      </c>
      <c r="B201" s="39">
        <v>2</v>
      </c>
      <c r="C201" t="str">
        <f t="shared" si="15"/>
        <v>059.V.a.2</v>
      </c>
      <c r="D201">
        <v>0.03</v>
      </c>
      <c r="E201">
        <v>1</v>
      </c>
      <c r="F201" s="104">
        <v>6</v>
      </c>
      <c r="G201" t="s">
        <v>45</v>
      </c>
      <c r="H201" t="s">
        <v>45</v>
      </c>
      <c r="I201">
        <v>4</v>
      </c>
      <c r="J201">
        <v>4</v>
      </c>
      <c r="K201">
        <v>4</v>
      </c>
      <c r="L201">
        <f t="shared" si="16"/>
        <v>4</v>
      </c>
      <c r="M201" t="s">
        <v>72</v>
      </c>
      <c r="N201" t="s">
        <v>1857</v>
      </c>
      <c r="O201" s="123">
        <f t="shared" si="17"/>
        <v>20000000</v>
      </c>
      <c r="P201" t="s">
        <v>32</v>
      </c>
      <c r="Q201" t="str">
        <f t="shared" si="18"/>
        <v>059</v>
      </c>
      <c r="R201" t="str">
        <f t="shared" si="19"/>
        <v>V</v>
      </c>
    </row>
    <row r="202" spans="1:18" x14ac:dyDescent="0.2">
      <c r="A202" s="6" t="s">
        <v>1855</v>
      </c>
      <c r="B202" s="40">
        <v>3</v>
      </c>
      <c r="C202" t="str">
        <f t="shared" si="15"/>
        <v>059.V.a.3</v>
      </c>
      <c r="D202">
        <v>3.1E-2</v>
      </c>
      <c r="E202">
        <v>1</v>
      </c>
      <c r="F202" s="104">
        <v>6</v>
      </c>
      <c r="G202">
        <v>5</v>
      </c>
      <c r="H202">
        <v>5</v>
      </c>
      <c r="I202">
        <v>12</v>
      </c>
      <c r="J202">
        <v>9</v>
      </c>
      <c r="K202">
        <v>7</v>
      </c>
      <c r="L202">
        <f t="shared" si="16"/>
        <v>7.6</v>
      </c>
      <c r="M202" t="s">
        <v>72</v>
      </c>
      <c r="N202" t="s">
        <v>1858</v>
      </c>
      <c r="O202" s="123">
        <f t="shared" si="17"/>
        <v>38000000</v>
      </c>
      <c r="P202" t="s">
        <v>32</v>
      </c>
      <c r="Q202" t="str">
        <f t="shared" si="18"/>
        <v>059</v>
      </c>
      <c r="R202" t="str">
        <f t="shared" si="19"/>
        <v>V</v>
      </c>
    </row>
    <row r="203" spans="1:18" x14ac:dyDescent="0.2">
      <c r="A203" s="6" t="s">
        <v>1855</v>
      </c>
      <c r="B203" s="40">
        <v>4</v>
      </c>
      <c r="C203" t="str">
        <f t="shared" si="15"/>
        <v>059.V.a.4</v>
      </c>
      <c r="D203">
        <v>2.3E-2</v>
      </c>
      <c r="E203">
        <v>1</v>
      </c>
      <c r="L203" t="e">
        <f t="shared" si="16"/>
        <v>#DIV/0!</v>
      </c>
      <c r="N203" t="s">
        <v>1859</v>
      </c>
      <c r="O203" s="123" t="e">
        <f t="shared" si="17"/>
        <v>#DIV/0!</v>
      </c>
      <c r="P203" t="s">
        <v>32</v>
      </c>
      <c r="Q203" t="str">
        <f t="shared" si="18"/>
        <v>059</v>
      </c>
      <c r="R203" t="str">
        <f t="shared" si="19"/>
        <v>V</v>
      </c>
    </row>
    <row r="204" spans="1:18" x14ac:dyDescent="0.2">
      <c r="A204" s="6" t="s">
        <v>1855</v>
      </c>
      <c r="B204" s="40">
        <v>5</v>
      </c>
      <c r="C204" t="str">
        <f t="shared" si="15"/>
        <v>059.V.a.5</v>
      </c>
      <c r="D204">
        <v>5.6000000000000001E-2</v>
      </c>
      <c r="E204" t="s">
        <v>1740</v>
      </c>
      <c r="F204" s="104">
        <v>6</v>
      </c>
      <c r="G204">
        <v>40</v>
      </c>
      <c r="H204">
        <v>32</v>
      </c>
      <c r="I204">
        <v>35</v>
      </c>
      <c r="J204">
        <v>21</v>
      </c>
      <c r="K204">
        <v>30</v>
      </c>
      <c r="L204">
        <f t="shared" si="16"/>
        <v>31.6</v>
      </c>
      <c r="M204" t="s">
        <v>72</v>
      </c>
      <c r="O204" s="123">
        <f t="shared" si="17"/>
        <v>158000000</v>
      </c>
      <c r="P204" t="s">
        <v>32</v>
      </c>
      <c r="Q204" t="str">
        <f t="shared" si="18"/>
        <v>059</v>
      </c>
      <c r="R204" t="str">
        <f t="shared" si="19"/>
        <v>V</v>
      </c>
    </row>
    <row r="205" spans="1:18" x14ac:dyDescent="0.2">
      <c r="A205" s="6" t="s">
        <v>1855</v>
      </c>
      <c r="B205" s="40">
        <v>6</v>
      </c>
      <c r="C205" t="str">
        <f t="shared" si="15"/>
        <v>059.V.a.6</v>
      </c>
      <c r="D205">
        <v>3.5000000000000003E-2</v>
      </c>
      <c r="E205">
        <v>2</v>
      </c>
      <c r="F205" s="104">
        <v>6</v>
      </c>
      <c r="G205">
        <v>7</v>
      </c>
      <c r="H205">
        <v>11</v>
      </c>
      <c r="I205">
        <v>9</v>
      </c>
      <c r="J205">
        <v>5</v>
      </c>
      <c r="K205">
        <v>7</v>
      </c>
      <c r="L205">
        <f t="shared" si="16"/>
        <v>7.8</v>
      </c>
      <c r="M205" t="s">
        <v>72</v>
      </c>
      <c r="O205" s="123">
        <f t="shared" si="17"/>
        <v>39000000</v>
      </c>
      <c r="P205" t="s">
        <v>32</v>
      </c>
      <c r="Q205" t="str">
        <f t="shared" si="18"/>
        <v>059</v>
      </c>
      <c r="R205" t="str">
        <f t="shared" si="19"/>
        <v>V</v>
      </c>
    </row>
    <row r="206" spans="1:18" x14ac:dyDescent="0.2">
      <c r="A206" t="s">
        <v>1860</v>
      </c>
      <c r="B206" s="39">
        <v>1</v>
      </c>
      <c r="C206" t="str">
        <f t="shared" si="15"/>
        <v>059.V.b.1</v>
      </c>
      <c r="D206">
        <v>1.7000000000000001E-2</v>
      </c>
      <c r="E206">
        <v>1</v>
      </c>
      <c r="F206" s="104">
        <v>3</v>
      </c>
      <c r="G206">
        <v>1</v>
      </c>
      <c r="H206">
        <v>6</v>
      </c>
      <c r="I206">
        <v>8</v>
      </c>
      <c r="J206">
        <v>3</v>
      </c>
      <c r="K206">
        <v>5</v>
      </c>
      <c r="L206">
        <f t="shared" si="16"/>
        <v>4.5999999999999996</v>
      </c>
      <c r="M206" t="s">
        <v>72</v>
      </c>
      <c r="O206" s="123">
        <f t="shared" si="17"/>
        <v>23000</v>
      </c>
      <c r="P206" t="s">
        <v>32</v>
      </c>
      <c r="Q206" t="str">
        <f t="shared" si="18"/>
        <v>059</v>
      </c>
      <c r="R206" t="str">
        <f t="shared" si="19"/>
        <v>V</v>
      </c>
    </row>
    <row r="207" spans="1:18" x14ac:dyDescent="0.2">
      <c r="A207" t="s">
        <v>1860</v>
      </c>
      <c r="B207" s="39">
        <v>2</v>
      </c>
      <c r="C207" t="str">
        <f t="shared" si="15"/>
        <v>059.V.b.2</v>
      </c>
      <c r="D207">
        <v>2.4E-2</v>
      </c>
      <c r="E207">
        <v>2</v>
      </c>
      <c r="F207" s="104">
        <v>3</v>
      </c>
      <c r="G207">
        <v>1</v>
      </c>
      <c r="H207">
        <v>1</v>
      </c>
      <c r="I207">
        <v>1</v>
      </c>
      <c r="J207">
        <v>3</v>
      </c>
      <c r="K207">
        <v>0</v>
      </c>
      <c r="L207">
        <f t="shared" si="16"/>
        <v>1.2</v>
      </c>
      <c r="M207" t="s">
        <v>72</v>
      </c>
      <c r="O207" s="123">
        <f t="shared" si="17"/>
        <v>6000</v>
      </c>
      <c r="P207" t="s">
        <v>32</v>
      </c>
      <c r="Q207" t="str">
        <f t="shared" si="18"/>
        <v>059</v>
      </c>
      <c r="R207" t="str">
        <f t="shared" si="19"/>
        <v>V</v>
      </c>
    </row>
    <row r="208" spans="1:18" x14ac:dyDescent="0.2">
      <c r="A208" s="6" t="s">
        <v>1860</v>
      </c>
      <c r="B208" s="40">
        <v>3</v>
      </c>
      <c r="C208" t="str">
        <f>A208&amp;"."&amp;B208</f>
        <v>059.V.b.3</v>
      </c>
      <c r="D208">
        <v>2.5999999999999999E-2</v>
      </c>
      <c r="E208">
        <v>2</v>
      </c>
      <c r="F208" s="104">
        <v>5</v>
      </c>
      <c r="G208">
        <v>18</v>
      </c>
      <c r="H208">
        <v>13</v>
      </c>
      <c r="I208">
        <v>7</v>
      </c>
      <c r="J208">
        <v>13</v>
      </c>
      <c r="K208">
        <v>8</v>
      </c>
      <c r="L208">
        <f t="shared" si="16"/>
        <v>11.8</v>
      </c>
      <c r="M208" t="s">
        <v>72</v>
      </c>
      <c r="N208" t="s">
        <v>1861</v>
      </c>
      <c r="O208" s="123">
        <f t="shared" si="17"/>
        <v>5900000</v>
      </c>
      <c r="P208" t="s">
        <v>32</v>
      </c>
      <c r="Q208" t="str">
        <f t="shared" si="18"/>
        <v>059</v>
      </c>
      <c r="R208" t="str">
        <f t="shared" si="19"/>
        <v>V</v>
      </c>
    </row>
    <row r="209" spans="1:18" x14ac:dyDescent="0.2">
      <c r="A209" s="6" t="s">
        <v>1860</v>
      </c>
      <c r="B209" s="40">
        <v>4</v>
      </c>
      <c r="C209" t="str">
        <f t="shared" si="15"/>
        <v>059.V.b.4</v>
      </c>
      <c r="D209">
        <v>3.5000000000000003E-2</v>
      </c>
      <c r="E209">
        <v>1</v>
      </c>
      <c r="F209" s="104">
        <v>5</v>
      </c>
      <c r="G209">
        <v>5</v>
      </c>
      <c r="H209">
        <v>9</v>
      </c>
      <c r="I209">
        <v>5</v>
      </c>
      <c r="J209">
        <v>11</v>
      </c>
      <c r="K209">
        <v>10</v>
      </c>
      <c r="L209">
        <f t="shared" si="16"/>
        <v>8</v>
      </c>
      <c r="M209" t="s">
        <v>72</v>
      </c>
      <c r="O209" s="123">
        <f t="shared" si="17"/>
        <v>4000000</v>
      </c>
      <c r="P209" t="s">
        <v>32</v>
      </c>
      <c r="Q209" t="str">
        <f t="shared" si="18"/>
        <v>059</v>
      </c>
      <c r="R209" t="str">
        <f t="shared" si="19"/>
        <v>V</v>
      </c>
    </row>
    <row r="210" spans="1:18" x14ac:dyDescent="0.2">
      <c r="A210" s="6" t="s">
        <v>1860</v>
      </c>
      <c r="B210" s="40">
        <v>5</v>
      </c>
      <c r="C210" t="str">
        <f t="shared" si="15"/>
        <v>059.V.b.5</v>
      </c>
      <c r="D210">
        <v>6.3E-2</v>
      </c>
      <c r="E210">
        <v>2</v>
      </c>
      <c r="F210" s="104">
        <v>4</v>
      </c>
      <c r="G210">
        <v>8</v>
      </c>
      <c r="H210">
        <v>2</v>
      </c>
      <c r="I210">
        <v>4</v>
      </c>
      <c r="J210">
        <v>4</v>
      </c>
      <c r="K210">
        <v>3</v>
      </c>
      <c r="L210">
        <f t="shared" si="16"/>
        <v>4.2</v>
      </c>
      <c r="M210" t="s">
        <v>72</v>
      </c>
      <c r="N210" t="s">
        <v>1862</v>
      </c>
      <c r="O210" s="123">
        <f t="shared" si="17"/>
        <v>210000</v>
      </c>
      <c r="P210" t="s">
        <v>32</v>
      </c>
      <c r="Q210" t="str">
        <f t="shared" si="18"/>
        <v>059</v>
      </c>
      <c r="R210" t="str">
        <f t="shared" si="19"/>
        <v>V</v>
      </c>
    </row>
    <row r="211" spans="1:18" x14ac:dyDescent="0.2">
      <c r="A211" s="6" t="s">
        <v>1860</v>
      </c>
      <c r="B211" s="40">
        <v>6</v>
      </c>
      <c r="C211" t="str">
        <f t="shared" si="15"/>
        <v>059.V.b.6</v>
      </c>
      <c r="D211">
        <v>5.8999999999999997E-2</v>
      </c>
      <c r="E211">
        <v>3</v>
      </c>
      <c r="F211" s="104">
        <v>4</v>
      </c>
      <c r="G211">
        <v>2</v>
      </c>
      <c r="H211">
        <v>4</v>
      </c>
      <c r="I211">
        <v>5</v>
      </c>
      <c r="J211">
        <v>1</v>
      </c>
      <c r="K211">
        <v>1</v>
      </c>
      <c r="L211">
        <f t="shared" si="16"/>
        <v>2.6</v>
      </c>
      <c r="M211" t="s">
        <v>72</v>
      </c>
      <c r="N211" t="s">
        <v>1863</v>
      </c>
      <c r="O211" s="123">
        <f t="shared" si="17"/>
        <v>130000</v>
      </c>
      <c r="P211" t="s">
        <v>32</v>
      </c>
      <c r="Q211" t="str">
        <f t="shared" si="18"/>
        <v>059</v>
      </c>
      <c r="R211" t="str">
        <f t="shared" si="19"/>
        <v>V</v>
      </c>
    </row>
    <row r="212" spans="1:18" x14ac:dyDescent="0.2">
      <c r="A212" t="s">
        <v>1864</v>
      </c>
      <c r="B212" s="39">
        <v>1</v>
      </c>
      <c r="C212" t="str">
        <f t="shared" si="15"/>
        <v>059.V.c.1</v>
      </c>
      <c r="D212">
        <v>2.5999999999999999E-2</v>
      </c>
      <c r="E212">
        <v>3</v>
      </c>
      <c r="F212" s="104">
        <v>4</v>
      </c>
      <c r="G212" t="s">
        <v>34</v>
      </c>
      <c r="H212">
        <v>19</v>
      </c>
      <c r="I212">
        <v>27</v>
      </c>
      <c r="J212">
        <v>25</v>
      </c>
      <c r="K212">
        <v>31</v>
      </c>
      <c r="L212">
        <f t="shared" si="16"/>
        <v>25.5</v>
      </c>
      <c r="M212" t="s">
        <v>72</v>
      </c>
      <c r="O212" s="123">
        <f t="shared" si="17"/>
        <v>1275000</v>
      </c>
      <c r="P212" t="s">
        <v>32</v>
      </c>
      <c r="Q212" t="str">
        <f t="shared" si="18"/>
        <v>059</v>
      </c>
      <c r="R212" t="str">
        <f t="shared" si="19"/>
        <v>V</v>
      </c>
    </row>
    <row r="213" spans="1:18" x14ac:dyDescent="0.2">
      <c r="A213" t="s">
        <v>1864</v>
      </c>
      <c r="B213" s="39">
        <v>2</v>
      </c>
      <c r="C213" t="str">
        <f>A213&amp;"."&amp;B213</f>
        <v>059.V.c.2</v>
      </c>
      <c r="D213">
        <v>1.4999999999999999E-2</v>
      </c>
      <c r="E213">
        <v>1</v>
      </c>
      <c r="F213" s="104">
        <v>1</v>
      </c>
      <c r="G213" t="s">
        <v>57</v>
      </c>
      <c r="H213" t="s">
        <v>57</v>
      </c>
      <c r="I213" t="s">
        <v>57</v>
      </c>
      <c r="J213" t="s">
        <v>57</v>
      </c>
      <c r="K213" t="s">
        <v>57</v>
      </c>
      <c r="L213" t="e">
        <f t="shared" si="16"/>
        <v>#DIV/0!</v>
      </c>
      <c r="N213" t="s">
        <v>1865</v>
      </c>
      <c r="O213" s="123" t="e">
        <f t="shared" si="17"/>
        <v>#DIV/0!</v>
      </c>
      <c r="P213" t="s">
        <v>32</v>
      </c>
      <c r="Q213" t="str">
        <f t="shared" si="18"/>
        <v>059</v>
      </c>
      <c r="R213" t="str">
        <f t="shared" si="19"/>
        <v>V</v>
      </c>
    </row>
    <row r="214" spans="1:18" x14ac:dyDescent="0.2">
      <c r="A214" s="6" t="s">
        <v>1864</v>
      </c>
      <c r="B214" s="40">
        <v>3</v>
      </c>
      <c r="C214" t="str">
        <f t="shared" si="15"/>
        <v>059.V.c.3</v>
      </c>
      <c r="D214">
        <v>5.0999999999999997E-2</v>
      </c>
      <c r="E214">
        <v>3</v>
      </c>
      <c r="L214" t="e">
        <f t="shared" si="16"/>
        <v>#DIV/0!</v>
      </c>
      <c r="N214" t="s">
        <v>1866</v>
      </c>
      <c r="O214" s="123" t="e">
        <f t="shared" si="17"/>
        <v>#DIV/0!</v>
      </c>
      <c r="P214" t="s">
        <v>32</v>
      </c>
      <c r="Q214" t="str">
        <f t="shared" si="18"/>
        <v>059</v>
      </c>
      <c r="R214" t="str">
        <f t="shared" si="19"/>
        <v>V</v>
      </c>
    </row>
    <row r="215" spans="1:18" x14ac:dyDescent="0.2">
      <c r="A215" s="6" t="s">
        <v>1864</v>
      </c>
      <c r="B215" s="40">
        <v>4</v>
      </c>
      <c r="C215" t="str">
        <f t="shared" si="15"/>
        <v>059.V.c.4</v>
      </c>
      <c r="D215">
        <v>4.8000000000000001E-2</v>
      </c>
      <c r="E215">
        <v>3</v>
      </c>
      <c r="F215" s="104">
        <v>4</v>
      </c>
      <c r="G215" t="s">
        <v>45</v>
      </c>
      <c r="H215">
        <v>2</v>
      </c>
      <c r="I215">
        <v>4</v>
      </c>
      <c r="J215">
        <v>2</v>
      </c>
      <c r="K215">
        <v>1</v>
      </c>
      <c r="L215">
        <f t="shared" si="16"/>
        <v>2.25</v>
      </c>
      <c r="M215" t="s">
        <v>72</v>
      </c>
      <c r="N215" t="s">
        <v>1867</v>
      </c>
      <c r="O215" s="123">
        <f t="shared" si="17"/>
        <v>112500</v>
      </c>
      <c r="P215" t="s">
        <v>32</v>
      </c>
      <c r="Q215" t="str">
        <f t="shared" si="18"/>
        <v>059</v>
      </c>
      <c r="R215" t="str">
        <f t="shared" si="19"/>
        <v>V</v>
      </c>
    </row>
    <row r="216" spans="1:18" x14ac:dyDescent="0.2">
      <c r="A216" s="6" t="s">
        <v>1864</v>
      </c>
      <c r="B216" s="40">
        <v>5</v>
      </c>
      <c r="C216" t="str">
        <f t="shared" si="15"/>
        <v>059.V.c.5</v>
      </c>
      <c r="D216">
        <v>0.123</v>
      </c>
      <c r="E216" t="s">
        <v>1833</v>
      </c>
      <c r="F216" s="104">
        <v>6</v>
      </c>
      <c r="G216" t="s">
        <v>57</v>
      </c>
      <c r="H216" t="s">
        <v>57</v>
      </c>
      <c r="I216" t="s">
        <v>57</v>
      </c>
      <c r="J216" t="s">
        <v>57</v>
      </c>
      <c r="K216" t="s">
        <v>57</v>
      </c>
      <c r="L216" t="e">
        <f t="shared" si="16"/>
        <v>#DIV/0!</v>
      </c>
      <c r="N216" t="s">
        <v>1868</v>
      </c>
      <c r="O216" s="123" t="e">
        <f t="shared" si="17"/>
        <v>#DIV/0!</v>
      </c>
      <c r="P216" t="s">
        <v>32</v>
      </c>
      <c r="Q216" t="str">
        <f t="shared" si="18"/>
        <v>059</v>
      </c>
      <c r="R216" t="str">
        <f t="shared" si="19"/>
        <v>V</v>
      </c>
    </row>
    <row r="217" spans="1:18" x14ac:dyDescent="0.2">
      <c r="A217" s="6" t="s">
        <v>1864</v>
      </c>
      <c r="B217" s="40">
        <v>6</v>
      </c>
      <c r="C217" t="str">
        <f t="shared" si="15"/>
        <v>059.V.c.6</v>
      </c>
      <c r="D217">
        <v>0.105</v>
      </c>
      <c r="E217" t="s">
        <v>1833</v>
      </c>
      <c r="F217" s="104">
        <v>6</v>
      </c>
      <c r="G217" t="s">
        <v>57</v>
      </c>
      <c r="H217" t="s">
        <v>57</v>
      </c>
      <c r="I217" t="s">
        <v>57</v>
      </c>
      <c r="J217" t="s">
        <v>57</v>
      </c>
      <c r="K217" t="s">
        <v>57</v>
      </c>
      <c r="L217" t="e">
        <f t="shared" si="16"/>
        <v>#DIV/0!</v>
      </c>
      <c r="N217" t="s">
        <v>1869</v>
      </c>
      <c r="O217" s="123" t="e">
        <f t="shared" si="17"/>
        <v>#DIV/0!</v>
      </c>
      <c r="P217" t="s">
        <v>32</v>
      </c>
      <c r="Q217" t="str">
        <f t="shared" si="18"/>
        <v>059</v>
      </c>
      <c r="R217" t="str">
        <f t="shared" si="19"/>
        <v>V</v>
      </c>
    </row>
    <row r="218" spans="1:18" s="43" customFormat="1" x14ac:dyDescent="0.2">
      <c r="A218" s="43" t="s">
        <v>1870</v>
      </c>
      <c r="B218" s="75">
        <v>1</v>
      </c>
      <c r="C218" s="43" t="str">
        <f t="shared" si="15"/>
        <v>070.O.a.1</v>
      </c>
      <c r="D218" s="43">
        <v>1.7999999999999999E-2</v>
      </c>
      <c r="E218" s="43">
        <v>1</v>
      </c>
      <c r="F218" s="104"/>
      <c r="L218" s="43" t="e">
        <f t="shared" si="16"/>
        <v>#DIV/0!</v>
      </c>
      <c r="M218" s="43" t="s">
        <v>1736</v>
      </c>
      <c r="N218" s="43" t="s">
        <v>1871</v>
      </c>
      <c r="O218" s="123" t="e">
        <f t="shared" si="17"/>
        <v>#DIV/0!</v>
      </c>
      <c r="P218" t="s">
        <v>32</v>
      </c>
      <c r="Q218" t="str">
        <f t="shared" si="18"/>
        <v>070</v>
      </c>
      <c r="R218" t="str">
        <f t="shared" si="19"/>
        <v>O</v>
      </c>
    </row>
    <row r="219" spans="1:18" s="43" customFormat="1" x14ac:dyDescent="0.2">
      <c r="A219" s="43" t="s">
        <v>1870</v>
      </c>
      <c r="B219" s="75">
        <v>2</v>
      </c>
      <c r="C219" s="43" t="str">
        <f t="shared" si="15"/>
        <v>070.O.a.2</v>
      </c>
      <c r="D219" s="43">
        <v>0.02</v>
      </c>
      <c r="E219" s="43">
        <v>1</v>
      </c>
      <c r="F219" s="104"/>
      <c r="L219" s="43" t="e">
        <f t="shared" si="16"/>
        <v>#DIV/0!</v>
      </c>
      <c r="M219" s="43" t="str">
        <f>M218</f>
        <v>SG</v>
      </c>
      <c r="N219" s="43" t="s">
        <v>1872</v>
      </c>
      <c r="O219" s="123" t="e">
        <f t="shared" si="17"/>
        <v>#DIV/0!</v>
      </c>
      <c r="P219" t="s">
        <v>32</v>
      </c>
      <c r="Q219" t="str">
        <f t="shared" si="18"/>
        <v>070</v>
      </c>
      <c r="R219" t="str">
        <f t="shared" si="19"/>
        <v>O</v>
      </c>
    </row>
    <row r="220" spans="1:18" x14ac:dyDescent="0.2">
      <c r="A220" s="6" t="s">
        <v>1870</v>
      </c>
      <c r="B220" s="40">
        <v>3</v>
      </c>
      <c r="C220" t="str">
        <f t="shared" si="15"/>
        <v>070.O.a.3</v>
      </c>
      <c r="D220">
        <v>2.4E-2</v>
      </c>
      <c r="E220">
        <v>1</v>
      </c>
      <c r="F220" s="104">
        <v>4</v>
      </c>
      <c r="G220">
        <v>24</v>
      </c>
      <c r="H220">
        <v>20</v>
      </c>
      <c r="I220">
        <v>33</v>
      </c>
      <c r="J220">
        <v>8</v>
      </c>
      <c r="K220">
        <v>12</v>
      </c>
      <c r="L220">
        <f t="shared" si="16"/>
        <v>19.399999999999999</v>
      </c>
      <c r="M220" t="str">
        <f>M219</f>
        <v>SG</v>
      </c>
      <c r="O220" s="123">
        <f t="shared" si="17"/>
        <v>969999.99999999988</v>
      </c>
      <c r="P220" t="s">
        <v>32</v>
      </c>
      <c r="Q220" t="str">
        <f t="shared" si="18"/>
        <v>070</v>
      </c>
      <c r="R220" t="str">
        <f t="shared" si="19"/>
        <v>O</v>
      </c>
    </row>
    <row r="221" spans="1:18" s="43" customFormat="1" x14ac:dyDescent="0.2">
      <c r="A221" s="59" t="s">
        <v>1870</v>
      </c>
      <c r="B221" s="73">
        <v>4</v>
      </c>
      <c r="C221" s="43" t="str">
        <f t="shared" si="15"/>
        <v>070.O.a.4</v>
      </c>
      <c r="D221" s="43">
        <v>0.105</v>
      </c>
      <c r="E221" s="43">
        <v>4</v>
      </c>
      <c r="F221" s="104"/>
      <c r="L221" s="43" t="e">
        <f t="shared" si="16"/>
        <v>#DIV/0!</v>
      </c>
      <c r="M221" s="43" t="str">
        <f>M220</f>
        <v>SG</v>
      </c>
      <c r="N221" s="43" t="s">
        <v>1873</v>
      </c>
      <c r="O221" s="123" t="e">
        <f t="shared" si="17"/>
        <v>#DIV/0!</v>
      </c>
      <c r="P221" t="s">
        <v>32</v>
      </c>
      <c r="Q221" t="str">
        <f t="shared" si="18"/>
        <v>070</v>
      </c>
      <c r="R221" t="str">
        <f t="shared" si="19"/>
        <v>O</v>
      </c>
    </row>
    <row r="222" spans="1:18" s="43" customFormat="1" x14ac:dyDescent="0.2">
      <c r="A222" s="59" t="s">
        <v>1870</v>
      </c>
      <c r="B222" s="73">
        <v>5</v>
      </c>
      <c r="C222" s="43" t="str">
        <f t="shared" si="15"/>
        <v>070.O.a.5</v>
      </c>
      <c r="D222" s="43">
        <v>0.14699999999999999</v>
      </c>
      <c r="E222" s="43">
        <v>5</v>
      </c>
      <c r="F222" s="104"/>
      <c r="L222" s="43" t="e">
        <f t="shared" si="16"/>
        <v>#DIV/0!</v>
      </c>
      <c r="M222" s="43" t="str">
        <f t="shared" ref="M222:M270" si="20">M221</f>
        <v>SG</v>
      </c>
      <c r="N222" s="43" t="s">
        <v>1766</v>
      </c>
      <c r="O222" s="123" t="e">
        <f t="shared" si="17"/>
        <v>#DIV/0!</v>
      </c>
      <c r="P222" t="s">
        <v>32</v>
      </c>
      <c r="Q222" t="str">
        <f t="shared" si="18"/>
        <v>070</v>
      </c>
      <c r="R222" t="str">
        <f t="shared" si="19"/>
        <v>O</v>
      </c>
    </row>
    <row r="223" spans="1:18" s="43" customFormat="1" x14ac:dyDescent="0.2">
      <c r="A223" s="59" t="s">
        <v>1870</v>
      </c>
      <c r="B223" s="73">
        <v>6</v>
      </c>
      <c r="C223" s="43" t="str">
        <f t="shared" si="15"/>
        <v>070.O.a.6</v>
      </c>
      <c r="D223" s="43">
        <v>0.22500000000000001</v>
      </c>
      <c r="E223" s="43" t="s">
        <v>1833</v>
      </c>
      <c r="F223" s="104"/>
      <c r="L223" s="43" t="e">
        <f t="shared" si="16"/>
        <v>#DIV/0!</v>
      </c>
      <c r="M223" s="43" t="str">
        <f t="shared" si="20"/>
        <v>SG</v>
      </c>
      <c r="N223" s="43" t="s">
        <v>1873</v>
      </c>
      <c r="O223" s="123" t="e">
        <f t="shared" si="17"/>
        <v>#DIV/0!</v>
      </c>
      <c r="P223" t="s">
        <v>32</v>
      </c>
      <c r="Q223" t="str">
        <f t="shared" si="18"/>
        <v>070</v>
      </c>
      <c r="R223" t="str">
        <f t="shared" si="19"/>
        <v>O</v>
      </c>
    </row>
    <row r="224" spans="1:18" s="43" customFormat="1" x14ac:dyDescent="0.2">
      <c r="A224" s="43" t="s">
        <v>1874</v>
      </c>
      <c r="B224" s="75">
        <v>1</v>
      </c>
      <c r="C224" s="43" t="str">
        <f t="shared" si="15"/>
        <v>070.O.b.1</v>
      </c>
      <c r="D224" s="43">
        <v>3.5000000000000003E-2</v>
      </c>
      <c r="E224" s="43">
        <v>1</v>
      </c>
      <c r="F224" s="104"/>
      <c r="L224" s="43" t="e">
        <f t="shared" si="16"/>
        <v>#DIV/0!</v>
      </c>
      <c r="M224" s="43" t="str">
        <f t="shared" si="20"/>
        <v>SG</v>
      </c>
      <c r="N224" s="43" t="str">
        <f>N222</f>
        <v>Conta</v>
      </c>
      <c r="O224" s="123" t="e">
        <f t="shared" si="17"/>
        <v>#DIV/0!</v>
      </c>
      <c r="P224" t="s">
        <v>32</v>
      </c>
      <c r="Q224" t="str">
        <f t="shared" si="18"/>
        <v>070</v>
      </c>
      <c r="R224" t="str">
        <f t="shared" si="19"/>
        <v>O</v>
      </c>
    </row>
    <row r="225" spans="1:18" x14ac:dyDescent="0.2">
      <c r="A225" t="s">
        <v>1874</v>
      </c>
      <c r="B225" s="39">
        <v>2</v>
      </c>
      <c r="C225" t="str">
        <f t="shared" si="15"/>
        <v>070.O.b.2</v>
      </c>
      <c r="D225">
        <v>2.8000000000000001E-2</v>
      </c>
      <c r="E225">
        <v>1</v>
      </c>
      <c r="F225" s="104">
        <v>4</v>
      </c>
      <c r="G225">
        <v>91</v>
      </c>
      <c r="H225">
        <v>107</v>
      </c>
      <c r="I225">
        <v>100</v>
      </c>
      <c r="J225">
        <v>100</v>
      </c>
      <c r="K225">
        <v>99</v>
      </c>
      <c r="L225">
        <f t="shared" si="16"/>
        <v>99.4</v>
      </c>
      <c r="M225" s="62" t="str">
        <f t="shared" si="20"/>
        <v>SG</v>
      </c>
      <c r="O225" s="123">
        <f t="shared" si="17"/>
        <v>4970000</v>
      </c>
      <c r="P225" t="s">
        <v>32</v>
      </c>
      <c r="Q225" t="str">
        <f t="shared" si="18"/>
        <v>070</v>
      </c>
      <c r="R225" t="str">
        <f t="shared" si="19"/>
        <v>O</v>
      </c>
    </row>
    <row r="226" spans="1:18" x14ac:dyDescent="0.2">
      <c r="A226" s="6" t="s">
        <v>1874</v>
      </c>
      <c r="B226" s="40">
        <v>3</v>
      </c>
      <c r="C226" t="str">
        <f t="shared" si="15"/>
        <v>070.O.b.3</v>
      </c>
      <c r="D226">
        <v>5.8000000000000003E-2</v>
      </c>
      <c r="E226">
        <v>5</v>
      </c>
      <c r="F226" s="104">
        <v>4</v>
      </c>
      <c r="G226">
        <v>38</v>
      </c>
      <c r="H226">
        <v>23</v>
      </c>
      <c r="I226">
        <v>22</v>
      </c>
      <c r="J226">
        <v>35</v>
      </c>
      <c r="K226">
        <v>30</v>
      </c>
      <c r="L226">
        <f t="shared" si="16"/>
        <v>29.6</v>
      </c>
      <c r="M226" s="62" t="str">
        <f t="shared" si="20"/>
        <v>SG</v>
      </c>
      <c r="O226" s="123">
        <f t="shared" si="17"/>
        <v>1480000</v>
      </c>
      <c r="P226" t="s">
        <v>32</v>
      </c>
      <c r="Q226" t="str">
        <f t="shared" si="18"/>
        <v>070</v>
      </c>
      <c r="R226" t="str">
        <f t="shared" si="19"/>
        <v>O</v>
      </c>
    </row>
    <row r="227" spans="1:18" x14ac:dyDescent="0.2">
      <c r="A227" s="6" t="s">
        <v>1874</v>
      </c>
      <c r="B227" s="40">
        <v>4</v>
      </c>
      <c r="C227" t="str">
        <f t="shared" si="15"/>
        <v>070.O.b.4</v>
      </c>
      <c r="D227">
        <v>5.7000000000000002E-2</v>
      </c>
      <c r="E227">
        <v>2</v>
      </c>
      <c r="F227" s="104">
        <v>6</v>
      </c>
      <c r="G227">
        <v>27</v>
      </c>
      <c r="H227">
        <v>28</v>
      </c>
      <c r="I227">
        <v>28</v>
      </c>
      <c r="J227">
        <v>26</v>
      </c>
      <c r="K227">
        <v>26</v>
      </c>
      <c r="L227">
        <f t="shared" si="16"/>
        <v>27</v>
      </c>
      <c r="M227" s="62" t="str">
        <f t="shared" si="20"/>
        <v>SG</v>
      </c>
      <c r="O227" s="123">
        <f t="shared" si="17"/>
        <v>135000000</v>
      </c>
      <c r="P227" t="s">
        <v>32</v>
      </c>
      <c r="Q227" t="str">
        <f t="shared" si="18"/>
        <v>070</v>
      </c>
      <c r="R227" t="str">
        <f t="shared" si="19"/>
        <v>O</v>
      </c>
    </row>
    <row r="228" spans="1:18" x14ac:dyDescent="0.2">
      <c r="A228" s="6" t="s">
        <v>1874</v>
      </c>
      <c r="B228" s="40">
        <v>5</v>
      </c>
      <c r="C228" t="str">
        <f t="shared" si="15"/>
        <v>070.O.b.5</v>
      </c>
      <c r="D228">
        <v>8.5999999999999993E-2</v>
      </c>
      <c r="E228">
        <v>3</v>
      </c>
      <c r="F228" s="104">
        <v>6</v>
      </c>
      <c r="G228">
        <v>102</v>
      </c>
      <c r="H228">
        <v>77</v>
      </c>
      <c r="I228">
        <v>68</v>
      </c>
      <c r="J228">
        <v>70</v>
      </c>
      <c r="K228">
        <v>68</v>
      </c>
      <c r="L228">
        <f t="shared" si="16"/>
        <v>77</v>
      </c>
      <c r="M228" s="62" t="str">
        <f t="shared" si="20"/>
        <v>SG</v>
      </c>
      <c r="O228" s="123">
        <f t="shared" si="17"/>
        <v>385000000</v>
      </c>
      <c r="P228" t="s">
        <v>32</v>
      </c>
      <c r="Q228" t="str">
        <f t="shared" si="18"/>
        <v>070</v>
      </c>
      <c r="R228" t="str">
        <f t="shared" si="19"/>
        <v>O</v>
      </c>
    </row>
    <row r="229" spans="1:18" x14ac:dyDescent="0.2">
      <c r="A229" s="6" t="s">
        <v>1874</v>
      </c>
      <c r="B229" s="40">
        <v>6</v>
      </c>
      <c r="C229" t="str">
        <f t="shared" si="15"/>
        <v>070.O.b.6</v>
      </c>
      <c r="D229">
        <v>0.129</v>
      </c>
      <c r="E229" t="s">
        <v>1833</v>
      </c>
      <c r="F229" s="104">
        <v>6</v>
      </c>
      <c r="G229">
        <v>38</v>
      </c>
      <c r="H229">
        <v>41</v>
      </c>
      <c r="I229">
        <v>31</v>
      </c>
      <c r="J229">
        <v>35</v>
      </c>
      <c r="K229">
        <v>57</v>
      </c>
      <c r="L229">
        <f t="shared" si="16"/>
        <v>40.4</v>
      </c>
      <c r="M229" s="62" t="str">
        <f t="shared" si="20"/>
        <v>SG</v>
      </c>
      <c r="O229" s="123">
        <f t="shared" si="17"/>
        <v>202000000</v>
      </c>
      <c r="P229" t="s">
        <v>32</v>
      </c>
      <c r="Q229" t="str">
        <f t="shared" si="18"/>
        <v>070</v>
      </c>
      <c r="R229" t="str">
        <f t="shared" si="19"/>
        <v>O</v>
      </c>
    </row>
    <row r="230" spans="1:18" x14ac:dyDescent="0.2">
      <c r="A230" t="s">
        <v>1875</v>
      </c>
      <c r="B230" s="39">
        <v>1</v>
      </c>
      <c r="C230" t="str">
        <f t="shared" si="15"/>
        <v>070.O.c.1</v>
      </c>
      <c r="D230">
        <v>2.3E-2</v>
      </c>
      <c r="E230">
        <v>1</v>
      </c>
      <c r="F230" s="104">
        <v>3</v>
      </c>
      <c r="G230">
        <v>32</v>
      </c>
      <c r="H230">
        <v>33</v>
      </c>
      <c r="I230">
        <v>37</v>
      </c>
      <c r="J230">
        <v>44</v>
      </c>
      <c r="K230">
        <v>27</v>
      </c>
      <c r="L230">
        <f t="shared" si="16"/>
        <v>34.6</v>
      </c>
      <c r="M230" s="62" t="str">
        <f t="shared" si="20"/>
        <v>SG</v>
      </c>
      <c r="O230" s="123">
        <f t="shared" si="17"/>
        <v>173000</v>
      </c>
      <c r="P230" t="s">
        <v>32</v>
      </c>
      <c r="Q230" t="str">
        <f t="shared" si="18"/>
        <v>070</v>
      </c>
      <c r="R230" t="str">
        <f t="shared" si="19"/>
        <v>O</v>
      </c>
    </row>
    <row r="231" spans="1:18" x14ac:dyDescent="0.2">
      <c r="A231" t="s">
        <v>1875</v>
      </c>
      <c r="B231" s="39">
        <v>2</v>
      </c>
      <c r="C231" t="str">
        <f t="shared" si="15"/>
        <v>070.O.c.2</v>
      </c>
      <c r="D231">
        <v>2.8000000000000001E-2</v>
      </c>
      <c r="E231">
        <v>1</v>
      </c>
      <c r="F231" s="104">
        <v>4</v>
      </c>
      <c r="G231">
        <v>66</v>
      </c>
      <c r="H231">
        <v>27</v>
      </c>
      <c r="I231">
        <v>17</v>
      </c>
      <c r="J231">
        <v>19</v>
      </c>
      <c r="K231">
        <v>55</v>
      </c>
      <c r="L231">
        <f t="shared" si="16"/>
        <v>36.799999999999997</v>
      </c>
      <c r="M231" s="62" t="str">
        <f t="shared" si="20"/>
        <v>SG</v>
      </c>
      <c r="O231" s="123">
        <f t="shared" si="17"/>
        <v>1839999.9999999998</v>
      </c>
      <c r="P231" t="s">
        <v>32</v>
      </c>
      <c r="Q231" t="str">
        <f t="shared" si="18"/>
        <v>070</v>
      </c>
      <c r="R231" t="str">
        <f t="shared" si="19"/>
        <v>O</v>
      </c>
    </row>
    <row r="232" spans="1:18" x14ac:dyDescent="0.2">
      <c r="A232" s="6" t="s">
        <v>1875</v>
      </c>
      <c r="B232" s="40">
        <v>3</v>
      </c>
      <c r="C232" t="str">
        <f t="shared" si="15"/>
        <v>070.O.c.3</v>
      </c>
      <c r="D232">
        <v>4.7E-2</v>
      </c>
      <c r="E232">
        <v>1</v>
      </c>
      <c r="F232" s="104">
        <v>4</v>
      </c>
      <c r="G232">
        <v>64</v>
      </c>
      <c r="H232">
        <v>60</v>
      </c>
      <c r="I232">
        <v>74</v>
      </c>
      <c r="J232">
        <v>82</v>
      </c>
      <c r="K232">
        <v>83</v>
      </c>
      <c r="L232">
        <f t="shared" si="16"/>
        <v>72.599999999999994</v>
      </c>
      <c r="M232" s="62" t="str">
        <f t="shared" si="20"/>
        <v>SG</v>
      </c>
      <c r="O232" s="123">
        <f t="shared" si="17"/>
        <v>3629999.9999999995</v>
      </c>
      <c r="P232" t="s">
        <v>32</v>
      </c>
      <c r="Q232" t="str">
        <f t="shared" si="18"/>
        <v>070</v>
      </c>
      <c r="R232" t="str">
        <f t="shared" si="19"/>
        <v>O</v>
      </c>
    </row>
    <row r="233" spans="1:18" x14ac:dyDescent="0.2">
      <c r="A233" s="6" t="s">
        <v>1875</v>
      </c>
      <c r="B233" s="40">
        <v>4</v>
      </c>
      <c r="C233" t="str">
        <f t="shared" si="15"/>
        <v>070.O.c.4</v>
      </c>
      <c r="D233">
        <v>7.2999999999999995E-2</v>
      </c>
      <c r="E233">
        <v>2</v>
      </c>
      <c r="F233" s="104">
        <v>6</v>
      </c>
      <c r="G233">
        <v>11</v>
      </c>
      <c r="H233">
        <v>16</v>
      </c>
      <c r="I233">
        <v>16</v>
      </c>
      <c r="J233">
        <v>12</v>
      </c>
      <c r="K233">
        <v>10</v>
      </c>
      <c r="L233">
        <f t="shared" si="16"/>
        <v>13</v>
      </c>
      <c r="M233" s="62" t="str">
        <f t="shared" si="20"/>
        <v>SG</v>
      </c>
      <c r="O233" s="123">
        <f t="shared" si="17"/>
        <v>65000000</v>
      </c>
      <c r="P233" t="s">
        <v>32</v>
      </c>
      <c r="Q233" t="str">
        <f t="shared" si="18"/>
        <v>070</v>
      </c>
      <c r="R233" t="str">
        <f t="shared" si="19"/>
        <v>O</v>
      </c>
    </row>
    <row r="234" spans="1:18" s="43" customFormat="1" x14ac:dyDescent="0.2">
      <c r="A234" s="59" t="s">
        <v>1875</v>
      </c>
      <c r="B234" s="73">
        <v>5</v>
      </c>
      <c r="C234" s="43" t="str">
        <f t="shared" si="15"/>
        <v>070.O.c.5</v>
      </c>
      <c r="D234" s="43">
        <v>8.8999999999999996E-2</v>
      </c>
      <c r="E234" s="43" t="s">
        <v>1833</v>
      </c>
      <c r="F234" s="104"/>
      <c r="L234" s="43" t="e">
        <f t="shared" si="16"/>
        <v>#DIV/0!</v>
      </c>
      <c r="M234" s="43" t="str">
        <f t="shared" si="20"/>
        <v>SG</v>
      </c>
      <c r="N234" s="43" t="s">
        <v>1873</v>
      </c>
      <c r="O234" s="123" t="e">
        <f t="shared" si="17"/>
        <v>#DIV/0!</v>
      </c>
      <c r="P234" t="s">
        <v>32</v>
      </c>
      <c r="Q234" t="str">
        <f t="shared" si="18"/>
        <v>070</v>
      </c>
      <c r="R234" t="str">
        <f t="shared" si="19"/>
        <v>O</v>
      </c>
    </row>
    <row r="235" spans="1:18" s="43" customFormat="1" x14ac:dyDescent="0.2">
      <c r="A235" s="59" t="s">
        <v>1875</v>
      </c>
      <c r="B235" s="73">
        <v>6</v>
      </c>
      <c r="C235" s="43" t="str">
        <f t="shared" si="15"/>
        <v>070.O.c.6</v>
      </c>
      <c r="D235" s="43">
        <v>6.6000000000000003E-2</v>
      </c>
      <c r="E235" s="43" t="s">
        <v>1833</v>
      </c>
      <c r="F235" s="104"/>
      <c r="L235" s="43" t="e">
        <f t="shared" si="16"/>
        <v>#DIV/0!</v>
      </c>
      <c r="M235" s="43" t="str">
        <f t="shared" si="20"/>
        <v>SG</v>
      </c>
      <c r="N235" s="43" t="s">
        <v>1873</v>
      </c>
      <c r="O235" s="123" t="e">
        <f t="shared" si="17"/>
        <v>#DIV/0!</v>
      </c>
      <c r="P235" t="s">
        <v>32</v>
      </c>
      <c r="Q235" t="str">
        <f t="shared" si="18"/>
        <v>070</v>
      </c>
      <c r="R235" t="str">
        <f t="shared" si="19"/>
        <v>O</v>
      </c>
    </row>
    <row r="236" spans="1:18" x14ac:dyDescent="0.2">
      <c r="A236" t="s">
        <v>1876</v>
      </c>
      <c r="B236" s="39">
        <v>1</v>
      </c>
      <c r="C236" t="str">
        <f t="shared" si="15"/>
        <v>070.S.a.1</v>
      </c>
      <c r="D236">
        <v>2.3E-2</v>
      </c>
      <c r="E236">
        <v>1</v>
      </c>
      <c r="F236" s="104">
        <v>3</v>
      </c>
      <c r="G236">
        <v>3</v>
      </c>
      <c r="H236">
        <v>2</v>
      </c>
      <c r="I236">
        <v>6</v>
      </c>
      <c r="J236">
        <v>2</v>
      </c>
      <c r="K236">
        <v>4</v>
      </c>
      <c r="L236">
        <f t="shared" si="16"/>
        <v>3.4</v>
      </c>
      <c r="M236" s="43" t="str">
        <f t="shared" si="20"/>
        <v>SG</v>
      </c>
      <c r="O236" s="123">
        <f t="shared" si="17"/>
        <v>17000</v>
      </c>
      <c r="P236" t="s">
        <v>32</v>
      </c>
      <c r="Q236" t="str">
        <f t="shared" si="18"/>
        <v>070</v>
      </c>
      <c r="R236" t="str">
        <f t="shared" si="19"/>
        <v>S</v>
      </c>
    </row>
    <row r="237" spans="1:18" s="43" customFormat="1" x14ac:dyDescent="0.2">
      <c r="A237" s="43" t="s">
        <v>1876</v>
      </c>
      <c r="B237" s="75">
        <v>2</v>
      </c>
      <c r="C237" s="43" t="str">
        <f t="shared" si="15"/>
        <v>070.S.a.2</v>
      </c>
      <c r="D237" s="43">
        <v>2.1999999999999999E-2</v>
      </c>
      <c r="E237" s="43">
        <v>1</v>
      </c>
      <c r="F237" s="104"/>
      <c r="L237" s="43" t="e">
        <f t="shared" si="16"/>
        <v>#DIV/0!</v>
      </c>
      <c r="M237" s="43" t="str">
        <f t="shared" si="20"/>
        <v>SG</v>
      </c>
      <c r="N237" s="43" t="s">
        <v>1873</v>
      </c>
      <c r="O237" s="123" t="e">
        <f t="shared" si="17"/>
        <v>#DIV/0!</v>
      </c>
      <c r="P237" t="s">
        <v>32</v>
      </c>
      <c r="Q237" t="str">
        <f t="shared" si="18"/>
        <v>070</v>
      </c>
      <c r="R237" t="str">
        <f t="shared" si="19"/>
        <v>S</v>
      </c>
    </row>
    <row r="238" spans="1:18" s="43" customFormat="1" x14ac:dyDescent="0.2">
      <c r="A238" s="59" t="s">
        <v>1876</v>
      </c>
      <c r="B238" s="73">
        <v>3</v>
      </c>
      <c r="C238" s="43" t="str">
        <f t="shared" si="15"/>
        <v>070.S.a.3</v>
      </c>
      <c r="D238" s="43">
        <v>5.3999999999999999E-2</v>
      </c>
      <c r="E238" s="43">
        <v>1</v>
      </c>
      <c r="F238" s="104"/>
      <c r="L238" s="43" t="e">
        <f t="shared" si="16"/>
        <v>#DIV/0!</v>
      </c>
      <c r="M238" s="43" t="str">
        <f t="shared" si="20"/>
        <v>SG</v>
      </c>
      <c r="N238" s="43" t="s">
        <v>1873</v>
      </c>
      <c r="O238" s="123" t="e">
        <f t="shared" si="17"/>
        <v>#DIV/0!</v>
      </c>
      <c r="P238" t="s">
        <v>32</v>
      </c>
      <c r="Q238" t="str">
        <f t="shared" si="18"/>
        <v>070</v>
      </c>
      <c r="R238" t="str">
        <f t="shared" si="19"/>
        <v>S</v>
      </c>
    </row>
    <row r="239" spans="1:18" s="43" customFormat="1" x14ac:dyDescent="0.2">
      <c r="A239" s="59" t="s">
        <v>1876</v>
      </c>
      <c r="B239" s="73">
        <v>4</v>
      </c>
      <c r="C239" s="43" t="str">
        <f t="shared" si="15"/>
        <v>070.S.a.4</v>
      </c>
      <c r="D239" s="43">
        <v>6.9000000000000006E-2</v>
      </c>
      <c r="E239" s="43">
        <v>4</v>
      </c>
      <c r="F239" s="104"/>
      <c r="L239" s="43" t="e">
        <f t="shared" si="16"/>
        <v>#DIV/0!</v>
      </c>
      <c r="M239" s="43" t="str">
        <f t="shared" si="20"/>
        <v>SG</v>
      </c>
      <c r="N239" s="43" t="s">
        <v>1873</v>
      </c>
      <c r="O239" s="123" t="e">
        <f t="shared" si="17"/>
        <v>#DIV/0!</v>
      </c>
      <c r="P239" t="s">
        <v>32</v>
      </c>
      <c r="Q239" t="str">
        <f t="shared" si="18"/>
        <v>070</v>
      </c>
      <c r="R239" t="str">
        <f t="shared" si="19"/>
        <v>S</v>
      </c>
    </row>
    <row r="240" spans="1:18" s="43" customFormat="1" x14ac:dyDescent="0.2">
      <c r="A240" s="59" t="s">
        <v>1876</v>
      </c>
      <c r="B240" s="73">
        <v>5</v>
      </c>
      <c r="C240" s="43" t="str">
        <f t="shared" si="15"/>
        <v>070.S.a.5</v>
      </c>
      <c r="D240" s="43">
        <v>0.09</v>
      </c>
      <c r="E240" s="43">
        <v>2</v>
      </c>
      <c r="F240" s="104"/>
      <c r="L240" s="43" t="e">
        <f t="shared" si="16"/>
        <v>#DIV/0!</v>
      </c>
      <c r="M240" s="43" t="str">
        <f t="shared" si="20"/>
        <v>SG</v>
      </c>
      <c r="N240" s="43" t="s">
        <v>1873</v>
      </c>
      <c r="O240" s="123" t="e">
        <f t="shared" si="17"/>
        <v>#DIV/0!</v>
      </c>
      <c r="P240" t="s">
        <v>32</v>
      </c>
      <c r="Q240" t="str">
        <f t="shared" si="18"/>
        <v>070</v>
      </c>
      <c r="R240" t="str">
        <f t="shared" si="19"/>
        <v>S</v>
      </c>
    </row>
    <row r="241" spans="1:18" x14ac:dyDescent="0.2">
      <c r="A241" s="6" t="s">
        <v>1876</v>
      </c>
      <c r="B241" s="40">
        <v>6</v>
      </c>
      <c r="C241" t="str">
        <f t="shared" si="15"/>
        <v>070.S.a.6</v>
      </c>
      <c r="D241">
        <v>8.5999999999999993E-2</v>
      </c>
      <c r="E241">
        <v>5</v>
      </c>
      <c r="F241" s="104">
        <v>6</v>
      </c>
      <c r="G241">
        <v>4</v>
      </c>
      <c r="H241">
        <v>12</v>
      </c>
      <c r="I241">
        <v>5</v>
      </c>
      <c r="J241">
        <v>3</v>
      </c>
      <c r="K241">
        <v>11</v>
      </c>
      <c r="L241">
        <f t="shared" si="16"/>
        <v>7</v>
      </c>
      <c r="M241" s="43" t="str">
        <f t="shared" si="20"/>
        <v>SG</v>
      </c>
      <c r="O241" s="123">
        <f t="shared" si="17"/>
        <v>35000000</v>
      </c>
      <c r="P241" t="s">
        <v>32</v>
      </c>
      <c r="Q241" t="str">
        <f t="shared" si="18"/>
        <v>070</v>
      </c>
      <c r="R241" t="str">
        <f t="shared" si="19"/>
        <v>S</v>
      </c>
    </row>
    <row r="242" spans="1:18" x14ac:dyDescent="0.2">
      <c r="A242" t="s">
        <v>1877</v>
      </c>
      <c r="B242" s="39">
        <v>1</v>
      </c>
      <c r="C242" t="str">
        <f t="shared" si="15"/>
        <v>070.S.b.1</v>
      </c>
      <c r="D242">
        <v>0.04</v>
      </c>
      <c r="E242">
        <v>1</v>
      </c>
      <c r="F242" s="104">
        <v>4</v>
      </c>
      <c r="G242">
        <v>19</v>
      </c>
      <c r="H242">
        <v>26</v>
      </c>
      <c r="I242">
        <v>30</v>
      </c>
      <c r="J242">
        <v>23</v>
      </c>
      <c r="K242">
        <v>27</v>
      </c>
      <c r="L242">
        <f t="shared" si="16"/>
        <v>25</v>
      </c>
      <c r="M242" s="43" t="str">
        <f t="shared" si="20"/>
        <v>SG</v>
      </c>
      <c r="O242" s="123">
        <f t="shared" si="17"/>
        <v>1250000</v>
      </c>
      <c r="P242" t="s">
        <v>32</v>
      </c>
      <c r="Q242" t="str">
        <f t="shared" si="18"/>
        <v>070</v>
      </c>
      <c r="R242" t="str">
        <f t="shared" si="19"/>
        <v>S</v>
      </c>
    </row>
    <row r="243" spans="1:18" x14ac:dyDescent="0.2">
      <c r="A243" t="s">
        <v>1877</v>
      </c>
      <c r="B243" s="39">
        <v>2</v>
      </c>
      <c r="C243" t="str">
        <f t="shared" si="15"/>
        <v>070.S.b.2</v>
      </c>
      <c r="D243">
        <v>4.2999999999999997E-2</v>
      </c>
      <c r="E243">
        <v>1</v>
      </c>
      <c r="F243" s="104">
        <v>4</v>
      </c>
      <c r="G243">
        <v>11</v>
      </c>
      <c r="H243">
        <v>11</v>
      </c>
      <c r="I243">
        <v>11</v>
      </c>
      <c r="J243">
        <v>15</v>
      </c>
      <c r="K243">
        <v>5</v>
      </c>
      <c r="L243">
        <f t="shared" si="16"/>
        <v>10.6</v>
      </c>
      <c r="M243" s="43" t="str">
        <f t="shared" si="20"/>
        <v>SG</v>
      </c>
      <c r="O243" s="123">
        <f t="shared" si="17"/>
        <v>530000</v>
      </c>
      <c r="P243" t="s">
        <v>32</v>
      </c>
      <c r="Q243" t="str">
        <f t="shared" si="18"/>
        <v>070</v>
      </c>
      <c r="R243" t="str">
        <f t="shared" si="19"/>
        <v>S</v>
      </c>
    </row>
    <row r="244" spans="1:18" x14ac:dyDescent="0.2">
      <c r="A244" s="6" t="s">
        <v>1877</v>
      </c>
      <c r="B244" s="40">
        <v>3</v>
      </c>
      <c r="C244" t="str">
        <f t="shared" si="15"/>
        <v>070.S.b.3</v>
      </c>
      <c r="D244">
        <v>4.2000000000000003E-2</v>
      </c>
      <c r="E244">
        <v>2</v>
      </c>
      <c r="F244" s="104">
        <v>4</v>
      </c>
      <c r="G244">
        <v>9</v>
      </c>
      <c r="H244">
        <v>18</v>
      </c>
      <c r="I244">
        <v>16</v>
      </c>
      <c r="J244">
        <v>10</v>
      </c>
      <c r="K244">
        <v>11</v>
      </c>
      <c r="L244">
        <f t="shared" si="16"/>
        <v>12.8</v>
      </c>
      <c r="M244" s="43" t="str">
        <f t="shared" si="20"/>
        <v>SG</v>
      </c>
      <c r="O244" s="123">
        <f t="shared" si="17"/>
        <v>640000</v>
      </c>
      <c r="P244" t="s">
        <v>32</v>
      </c>
      <c r="Q244" t="str">
        <f t="shared" si="18"/>
        <v>070</v>
      </c>
      <c r="R244" t="str">
        <f t="shared" si="19"/>
        <v>S</v>
      </c>
    </row>
    <row r="245" spans="1:18" x14ac:dyDescent="0.2">
      <c r="A245" s="6" t="s">
        <v>1877</v>
      </c>
      <c r="B245" s="40">
        <v>4</v>
      </c>
      <c r="C245" t="str">
        <f t="shared" si="15"/>
        <v>070.S.b.4</v>
      </c>
      <c r="D245">
        <v>4.9000000000000002E-2</v>
      </c>
      <c r="E245">
        <v>2</v>
      </c>
      <c r="F245" s="104">
        <v>6</v>
      </c>
      <c r="G245">
        <v>46</v>
      </c>
      <c r="H245">
        <v>53</v>
      </c>
      <c r="I245">
        <v>41</v>
      </c>
      <c r="J245">
        <v>45</v>
      </c>
      <c r="K245">
        <v>37</v>
      </c>
      <c r="L245">
        <f t="shared" si="16"/>
        <v>44.4</v>
      </c>
      <c r="M245" s="43" t="str">
        <f t="shared" si="20"/>
        <v>SG</v>
      </c>
      <c r="O245" s="123">
        <f t="shared" si="17"/>
        <v>222000000</v>
      </c>
      <c r="P245" t="s">
        <v>32</v>
      </c>
      <c r="Q245" t="str">
        <f t="shared" si="18"/>
        <v>070</v>
      </c>
      <c r="R245" t="str">
        <f t="shared" si="19"/>
        <v>S</v>
      </c>
    </row>
    <row r="246" spans="1:18" x14ac:dyDescent="0.2">
      <c r="A246" s="6" t="s">
        <v>1877</v>
      </c>
      <c r="B246" s="40">
        <v>5</v>
      </c>
      <c r="C246" t="str">
        <f t="shared" si="15"/>
        <v>070.S.b.5</v>
      </c>
      <c r="D246">
        <v>5.8999999999999997E-2</v>
      </c>
      <c r="E246">
        <v>3</v>
      </c>
      <c r="L246" t="e">
        <f t="shared" si="16"/>
        <v>#DIV/0!</v>
      </c>
      <c r="M246" s="43" t="str">
        <f t="shared" si="20"/>
        <v>SG</v>
      </c>
      <c r="O246" s="123" t="e">
        <f t="shared" si="17"/>
        <v>#DIV/0!</v>
      </c>
      <c r="P246" t="s">
        <v>32</v>
      </c>
      <c r="Q246" t="str">
        <f t="shared" si="18"/>
        <v>070</v>
      </c>
      <c r="R246" t="str">
        <f t="shared" si="19"/>
        <v>S</v>
      </c>
    </row>
    <row r="247" spans="1:18" x14ac:dyDescent="0.2">
      <c r="A247" s="6" t="s">
        <v>1877</v>
      </c>
      <c r="B247" s="40">
        <v>6</v>
      </c>
      <c r="C247" t="str">
        <f t="shared" si="15"/>
        <v>070.S.b.6</v>
      </c>
      <c r="D247">
        <v>0.112</v>
      </c>
      <c r="E247">
        <v>3</v>
      </c>
      <c r="L247" t="e">
        <f t="shared" si="16"/>
        <v>#DIV/0!</v>
      </c>
      <c r="M247" s="43" t="str">
        <f t="shared" si="20"/>
        <v>SG</v>
      </c>
      <c r="O247" s="123" t="e">
        <f t="shared" si="17"/>
        <v>#DIV/0!</v>
      </c>
      <c r="P247" t="s">
        <v>32</v>
      </c>
      <c r="Q247" t="str">
        <f t="shared" si="18"/>
        <v>070</v>
      </c>
      <c r="R247" t="str">
        <f t="shared" si="19"/>
        <v>S</v>
      </c>
    </row>
    <row r="248" spans="1:18" x14ac:dyDescent="0.2">
      <c r="A248" t="s">
        <v>1878</v>
      </c>
      <c r="B248" s="39">
        <v>1</v>
      </c>
      <c r="C248" t="str">
        <f t="shared" si="15"/>
        <v>070.S.c.1</v>
      </c>
      <c r="D248">
        <v>3.1E-2</v>
      </c>
      <c r="E248">
        <v>1</v>
      </c>
      <c r="F248" s="104">
        <v>4</v>
      </c>
      <c r="G248">
        <v>21</v>
      </c>
      <c r="H248">
        <v>36</v>
      </c>
      <c r="I248">
        <v>10</v>
      </c>
      <c r="J248">
        <v>8</v>
      </c>
      <c r="K248">
        <v>10</v>
      </c>
      <c r="L248">
        <f t="shared" si="16"/>
        <v>17</v>
      </c>
      <c r="M248" s="43" t="str">
        <f t="shared" si="20"/>
        <v>SG</v>
      </c>
      <c r="O248" s="123">
        <f t="shared" si="17"/>
        <v>850000</v>
      </c>
      <c r="P248" t="s">
        <v>32</v>
      </c>
      <c r="Q248" t="str">
        <f t="shared" si="18"/>
        <v>070</v>
      </c>
      <c r="R248" t="str">
        <f t="shared" si="19"/>
        <v>S</v>
      </c>
    </row>
    <row r="249" spans="1:18" x14ac:dyDescent="0.2">
      <c r="A249" t="s">
        <v>1878</v>
      </c>
      <c r="B249" s="39">
        <v>2</v>
      </c>
      <c r="C249" t="str">
        <f t="shared" si="15"/>
        <v>070.S.c.2</v>
      </c>
      <c r="D249">
        <v>0.04</v>
      </c>
      <c r="E249">
        <v>1</v>
      </c>
      <c r="F249" s="104">
        <v>4</v>
      </c>
      <c r="G249">
        <v>31</v>
      </c>
      <c r="H249">
        <v>41</v>
      </c>
      <c r="I249">
        <v>43</v>
      </c>
      <c r="J249">
        <v>43</v>
      </c>
      <c r="K249">
        <v>55</v>
      </c>
      <c r="L249">
        <f t="shared" si="16"/>
        <v>42.6</v>
      </c>
      <c r="M249" s="43" t="str">
        <f t="shared" si="20"/>
        <v>SG</v>
      </c>
      <c r="O249" s="123">
        <f t="shared" si="17"/>
        <v>2130000</v>
      </c>
      <c r="P249" t="s">
        <v>32</v>
      </c>
      <c r="Q249" t="str">
        <f t="shared" si="18"/>
        <v>070</v>
      </c>
      <c r="R249" t="str">
        <f t="shared" si="19"/>
        <v>S</v>
      </c>
    </row>
    <row r="250" spans="1:18" x14ac:dyDescent="0.2">
      <c r="A250" s="6" t="s">
        <v>1878</v>
      </c>
      <c r="B250" s="40">
        <v>3</v>
      </c>
      <c r="C250" t="str">
        <f t="shared" si="15"/>
        <v>070.S.c.3</v>
      </c>
      <c r="D250">
        <v>4.8000000000000001E-2</v>
      </c>
      <c r="E250">
        <v>1</v>
      </c>
      <c r="F250" s="104">
        <v>4</v>
      </c>
      <c r="G250">
        <v>12</v>
      </c>
      <c r="H250">
        <v>5</v>
      </c>
      <c r="I250">
        <v>6</v>
      </c>
      <c r="J250">
        <v>7</v>
      </c>
      <c r="K250">
        <v>8</v>
      </c>
      <c r="L250">
        <f t="shared" si="16"/>
        <v>7.6</v>
      </c>
      <c r="M250" s="43" t="str">
        <f t="shared" si="20"/>
        <v>SG</v>
      </c>
      <c r="O250" s="123">
        <f t="shared" si="17"/>
        <v>380000</v>
      </c>
      <c r="P250" t="s">
        <v>32</v>
      </c>
      <c r="Q250" t="str">
        <f t="shared" si="18"/>
        <v>070</v>
      </c>
      <c r="R250" t="str">
        <f t="shared" si="19"/>
        <v>S</v>
      </c>
    </row>
    <row r="251" spans="1:18" x14ac:dyDescent="0.2">
      <c r="A251" s="6" t="s">
        <v>1878</v>
      </c>
      <c r="B251" s="40">
        <v>4</v>
      </c>
      <c r="C251" t="str">
        <f t="shared" si="15"/>
        <v>070.S.c.4</v>
      </c>
      <c r="D251">
        <v>5.5E-2</v>
      </c>
      <c r="E251">
        <v>2</v>
      </c>
      <c r="F251" s="104">
        <v>6</v>
      </c>
      <c r="G251">
        <v>4</v>
      </c>
      <c r="H251">
        <v>3</v>
      </c>
      <c r="I251">
        <v>7</v>
      </c>
      <c r="J251">
        <v>6</v>
      </c>
      <c r="K251">
        <v>4</v>
      </c>
      <c r="L251">
        <f t="shared" si="16"/>
        <v>4.8</v>
      </c>
      <c r="M251" s="43" t="str">
        <f t="shared" si="20"/>
        <v>SG</v>
      </c>
      <c r="O251" s="123">
        <f t="shared" si="17"/>
        <v>24000000</v>
      </c>
      <c r="P251" t="s">
        <v>32</v>
      </c>
      <c r="Q251" t="str">
        <f t="shared" si="18"/>
        <v>070</v>
      </c>
      <c r="R251" t="str">
        <f t="shared" si="19"/>
        <v>S</v>
      </c>
    </row>
    <row r="252" spans="1:18" s="43" customFormat="1" x14ac:dyDescent="0.2">
      <c r="A252" s="59" t="s">
        <v>1878</v>
      </c>
      <c r="B252" s="73">
        <v>5</v>
      </c>
      <c r="C252" s="43" t="str">
        <f t="shared" si="15"/>
        <v>070.S.c.5</v>
      </c>
      <c r="D252" s="43">
        <v>0.129</v>
      </c>
      <c r="E252" s="43" t="s">
        <v>1740</v>
      </c>
      <c r="F252" s="104"/>
      <c r="L252" s="43" t="e">
        <f t="shared" si="16"/>
        <v>#DIV/0!</v>
      </c>
      <c r="M252" s="43" t="str">
        <f t="shared" si="20"/>
        <v>SG</v>
      </c>
      <c r="N252" s="43" t="s">
        <v>1879</v>
      </c>
      <c r="O252" s="123" t="e">
        <f t="shared" si="17"/>
        <v>#DIV/0!</v>
      </c>
      <c r="P252" t="s">
        <v>32</v>
      </c>
      <c r="Q252" t="str">
        <f t="shared" si="18"/>
        <v>070</v>
      </c>
      <c r="R252" t="str">
        <f t="shared" si="19"/>
        <v>S</v>
      </c>
    </row>
    <row r="253" spans="1:18" s="43" customFormat="1" x14ac:dyDescent="0.2">
      <c r="A253" s="59" t="s">
        <v>1878</v>
      </c>
      <c r="B253" s="73">
        <v>6</v>
      </c>
      <c r="C253" s="43" t="str">
        <f t="shared" si="15"/>
        <v>070.S.c.6</v>
      </c>
      <c r="D253" s="43">
        <v>0.156</v>
      </c>
      <c r="E253" s="43" t="s">
        <v>1740</v>
      </c>
      <c r="F253" s="104"/>
      <c r="L253" s="43" t="e">
        <f t="shared" si="16"/>
        <v>#DIV/0!</v>
      </c>
      <c r="M253" s="43" t="str">
        <f t="shared" si="20"/>
        <v>SG</v>
      </c>
      <c r="N253" s="43" t="s">
        <v>1879</v>
      </c>
      <c r="O253" s="123" t="e">
        <f t="shared" si="17"/>
        <v>#DIV/0!</v>
      </c>
      <c r="P253" t="s">
        <v>32</v>
      </c>
      <c r="Q253" t="str">
        <f t="shared" si="18"/>
        <v>070</v>
      </c>
      <c r="R253" t="str">
        <f t="shared" si="19"/>
        <v>S</v>
      </c>
    </row>
    <row r="254" spans="1:18" x14ac:dyDescent="0.2">
      <c r="A254" t="s">
        <v>1880</v>
      </c>
      <c r="B254" s="39">
        <v>1</v>
      </c>
      <c r="C254" t="str">
        <f t="shared" si="15"/>
        <v>070.V.a.1</v>
      </c>
      <c r="D254">
        <v>1.9E-2</v>
      </c>
      <c r="E254">
        <v>1</v>
      </c>
      <c r="F254" s="104">
        <v>3</v>
      </c>
      <c r="G254">
        <v>1</v>
      </c>
      <c r="H254">
        <v>1</v>
      </c>
      <c r="I254">
        <v>2</v>
      </c>
      <c r="J254">
        <v>1</v>
      </c>
      <c r="K254">
        <v>1</v>
      </c>
      <c r="L254">
        <f t="shared" si="16"/>
        <v>1.2</v>
      </c>
      <c r="M254" s="43" t="s">
        <v>72</v>
      </c>
      <c r="O254" s="123">
        <f t="shared" si="17"/>
        <v>6000</v>
      </c>
      <c r="P254" t="s">
        <v>32</v>
      </c>
      <c r="Q254" t="str">
        <f t="shared" si="18"/>
        <v>070</v>
      </c>
      <c r="R254" t="str">
        <f t="shared" si="19"/>
        <v>V</v>
      </c>
    </row>
    <row r="255" spans="1:18" x14ac:dyDescent="0.2">
      <c r="A255" t="s">
        <v>1880</v>
      </c>
      <c r="B255" s="39">
        <v>2</v>
      </c>
      <c r="C255" t="str">
        <f t="shared" si="15"/>
        <v>070.V.a.2</v>
      </c>
      <c r="D255">
        <v>2.1000000000000001E-2</v>
      </c>
      <c r="E255">
        <v>2</v>
      </c>
      <c r="L255" t="e">
        <f t="shared" si="16"/>
        <v>#DIV/0!</v>
      </c>
      <c r="M255" s="43" t="str">
        <f t="shared" si="20"/>
        <v>MAG</v>
      </c>
      <c r="N255" t="s">
        <v>1881</v>
      </c>
      <c r="O255" s="123" t="e">
        <f t="shared" si="17"/>
        <v>#DIV/0!</v>
      </c>
      <c r="P255" t="s">
        <v>32</v>
      </c>
      <c r="Q255" t="str">
        <f t="shared" si="18"/>
        <v>070</v>
      </c>
      <c r="R255" t="str">
        <f t="shared" si="19"/>
        <v>V</v>
      </c>
    </row>
    <row r="256" spans="1:18" s="43" customFormat="1" x14ac:dyDescent="0.2">
      <c r="A256" s="59" t="s">
        <v>1880</v>
      </c>
      <c r="B256" s="73">
        <v>3</v>
      </c>
      <c r="C256" s="43" t="str">
        <f t="shared" si="15"/>
        <v>070.V.a.3</v>
      </c>
      <c r="D256" s="43">
        <v>2.5999999999999999E-2</v>
      </c>
      <c r="E256" s="43">
        <v>1</v>
      </c>
      <c r="F256" s="104"/>
      <c r="L256" s="43" t="e">
        <f t="shared" si="16"/>
        <v>#DIV/0!</v>
      </c>
      <c r="M256" s="43" t="str">
        <f t="shared" si="20"/>
        <v>MAG</v>
      </c>
      <c r="N256" s="43" t="s">
        <v>1873</v>
      </c>
      <c r="O256" s="123" t="e">
        <f t="shared" si="17"/>
        <v>#DIV/0!</v>
      </c>
      <c r="P256" t="s">
        <v>32</v>
      </c>
      <c r="Q256" t="str">
        <f t="shared" si="18"/>
        <v>070</v>
      </c>
      <c r="R256" t="str">
        <f t="shared" si="19"/>
        <v>V</v>
      </c>
    </row>
    <row r="257" spans="1:18" s="43" customFormat="1" x14ac:dyDescent="0.2">
      <c r="A257" s="59" t="s">
        <v>1880</v>
      </c>
      <c r="B257" s="73">
        <v>4</v>
      </c>
      <c r="C257" s="43" t="str">
        <f t="shared" si="15"/>
        <v>070.V.a.4</v>
      </c>
      <c r="D257" s="43">
        <v>4.1000000000000002E-2</v>
      </c>
      <c r="E257" s="43">
        <v>2</v>
      </c>
      <c r="F257" s="104"/>
      <c r="L257" s="43" t="e">
        <f t="shared" si="16"/>
        <v>#DIV/0!</v>
      </c>
      <c r="M257" s="43" t="str">
        <f t="shared" si="20"/>
        <v>MAG</v>
      </c>
      <c r="N257" s="43" t="s">
        <v>1873</v>
      </c>
      <c r="O257" s="123" t="e">
        <f t="shared" si="17"/>
        <v>#DIV/0!</v>
      </c>
      <c r="P257" t="s">
        <v>32</v>
      </c>
      <c r="Q257" t="str">
        <f t="shared" si="18"/>
        <v>070</v>
      </c>
      <c r="R257" t="str">
        <f t="shared" si="19"/>
        <v>V</v>
      </c>
    </row>
    <row r="258" spans="1:18" x14ac:dyDescent="0.2">
      <c r="A258" s="6" t="s">
        <v>1880</v>
      </c>
      <c r="B258" s="40">
        <v>5</v>
      </c>
      <c r="C258" t="str">
        <f t="shared" ref="C258:C321" si="21">A258&amp;"."&amp;B258</f>
        <v>070.V.a.5</v>
      </c>
      <c r="D258">
        <v>4.2000000000000003E-2</v>
      </c>
      <c r="E258">
        <v>2</v>
      </c>
      <c r="F258" s="104">
        <v>6</v>
      </c>
      <c r="G258">
        <v>7</v>
      </c>
      <c r="H258">
        <v>12</v>
      </c>
      <c r="I258">
        <v>10</v>
      </c>
      <c r="J258">
        <v>15</v>
      </c>
      <c r="K258">
        <v>10</v>
      </c>
      <c r="L258">
        <f t="shared" si="16"/>
        <v>10.8</v>
      </c>
      <c r="M258" t="str">
        <f t="shared" si="20"/>
        <v>MAG</v>
      </c>
      <c r="O258" s="123">
        <f t="shared" si="17"/>
        <v>54000000</v>
      </c>
      <c r="P258" t="s">
        <v>32</v>
      </c>
      <c r="Q258" t="str">
        <f t="shared" si="18"/>
        <v>070</v>
      </c>
      <c r="R258" t="str">
        <f t="shared" si="19"/>
        <v>V</v>
      </c>
    </row>
    <row r="259" spans="1:18" s="43" customFormat="1" x14ac:dyDescent="0.2">
      <c r="A259" s="59" t="s">
        <v>1880</v>
      </c>
      <c r="B259" s="73">
        <v>6</v>
      </c>
      <c r="C259" s="43" t="str">
        <f t="shared" si="21"/>
        <v>070.V.a.6</v>
      </c>
      <c r="D259" s="43">
        <v>6.2E-2</v>
      </c>
      <c r="E259" s="43">
        <v>2</v>
      </c>
      <c r="F259" s="104"/>
      <c r="L259" s="43" t="e">
        <f t="shared" ref="L259:L322" si="22">AVERAGE(G259:K259)</f>
        <v>#DIV/0!</v>
      </c>
      <c r="M259" s="43" t="str">
        <f t="shared" si="20"/>
        <v>MAG</v>
      </c>
      <c r="N259" s="43" t="s">
        <v>1873</v>
      </c>
      <c r="O259" s="123" t="e">
        <f t="shared" ref="O259:O322" si="23">(L259/2)*10^(F259+1)</f>
        <v>#DIV/0!</v>
      </c>
      <c r="P259" t="s">
        <v>32</v>
      </c>
      <c r="Q259" t="str">
        <f t="shared" ref="Q259:Q322" si="24">LEFT(A259,3)</f>
        <v>070</v>
      </c>
      <c r="R259" t="str">
        <f t="shared" ref="R259:R322" si="25">LEFT(RIGHT(A259,3),1)</f>
        <v>V</v>
      </c>
    </row>
    <row r="260" spans="1:18" x14ac:dyDescent="0.2">
      <c r="A260" t="s">
        <v>1882</v>
      </c>
      <c r="B260" s="39">
        <v>1</v>
      </c>
      <c r="C260" t="str">
        <f t="shared" si="21"/>
        <v>070.V.b.1</v>
      </c>
      <c r="D260">
        <v>1.7000000000000001E-2</v>
      </c>
      <c r="E260">
        <v>1</v>
      </c>
      <c r="F260" s="104">
        <v>4</v>
      </c>
      <c r="G260">
        <v>60</v>
      </c>
      <c r="H260">
        <v>52</v>
      </c>
      <c r="I260">
        <v>55</v>
      </c>
      <c r="J260">
        <v>45</v>
      </c>
      <c r="K260">
        <v>56</v>
      </c>
      <c r="L260">
        <f t="shared" si="22"/>
        <v>53.6</v>
      </c>
      <c r="M260" t="str">
        <f t="shared" si="20"/>
        <v>MAG</v>
      </c>
      <c r="O260" s="123">
        <f t="shared" si="23"/>
        <v>2680000</v>
      </c>
      <c r="P260" t="s">
        <v>32</v>
      </c>
      <c r="Q260" t="str">
        <f t="shared" si="24"/>
        <v>070</v>
      </c>
      <c r="R260" t="str">
        <f t="shared" si="25"/>
        <v>V</v>
      </c>
    </row>
    <row r="261" spans="1:18" x14ac:dyDescent="0.2">
      <c r="A261" t="s">
        <v>1882</v>
      </c>
      <c r="B261" s="39">
        <v>2</v>
      </c>
      <c r="C261" t="str">
        <f t="shared" si="21"/>
        <v>070.V.b.2</v>
      </c>
      <c r="D261">
        <v>1.9E-2</v>
      </c>
      <c r="E261">
        <v>2</v>
      </c>
      <c r="L261" t="e">
        <f t="shared" si="22"/>
        <v>#DIV/0!</v>
      </c>
      <c r="M261" s="43" t="str">
        <f t="shared" si="20"/>
        <v>MAG</v>
      </c>
      <c r="N261" t="s">
        <v>1883</v>
      </c>
      <c r="O261" s="123" t="e">
        <f t="shared" si="23"/>
        <v>#DIV/0!</v>
      </c>
      <c r="P261" t="s">
        <v>32</v>
      </c>
      <c r="Q261" t="str">
        <f t="shared" si="24"/>
        <v>070</v>
      </c>
      <c r="R261" t="str">
        <f t="shared" si="25"/>
        <v>V</v>
      </c>
    </row>
    <row r="262" spans="1:18" x14ac:dyDescent="0.2">
      <c r="A262" s="6" t="s">
        <v>1882</v>
      </c>
      <c r="B262" s="40">
        <v>3</v>
      </c>
      <c r="C262" t="str">
        <f t="shared" si="21"/>
        <v>070.V.b.3</v>
      </c>
      <c r="D262">
        <v>2.3E-2</v>
      </c>
      <c r="E262">
        <v>1</v>
      </c>
      <c r="L262" t="e">
        <f t="shared" si="22"/>
        <v>#DIV/0!</v>
      </c>
      <c r="M262" s="43" t="str">
        <f t="shared" si="20"/>
        <v>MAG</v>
      </c>
      <c r="N262" t="s">
        <v>1884</v>
      </c>
      <c r="O262" s="123" t="e">
        <f t="shared" si="23"/>
        <v>#DIV/0!</v>
      </c>
      <c r="P262" t="s">
        <v>32</v>
      </c>
      <c r="Q262" t="str">
        <f t="shared" si="24"/>
        <v>070</v>
      </c>
      <c r="R262" t="str">
        <f t="shared" si="25"/>
        <v>V</v>
      </c>
    </row>
    <row r="263" spans="1:18" x14ac:dyDescent="0.2">
      <c r="A263" s="6" t="s">
        <v>1882</v>
      </c>
      <c r="B263" s="40">
        <v>4</v>
      </c>
      <c r="C263" t="str">
        <f t="shared" si="21"/>
        <v>070.V.b.4</v>
      </c>
      <c r="D263">
        <v>1.7999999999999999E-2</v>
      </c>
      <c r="E263">
        <v>1</v>
      </c>
      <c r="L263" t="e">
        <f t="shared" si="22"/>
        <v>#DIV/0!</v>
      </c>
      <c r="M263" s="43" t="str">
        <f t="shared" si="20"/>
        <v>MAG</v>
      </c>
      <c r="N263" t="s">
        <v>1885</v>
      </c>
      <c r="O263" s="123" t="e">
        <f t="shared" si="23"/>
        <v>#DIV/0!</v>
      </c>
      <c r="P263" t="s">
        <v>32</v>
      </c>
      <c r="Q263" t="str">
        <f t="shared" si="24"/>
        <v>070</v>
      </c>
      <c r="R263" t="str">
        <f t="shared" si="25"/>
        <v>V</v>
      </c>
    </row>
    <row r="264" spans="1:18" s="43" customFormat="1" x14ac:dyDescent="0.2">
      <c r="A264" s="59" t="s">
        <v>1882</v>
      </c>
      <c r="B264" s="73">
        <v>5</v>
      </c>
      <c r="C264" s="43" t="str">
        <f t="shared" si="21"/>
        <v>070.V.b.5</v>
      </c>
      <c r="D264" s="43">
        <v>2.8000000000000001E-2</v>
      </c>
      <c r="E264" s="43">
        <v>3</v>
      </c>
      <c r="F264" s="104"/>
      <c r="L264" s="43" t="e">
        <f t="shared" si="22"/>
        <v>#DIV/0!</v>
      </c>
      <c r="M264" s="43" t="str">
        <f t="shared" si="20"/>
        <v>MAG</v>
      </c>
      <c r="N264" s="43" t="s">
        <v>1873</v>
      </c>
      <c r="O264" s="123" t="e">
        <f t="shared" si="23"/>
        <v>#DIV/0!</v>
      </c>
      <c r="P264" t="s">
        <v>32</v>
      </c>
      <c r="Q264" t="str">
        <f t="shared" si="24"/>
        <v>070</v>
      </c>
      <c r="R264" t="str">
        <f t="shared" si="25"/>
        <v>V</v>
      </c>
    </row>
    <row r="265" spans="1:18" x14ac:dyDescent="0.2">
      <c r="A265" s="6" t="s">
        <v>1882</v>
      </c>
      <c r="B265" s="40">
        <v>6</v>
      </c>
      <c r="C265" t="str">
        <f t="shared" si="21"/>
        <v>070.V.b.6</v>
      </c>
      <c r="D265">
        <v>3.5999999999999997E-2</v>
      </c>
      <c r="E265">
        <v>1</v>
      </c>
      <c r="L265" t="e">
        <f t="shared" si="22"/>
        <v>#DIV/0!</v>
      </c>
      <c r="M265" s="43" t="str">
        <f t="shared" si="20"/>
        <v>MAG</v>
      </c>
      <c r="N265" t="s">
        <v>1886</v>
      </c>
      <c r="O265" s="123" t="e">
        <f t="shared" si="23"/>
        <v>#DIV/0!</v>
      </c>
      <c r="P265" t="s">
        <v>32</v>
      </c>
      <c r="Q265" t="str">
        <f t="shared" si="24"/>
        <v>070</v>
      </c>
      <c r="R265" t="str">
        <f t="shared" si="25"/>
        <v>V</v>
      </c>
    </row>
    <row r="266" spans="1:18" x14ac:dyDescent="0.2">
      <c r="A266" t="s">
        <v>1887</v>
      </c>
      <c r="B266" s="39">
        <v>1</v>
      </c>
      <c r="C266" t="str">
        <f t="shared" si="21"/>
        <v>070.V.c.1</v>
      </c>
      <c r="D266">
        <v>2.1999999999999999E-2</v>
      </c>
      <c r="E266">
        <v>1</v>
      </c>
      <c r="F266" s="104">
        <v>3</v>
      </c>
      <c r="G266">
        <v>3</v>
      </c>
      <c r="H266">
        <v>3</v>
      </c>
      <c r="I266">
        <v>1</v>
      </c>
      <c r="J266">
        <v>3</v>
      </c>
      <c r="K266">
        <v>1</v>
      </c>
      <c r="L266">
        <f t="shared" si="22"/>
        <v>2.2000000000000002</v>
      </c>
      <c r="M266" s="43" t="str">
        <f t="shared" si="20"/>
        <v>MAG</v>
      </c>
      <c r="O266" s="123">
        <f t="shared" si="23"/>
        <v>11000</v>
      </c>
      <c r="P266" t="s">
        <v>32</v>
      </c>
      <c r="Q266" t="str">
        <f t="shared" si="24"/>
        <v>070</v>
      </c>
      <c r="R266" t="str">
        <f t="shared" si="25"/>
        <v>V</v>
      </c>
    </row>
    <row r="267" spans="1:18" s="43" customFormat="1" x14ac:dyDescent="0.2">
      <c r="A267" s="43" t="s">
        <v>1887</v>
      </c>
      <c r="B267" s="75">
        <v>2</v>
      </c>
      <c r="C267" s="43" t="str">
        <f t="shared" si="21"/>
        <v>070.V.c.2</v>
      </c>
      <c r="D267" s="43">
        <v>1.6E-2</v>
      </c>
      <c r="E267" s="43">
        <v>1</v>
      </c>
      <c r="F267" s="104"/>
      <c r="L267" s="43" t="e">
        <f t="shared" si="22"/>
        <v>#DIV/0!</v>
      </c>
      <c r="M267" s="43" t="str">
        <f t="shared" si="20"/>
        <v>MAG</v>
      </c>
      <c r="N267" s="43" t="s">
        <v>1873</v>
      </c>
      <c r="O267" s="123" t="e">
        <f t="shared" si="23"/>
        <v>#DIV/0!</v>
      </c>
      <c r="P267" t="s">
        <v>32</v>
      </c>
      <c r="Q267" t="str">
        <f t="shared" si="24"/>
        <v>070</v>
      </c>
      <c r="R267" t="str">
        <f t="shared" si="25"/>
        <v>V</v>
      </c>
    </row>
    <row r="268" spans="1:18" s="43" customFormat="1" x14ac:dyDescent="0.2">
      <c r="A268" s="59" t="s">
        <v>1887</v>
      </c>
      <c r="B268" s="73">
        <v>3</v>
      </c>
      <c r="C268" s="43" t="str">
        <f t="shared" si="21"/>
        <v>070.V.c.3</v>
      </c>
      <c r="D268" s="43">
        <v>4.3999999999999997E-2</v>
      </c>
      <c r="E268" s="43">
        <v>1</v>
      </c>
      <c r="F268" s="104"/>
      <c r="L268" s="43" t="e">
        <f t="shared" si="22"/>
        <v>#DIV/0!</v>
      </c>
      <c r="M268" s="43" t="str">
        <f t="shared" si="20"/>
        <v>MAG</v>
      </c>
      <c r="N268" s="43" t="s">
        <v>1873</v>
      </c>
      <c r="O268" s="123" t="e">
        <f t="shared" si="23"/>
        <v>#DIV/0!</v>
      </c>
      <c r="P268" t="s">
        <v>32</v>
      </c>
      <c r="Q268" t="str">
        <f t="shared" si="24"/>
        <v>070</v>
      </c>
      <c r="R268" t="str">
        <f t="shared" si="25"/>
        <v>V</v>
      </c>
    </row>
    <row r="269" spans="1:18" x14ac:dyDescent="0.2">
      <c r="A269" s="6" t="s">
        <v>1887</v>
      </c>
      <c r="B269" s="40">
        <v>4</v>
      </c>
      <c r="C269" t="str">
        <f t="shared" si="21"/>
        <v>070.V.c.4</v>
      </c>
      <c r="D269">
        <v>5.1999999999999998E-2</v>
      </c>
      <c r="E269">
        <v>3</v>
      </c>
      <c r="L269" t="e">
        <f t="shared" si="22"/>
        <v>#DIV/0!</v>
      </c>
      <c r="M269" s="43" t="str">
        <f t="shared" si="20"/>
        <v>MAG</v>
      </c>
      <c r="N269" t="s">
        <v>1888</v>
      </c>
      <c r="O269" s="123" t="e">
        <f t="shared" si="23"/>
        <v>#DIV/0!</v>
      </c>
      <c r="P269" t="s">
        <v>32</v>
      </c>
      <c r="Q269" t="str">
        <f t="shared" si="24"/>
        <v>070</v>
      </c>
      <c r="R269" t="str">
        <f t="shared" si="25"/>
        <v>V</v>
      </c>
    </row>
    <row r="270" spans="1:18" s="43" customFormat="1" x14ac:dyDescent="0.2">
      <c r="A270" s="59" t="s">
        <v>1887</v>
      </c>
      <c r="B270" s="73">
        <v>5</v>
      </c>
      <c r="C270" s="43" t="str">
        <f t="shared" si="21"/>
        <v>070.V.c.5</v>
      </c>
      <c r="D270" s="43">
        <v>7.8E-2</v>
      </c>
      <c r="E270" s="43">
        <v>3</v>
      </c>
      <c r="F270" s="104"/>
      <c r="L270" s="43" t="e">
        <f t="shared" si="22"/>
        <v>#DIV/0!</v>
      </c>
      <c r="M270" s="43" t="str">
        <f t="shared" si="20"/>
        <v>MAG</v>
      </c>
      <c r="N270" s="43" t="s">
        <v>1873</v>
      </c>
      <c r="O270" s="123" t="e">
        <f t="shared" si="23"/>
        <v>#DIV/0!</v>
      </c>
      <c r="P270" t="s">
        <v>32</v>
      </c>
      <c r="Q270" t="str">
        <f t="shared" si="24"/>
        <v>070</v>
      </c>
      <c r="R270" t="str">
        <f t="shared" si="25"/>
        <v>V</v>
      </c>
    </row>
    <row r="271" spans="1:18" x14ac:dyDescent="0.2">
      <c r="A271" s="6" t="s">
        <v>1887</v>
      </c>
      <c r="B271" s="40">
        <v>6</v>
      </c>
      <c r="C271" t="str">
        <f t="shared" si="21"/>
        <v>070.V.c.6</v>
      </c>
      <c r="D271">
        <v>0.13</v>
      </c>
      <c r="E271" t="s">
        <v>1833</v>
      </c>
      <c r="F271" s="104">
        <v>5</v>
      </c>
      <c r="G271">
        <v>28</v>
      </c>
      <c r="H271">
        <v>30</v>
      </c>
      <c r="I271">
        <v>26</v>
      </c>
      <c r="J271">
        <v>23</v>
      </c>
      <c r="K271">
        <v>25</v>
      </c>
      <c r="L271">
        <f>AVERAGE(G271:K271)</f>
        <v>26.4</v>
      </c>
      <c r="M271" s="80" t="s">
        <v>1736</v>
      </c>
      <c r="O271" s="123">
        <f t="shared" si="23"/>
        <v>13200000</v>
      </c>
      <c r="P271" t="s">
        <v>32</v>
      </c>
      <c r="Q271" t="str">
        <f t="shared" si="24"/>
        <v>070</v>
      </c>
      <c r="R271" t="str">
        <f t="shared" si="25"/>
        <v>V</v>
      </c>
    </row>
    <row r="272" spans="1:18" x14ac:dyDescent="0.2">
      <c r="A272" t="s">
        <v>1889</v>
      </c>
      <c r="B272" s="39">
        <v>1</v>
      </c>
      <c r="C272" t="str">
        <f t="shared" si="21"/>
        <v>077.O.a.1</v>
      </c>
      <c r="D272">
        <v>1.6E-2</v>
      </c>
      <c r="E272">
        <v>1</v>
      </c>
      <c r="F272" s="104">
        <v>4</v>
      </c>
      <c r="G272">
        <v>22</v>
      </c>
      <c r="H272">
        <v>23</v>
      </c>
      <c r="I272">
        <v>13</v>
      </c>
      <c r="J272">
        <v>21</v>
      </c>
      <c r="K272">
        <v>23</v>
      </c>
      <c r="L272">
        <f>AVERAGE(G272:K272)</f>
        <v>20.399999999999999</v>
      </c>
      <c r="M272" t="s">
        <v>1736</v>
      </c>
      <c r="O272" s="123">
        <f t="shared" si="23"/>
        <v>1019999.9999999999</v>
      </c>
      <c r="P272" t="s">
        <v>32</v>
      </c>
      <c r="Q272" t="str">
        <f t="shared" si="24"/>
        <v>077</v>
      </c>
      <c r="R272" t="str">
        <f t="shared" si="25"/>
        <v>O</v>
      </c>
    </row>
    <row r="273" spans="1:18" s="43" customFormat="1" x14ac:dyDescent="0.2">
      <c r="A273" s="43" t="s">
        <v>1889</v>
      </c>
      <c r="B273" s="75">
        <v>2</v>
      </c>
      <c r="C273" s="43" t="str">
        <f t="shared" si="21"/>
        <v>077.O.a.2</v>
      </c>
      <c r="D273" s="43">
        <v>1.7999999999999999E-2</v>
      </c>
      <c r="E273" s="43">
        <v>2</v>
      </c>
      <c r="F273" s="104"/>
      <c r="L273" s="43" t="e">
        <f t="shared" si="22"/>
        <v>#DIV/0!</v>
      </c>
      <c r="M273" s="43" t="s">
        <v>1736</v>
      </c>
      <c r="N273" s="43" t="s">
        <v>1890</v>
      </c>
      <c r="O273" s="123" t="e">
        <f t="shared" si="23"/>
        <v>#DIV/0!</v>
      </c>
      <c r="P273" t="s">
        <v>32</v>
      </c>
      <c r="Q273" t="str">
        <f t="shared" si="24"/>
        <v>077</v>
      </c>
      <c r="R273" t="str">
        <f t="shared" si="25"/>
        <v>O</v>
      </c>
    </row>
    <row r="274" spans="1:18" x14ac:dyDescent="0.2">
      <c r="A274" s="6" t="s">
        <v>1889</v>
      </c>
      <c r="B274" s="40">
        <v>3</v>
      </c>
      <c r="C274" t="str">
        <f t="shared" si="21"/>
        <v>077.O.a.3</v>
      </c>
      <c r="D274">
        <v>1.6E-2</v>
      </c>
      <c r="E274">
        <v>1</v>
      </c>
      <c r="F274" s="104">
        <v>4</v>
      </c>
      <c r="G274">
        <v>7</v>
      </c>
      <c r="H274">
        <v>1</v>
      </c>
      <c r="I274">
        <v>5</v>
      </c>
      <c r="J274">
        <v>4</v>
      </c>
      <c r="K274">
        <v>4</v>
      </c>
      <c r="L274">
        <f t="shared" si="22"/>
        <v>4.2</v>
      </c>
      <c r="M274" t="s">
        <v>1736</v>
      </c>
      <c r="O274" s="123">
        <f t="shared" si="23"/>
        <v>210000</v>
      </c>
      <c r="P274" t="s">
        <v>32</v>
      </c>
      <c r="Q274" t="str">
        <f t="shared" si="24"/>
        <v>077</v>
      </c>
      <c r="R274" t="str">
        <f t="shared" si="25"/>
        <v>O</v>
      </c>
    </row>
    <row r="275" spans="1:18" x14ac:dyDescent="0.2">
      <c r="A275" s="6" t="s">
        <v>1889</v>
      </c>
      <c r="B275" s="40">
        <v>4</v>
      </c>
      <c r="C275" t="str">
        <f t="shared" si="21"/>
        <v>077.O.a.4</v>
      </c>
      <c r="D275">
        <v>1.6E-2</v>
      </c>
      <c r="E275">
        <v>1</v>
      </c>
      <c r="F275" s="104">
        <v>6</v>
      </c>
      <c r="G275">
        <v>10</v>
      </c>
      <c r="H275">
        <v>9</v>
      </c>
      <c r="I275">
        <v>13</v>
      </c>
      <c r="J275">
        <v>8</v>
      </c>
      <c r="K275">
        <v>13</v>
      </c>
      <c r="L275">
        <f t="shared" si="22"/>
        <v>10.6</v>
      </c>
      <c r="M275" t="s">
        <v>1736</v>
      </c>
      <c r="O275" s="123">
        <f t="shared" si="23"/>
        <v>53000000</v>
      </c>
      <c r="P275" t="s">
        <v>32</v>
      </c>
      <c r="Q275" t="str">
        <f t="shared" si="24"/>
        <v>077</v>
      </c>
      <c r="R275" t="str">
        <f t="shared" si="25"/>
        <v>O</v>
      </c>
    </row>
    <row r="276" spans="1:18" x14ac:dyDescent="0.2">
      <c r="A276" s="6" t="s">
        <v>1889</v>
      </c>
      <c r="B276" s="40">
        <v>5</v>
      </c>
      <c r="C276" t="str">
        <f t="shared" si="21"/>
        <v>077.O.a.5</v>
      </c>
      <c r="D276">
        <v>3.7999999999999999E-2</v>
      </c>
      <c r="E276">
        <v>2</v>
      </c>
      <c r="F276" s="104">
        <v>5</v>
      </c>
      <c r="G276">
        <v>13</v>
      </c>
      <c r="H276">
        <v>5</v>
      </c>
      <c r="I276">
        <v>9</v>
      </c>
      <c r="J276">
        <v>12</v>
      </c>
      <c r="K276">
        <v>7</v>
      </c>
      <c r="L276">
        <f t="shared" si="22"/>
        <v>9.1999999999999993</v>
      </c>
      <c r="M276" t="s">
        <v>1736</v>
      </c>
      <c r="O276" s="123">
        <f t="shared" si="23"/>
        <v>4600000</v>
      </c>
      <c r="P276" t="s">
        <v>32</v>
      </c>
      <c r="Q276" t="str">
        <f t="shared" si="24"/>
        <v>077</v>
      </c>
      <c r="R276" t="str">
        <f t="shared" si="25"/>
        <v>O</v>
      </c>
    </row>
    <row r="277" spans="1:18" x14ac:dyDescent="0.2">
      <c r="A277" s="6" t="s">
        <v>1889</v>
      </c>
      <c r="B277" s="40">
        <v>6</v>
      </c>
      <c r="C277" t="str">
        <f t="shared" si="21"/>
        <v>077.O.a.6</v>
      </c>
      <c r="D277">
        <v>0.129</v>
      </c>
      <c r="E277" t="s">
        <v>1833</v>
      </c>
      <c r="F277" s="104">
        <v>6</v>
      </c>
      <c r="G277">
        <v>11</v>
      </c>
      <c r="H277">
        <v>9</v>
      </c>
      <c r="I277">
        <v>10</v>
      </c>
      <c r="J277">
        <v>15</v>
      </c>
      <c r="K277">
        <v>12</v>
      </c>
      <c r="L277">
        <f t="shared" si="22"/>
        <v>11.4</v>
      </c>
      <c r="M277" t="s">
        <v>1736</v>
      </c>
      <c r="O277" s="123">
        <f t="shared" si="23"/>
        <v>57000000</v>
      </c>
      <c r="P277" t="s">
        <v>32</v>
      </c>
      <c r="Q277" t="str">
        <f t="shared" si="24"/>
        <v>077</v>
      </c>
      <c r="R277" t="str">
        <f t="shared" si="25"/>
        <v>O</v>
      </c>
    </row>
    <row r="278" spans="1:18" x14ac:dyDescent="0.2">
      <c r="A278" t="s">
        <v>1891</v>
      </c>
      <c r="B278" s="39">
        <v>1</v>
      </c>
      <c r="C278" t="str">
        <f t="shared" si="21"/>
        <v>077.O.b.1</v>
      </c>
      <c r="D278">
        <v>7.0000000000000001E-3</v>
      </c>
      <c r="E278">
        <v>1</v>
      </c>
      <c r="F278" s="104">
        <v>3</v>
      </c>
      <c r="G278">
        <v>3</v>
      </c>
      <c r="H278">
        <v>0</v>
      </c>
      <c r="I278">
        <v>0</v>
      </c>
      <c r="J278">
        <v>0</v>
      </c>
      <c r="L278">
        <f t="shared" si="22"/>
        <v>0.75</v>
      </c>
      <c r="M278" t="s">
        <v>1736</v>
      </c>
      <c r="N278" t="s">
        <v>1892</v>
      </c>
      <c r="O278" s="123">
        <f t="shared" si="23"/>
        <v>3750</v>
      </c>
      <c r="P278" t="s">
        <v>32</v>
      </c>
      <c r="Q278" t="str">
        <f t="shared" si="24"/>
        <v>077</v>
      </c>
      <c r="R278" t="str">
        <f t="shared" si="25"/>
        <v>O</v>
      </c>
    </row>
    <row r="279" spans="1:18" x14ac:dyDescent="0.2">
      <c r="A279" t="s">
        <v>1891</v>
      </c>
      <c r="B279" s="39">
        <v>2</v>
      </c>
      <c r="C279" t="str">
        <f t="shared" si="21"/>
        <v>077.O.b.2</v>
      </c>
      <c r="D279">
        <v>2.4E-2</v>
      </c>
      <c r="E279">
        <v>1</v>
      </c>
      <c r="F279" s="104">
        <v>4</v>
      </c>
      <c r="G279">
        <v>64</v>
      </c>
      <c r="H279">
        <v>60</v>
      </c>
      <c r="I279">
        <v>78</v>
      </c>
      <c r="J279">
        <v>68</v>
      </c>
      <c r="K279">
        <v>78</v>
      </c>
      <c r="L279">
        <f t="shared" si="22"/>
        <v>69.599999999999994</v>
      </c>
      <c r="M279" t="s">
        <v>1736</v>
      </c>
      <c r="O279" s="123">
        <f t="shared" si="23"/>
        <v>3479999.9999999995</v>
      </c>
      <c r="P279" t="s">
        <v>32</v>
      </c>
      <c r="Q279" t="str">
        <f t="shared" si="24"/>
        <v>077</v>
      </c>
      <c r="R279" t="str">
        <f t="shared" si="25"/>
        <v>O</v>
      </c>
    </row>
    <row r="280" spans="1:18" x14ac:dyDescent="0.2">
      <c r="A280" s="6" t="s">
        <v>1891</v>
      </c>
      <c r="B280" s="40">
        <v>3</v>
      </c>
      <c r="C280" t="str">
        <f t="shared" si="21"/>
        <v>077.O.b.3</v>
      </c>
      <c r="D280">
        <v>2.7E-2</v>
      </c>
      <c r="E280">
        <v>1</v>
      </c>
      <c r="F280" s="104">
        <v>4</v>
      </c>
      <c r="G280">
        <v>102</v>
      </c>
      <c r="H280">
        <v>111</v>
      </c>
      <c r="I280">
        <v>107</v>
      </c>
      <c r="J280">
        <v>126</v>
      </c>
      <c r="K280">
        <v>100</v>
      </c>
      <c r="L280">
        <f t="shared" si="22"/>
        <v>109.2</v>
      </c>
      <c r="M280" t="s">
        <v>1736</v>
      </c>
      <c r="N280" t="s">
        <v>1893</v>
      </c>
      <c r="O280" s="123">
        <f t="shared" si="23"/>
        <v>5460000</v>
      </c>
      <c r="P280" t="s">
        <v>32</v>
      </c>
      <c r="Q280" t="str">
        <f t="shared" si="24"/>
        <v>077</v>
      </c>
      <c r="R280" t="str">
        <f t="shared" si="25"/>
        <v>O</v>
      </c>
    </row>
    <row r="281" spans="1:18" x14ac:dyDescent="0.2">
      <c r="A281" s="6" t="s">
        <v>1891</v>
      </c>
      <c r="B281" s="40">
        <v>4</v>
      </c>
      <c r="C281" t="str">
        <f t="shared" si="21"/>
        <v>077.O.b.4</v>
      </c>
      <c r="D281">
        <v>2.5000000000000001E-2</v>
      </c>
      <c r="E281">
        <v>1</v>
      </c>
      <c r="F281" s="104">
        <v>5</v>
      </c>
      <c r="G281">
        <v>4</v>
      </c>
      <c r="H281">
        <v>2</v>
      </c>
      <c r="I281">
        <v>5</v>
      </c>
      <c r="J281">
        <v>3</v>
      </c>
      <c r="K281">
        <v>4</v>
      </c>
      <c r="L281">
        <f t="shared" si="22"/>
        <v>3.6</v>
      </c>
      <c r="M281" t="s">
        <v>1736</v>
      </c>
      <c r="O281" s="123">
        <f t="shared" si="23"/>
        <v>1800000</v>
      </c>
      <c r="P281" t="s">
        <v>32</v>
      </c>
      <c r="Q281" t="str">
        <f t="shared" si="24"/>
        <v>077</v>
      </c>
      <c r="R281" t="str">
        <f t="shared" si="25"/>
        <v>O</v>
      </c>
    </row>
    <row r="282" spans="1:18" x14ac:dyDescent="0.2">
      <c r="A282" s="6" t="s">
        <v>1891</v>
      </c>
      <c r="B282" s="40">
        <v>5</v>
      </c>
      <c r="C282" t="str">
        <f t="shared" si="21"/>
        <v>077.O.b.5</v>
      </c>
      <c r="D282">
        <v>3.5000000000000003E-2</v>
      </c>
      <c r="E282">
        <v>2</v>
      </c>
      <c r="F282" s="104">
        <v>6</v>
      </c>
      <c r="G282">
        <v>5</v>
      </c>
      <c r="H282">
        <v>5</v>
      </c>
      <c r="I282">
        <v>5</v>
      </c>
      <c r="J282">
        <v>10</v>
      </c>
      <c r="K282">
        <v>4</v>
      </c>
      <c r="L282">
        <f t="shared" si="22"/>
        <v>5.8</v>
      </c>
      <c r="M282" t="s">
        <v>1736</v>
      </c>
      <c r="O282" s="123">
        <f t="shared" si="23"/>
        <v>29000000</v>
      </c>
      <c r="P282" t="s">
        <v>32</v>
      </c>
      <c r="Q282" t="str">
        <f t="shared" si="24"/>
        <v>077</v>
      </c>
      <c r="R282" t="str">
        <f t="shared" si="25"/>
        <v>O</v>
      </c>
    </row>
    <row r="283" spans="1:18" x14ac:dyDescent="0.2">
      <c r="A283" s="6" t="s">
        <v>1891</v>
      </c>
      <c r="B283" s="40">
        <v>6</v>
      </c>
      <c r="C283" t="str">
        <f t="shared" si="21"/>
        <v>077.O.b.6</v>
      </c>
      <c r="D283">
        <v>4.8000000000000001E-2</v>
      </c>
      <c r="E283">
        <v>2</v>
      </c>
      <c r="F283" s="104">
        <v>6</v>
      </c>
      <c r="G283">
        <v>2</v>
      </c>
      <c r="H283">
        <v>2</v>
      </c>
      <c r="I283">
        <v>5</v>
      </c>
      <c r="J283">
        <v>2</v>
      </c>
      <c r="L283">
        <f t="shared" si="22"/>
        <v>2.75</v>
      </c>
      <c r="M283" t="s">
        <v>1736</v>
      </c>
      <c r="O283" s="123">
        <f t="shared" si="23"/>
        <v>13750000</v>
      </c>
      <c r="P283" t="s">
        <v>32</v>
      </c>
      <c r="Q283" t="str">
        <f t="shared" si="24"/>
        <v>077</v>
      </c>
      <c r="R283" t="str">
        <f t="shared" si="25"/>
        <v>O</v>
      </c>
    </row>
    <row r="284" spans="1:18" s="43" customFormat="1" x14ac:dyDescent="0.2">
      <c r="A284" s="43" t="s">
        <v>1894</v>
      </c>
      <c r="B284" s="75">
        <v>1</v>
      </c>
      <c r="C284" s="43" t="str">
        <f t="shared" si="21"/>
        <v>077.O.c.1</v>
      </c>
      <c r="D284" s="43">
        <v>2.9000000000000001E-2</v>
      </c>
      <c r="E284" s="43">
        <v>1</v>
      </c>
      <c r="F284" s="104"/>
      <c r="L284" s="43" t="e">
        <f t="shared" si="22"/>
        <v>#DIV/0!</v>
      </c>
      <c r="M284" s="43" t="s">
        <v>1736</v>
      </c>
      <c r="N284" s="43" t="s">
        <v>1890</v>
      </c>
      <c r="O284" s="123" t="e">
        <f t="shared" si="23"/>
        <v>#DIV/0!</v>
      </c>
      <c r="P284" t="s">
        <v>32</v>
      </c>
      <c r="Q284" t="str">
        <f t="shared" si="24"/>
        <v>077</v>
      </c>
      <c r="R284" t="str">
        <f t="shared" si="25"/>
        <v>O</v>
      </c>
    </row>
    <row r="285" spans="1:18" s="43" customFormat="1" x14ac:dyDescent="0.2">
      <c r="A285" s="43" t="s">
        <v>1894</v>
      </c>
      <c r="B285" s="75">
        <v>2</v>
      </c>
      <c r="C285" s="43" t="str">
        <f t="shared" si="21"/>
        <v>077.O.c.2</v>
      </c>
      <c r="D285" s="43">
        <v>3.9E-2</v>
      </c>
      <c r="E285" s="43">
        <v>1</v>
      </c>
      <c r="F285" s="104"/>
      <c r="L285" s="43" t="e">
        <f t="shared" si="22"/>
        <v>#DIV/0!</v>
      </c>
      <c r="M285" s="43" t="s">
        <v>1736</v>
      </c>
      <c r="N285" s="43" t="s">
        <v>1895</v>
      </c>
      <c r="O285" s="123" t="e">
        <f t="shared" si="23"/>
        <v>#DIV/0!</v>
      </c>
      <c r="P285" t="s">
        <v>32</v>
      </c>
      <c r="Q285" t="str">
        <f t="shared" si="24"/>
        <v>077</v>
      </c>
      <c r="R285" t="str">
        <f t="shared" si="25"/>
        <v>O</v>
      </c>
    </row>
    <row r="286" spans="1:18" s="43" customFormat="1" x14ac:dyDescent="0.2">
      <c r="A286" s="59" t="s">
        <v>1894</v>
      </c>
      <c r="B286" s="73">
        <v>3</v>
      </c>
      <c r="C286" s="43" t="str">
        <f t="shared" si="21"/>
        <v>077.O.c.3</v>
      </c>
      <c r="D286" s="43">
        <v>3.2000000000000001E-2</v>
      </c>
      <c r="E286" s="43">
        <v>1</v>
      </c>
      <c r="F286" s="104"/>
      <c r="L286" s="43" t="e">
        <f t="shared" si="22"/>
        <v>#DIV/0!</v>
      </c>
      <c r="M286" s="43" t="s">
        <v>1736</v>
      </c>
      <c r="N286" s="43" t="s">
        <v>1896</v>
      </c>
      <c r="O286" s="123" t="e">
        <f t="shared" si="23"/>
        <v>#DIV/0!</v>
      </c>
      <c r="P286" t="s">
        <v>32</v>
      </c>
      <c r="Q286" t="str">
        <f t="shared" si="24"/>
        <v>077</v>
      </c>
      <c r="R286" t="str">
        <f t="shared" si="25"/>
        <v>O</v>
      </c>
    </row>
    <row r="287" spans="1:18" s="43" customFormat="1" x14ac:dyDescent="0.2">
      <c r="A287" s="59" t="s">
        <v>1894</v>
      </c>
      <c r="B287" s="73">
        <v>4</v>
      </c>
      <c r="C287" s="43" t="str">
        <f t="shared" si="21"/>
        <v>077.O.c.4</v>
      </c>
      <c r="D287" s="43">
        <v>0.12</v>
      </c>
      <c r="E287" s="43" t="s">
        <v>1833</v>
      </c>
      <c r="F287" s="104"/>
      <c r="L287" s="43" t="e">
        <f t="shared" si="22"/>
        <v>#DIV/0!</v>
      </c>
      <c r="M287" s="43" t="s">
        <v>1736</v>
      </c>
      <c r="N287" s="43" t="s">
        <v>1897</v>
      </c>
      <c r="O287" s="123" t="e">
        <f t="shared" si="23"/>
        <v>#DIV/0!</v>
      </c>
      <c r="P287" t="s">
        <v>32</v>
      </c>
      <c r="Q287" t="str">
        <f t="shared" si="24"/>
        <v>077</v>
      </c>
      <c r="R287" t="str">
        <f t="shared" si="25"/>
        <v>O</v>
      </c>
    </row>
    <row r="288" spans="1:18" s="43" customFormat="1" x14ac:dyDescent="0.2">
      <c r="A288" s="59" t="s">
        <v>1894</v>
      </c>
      <c r="B288" s="73">
        <v>5</v>
      </c>
      <c r="C288" s="43" t="str">
        <f t="shared" si="21"/>
        <v>077.O.c.5</v>
      </c>
      <c r="D288" s="43">
        <v>9.0999999999999998E-2</v>
      </c>
      <c r="E288" s="43">
        <v>2</v>
      </c>
      <c r="F288" s="104"/>
      <c r="L288" s="43" t="e">
        <f t="shared" si="22"/>
        <v>#DIV/0!</v>
      </c>
      <c r="M288" s="43" t="s">
        <v>1736</v>
      </c>
      <c r="N288" s="43" t="s">
        <v>1746</v>
      </c>
      <c r="O288" s="123" t="e">
        <f t="shared" si="23"/>
        <v>#DIV/0!</v>
      </c>
      <c r="P288" t="s">
        <v>32</v>
      </c>
      <c r="Q288" t="str">
        <f t="shared" si="24"/>
        <v>077</v>
      </c>
      <c r="R288" t="str">
        <f t="shared" si="25"/>
        <v>O</v>
      </c>
    </row>
    <row r="289" spans="1:18" x14ac:dyDescent="0.2">
      <c r="A289" s="6" t="s">
        <v>1894</v>
      </c>
      <c r="B289" s="40">
        <v>6</v>
      </c>
      <c r="C289" t="str">
        <f t="shared" si="21"/>
        <v>077.O.c.6</v>
      </c>
      <c r="D289">
        <v>0.106</v>
      </c>
      <c r="E289">
        <v>4</v>
      </c>
      <c r="F289" s="104">
        <v>5</v>
      </c>
      <c r="G289">
        <v>4</v>
      </c>
      <c r="H289">
        <v>6</v>
      </c>
      <c r="I289">
        <v>10</v>
      </c>
      <c r="J289">
        <v>11</v>
      </c>
      <c r="K289">
        <v>3</v>
      </c>
      <c r="L289">
        <f t="shared" si="22"/>
        <v>6.8</v>
      </c>
      <c r="M289" t="s">
        <v>1736</v>
      </c>
      <c r="O289" s="123">
        <f t="shared" si="23"/>
        <v>3400000</v>
      </c>
      <c r="P289" t="s">
        <v>32</v>
      </c>
      <c r="Q289" t="str">
        <f t="shared" si="24"/>
        <v>077</v>
      </c>
      <c r="R289" t="str">
        <f t="shared" si="25"/>
        <v>O</v>
      </c>
    </row>
    <row r="290" spans="1:18" x14ac:dyDescent="0.2">
      <c r="A290" t="s">
        <v>1898</v>
      </c>
      <c r="B290" s="39">
        <v>1</v>
      </c>
      <c r="C290" t="str">
        <f t="shared" si="21"/>
        <v>077.S.a.1</v>
      </c>
      <c r="D290">
        <v>3.3000000000000002E-2</v>
      </c>
      <c r="E290">
        <v>2</v>
      </c>
      <c r="F290" s="104">
        <v>3</v>
      </c>
      <c r="G290">
        <v>30</v>
      </c>
      <c r="H290">
        <v>19</v>
      </c>
      <c r="I290">
        <v>17</v>
      </c>
      <c r="J290">
        <v>31</v>
      </c>
      <c r="K290">
        <v>25</v>
      </c>
      <c r="L290">
        <f t="shared" si="22"/>
        <v>24.4</v>
      </c>
      <c r="M290" t="s">
        <v>1736</v>
      </c>
      <c r="N290" t="s">
        <v>1899</v>
      </c>
      <c r="O290" s="123">
        <f t="shared" si="23"/>
        <v>122000</v>
      </c>
      <c r="P290" t="s">
        <v>32</v>
      </c>
      <c r="Q290" t="str">
        <f t="shared" si="24"/>
        <v>077</v>
      </c>
      <c r="R290" t="str">
        <f t="shared" si="25"/>
        <v>S</v>
      </c>
    </row>
    <row r="291" spans="1:18" x14ac:dyDescent="0.2">
      <c r="A291" t="s">
        <v>1898</v>
      </c>
      <c r="B291" s="39">
        <v>2</v>
      </c>
      <c r="C291" t="str">
        <f t="shared" si="21"/>
        <v>077.S.a.2</v>
      </c>
      <c r="D291">
        <v>0.03</v>
      </c>
      <c r="E291">
        <v>1</v>
      </c>
      <c r="F291" s="104">
        <v>5</v>
      </c>
      <c r="G291">
        <v>6</v>
      </c>
      <c r="H291">
        <v>6</v>
      </c>
      <c r="I291">
        <v>3</v>
      </c>
      <c r="J291">
        <v>2</v>
      </c>
      <c r="K291">
        <v>1</v>
      </c>
      <c r="L291">
        <f t="shared" si="22"/>
        <v>3.6</v>
      </c>
      <c r="M291" t="s">
        <v>1736</v>
      </c>
      <c r="N291" s="99" t="s">
        <v>1890</v>
      </c>
      <c r="O291" s="123">
        <f t="shared" si="23"/>
        <v>1800000</v>
      </c>
      <c r="P291" t="s">
        <v>32</v>
      </c>
      <c r="Q291" t="str">
        <f t="shared" si="24"/>
        <v>077</v>
      </c>
      <c r="R291" t="str">
        <f t="shared" si="25"/>
        <v>S</v>
      </c>
    </row>
    <row r="292" spans="1:18" s="43" customFormat="1" x14ac:dyDescent="0.2">
      <c r="A292" s="59" t="s">
        <v>1898</v>
      </c>
      <c r="B292" s="73">
        <v>3</v>
      </c>
      <c r="C292" s="43" t="str">
        <f t="shared" si="21"/>
        <v>077.S.a.3</v>
      </c>
      <c r="D292" s="43">
        <v>2.7E-2</v>
      </c>
      <c r="E292" s="43">
        <v>1</v>
      </c>
      <c r="F292" s="104"/>
      <c r="L292" s="43" t="e">
        <f t="shared" si="22"/>
        <v>#DIV/0!</v>
      </c>
      <c r="M292" s="43" t="s">
        <v>1736</v>
      </c>
      <c r="N292" s="43" t="s">
        <v>1890</v>
      </c>
      <c r="O292" s="123" t="e">
        <f t="shared" si="23"/>
        <v>#DIV/0!</v>
      </c>
      <c r="P292" t="s">
        <v>32</v>
      </c>
      <c r="Q292" t="str">
        <f t="shared" si="24"/>
        <v>077</v>
      </c>
      <c r="R292" t="str">
        <f t="shared" si="25"/>
        <v>S</v>
      </c>
    </row>
    <row r="293" spans="1:18" x14ac:dyDescent="0.2">
      <c r="A293" s="6" t="s">
        <v>1898</v>
      </c>
      <c r="B293" s="40">
        <v>4</v>
      </c>
      <c r="C293" t="str">
        <f t="shared" si="21"/>
        <v>077.S.a.4</v>
      </c>
      <c r="D293">
        <v>5.5E-2</v>
      </c>
      <c r="E293">
        <v>4</v>
      </c>
      <c r="F293" s="104">
        <v>5</v>
      </c>
      <c r="G293">
        <v>4</v>
      </c>
      <c r="H293">
        <v>7</v>
      </c>
      <c r="I293">
        <v>6</v>
      </c>
      <c r="J293">
        <v>0</v>
      </c>
      <c r="K293">
        <v>0</v>
      </c>
      <c r="L293">
        <f t="shared" si="22"/>
        <v>3.4</v>
      </c>
      <c r="M293" t="s">
        <v>1736</v>
      </c>
      <c r="O293" s="123">
        <f t="shared" si="23"/>
        <v>1700000</v>
      </c>
      <c r="P293" t="s">
        <v>32</v>
      </c>
      <c r="Q293" t="str">
        <f t="shared" si="24"/>
        <v>077</v>
      </c>
      <c r="R293" t="str">
        <f t="shared" si="25"/>
        <v>S</v>
      </c>
    </row>
    <row r="294" spans="1:18" x14ac:dyDescent="0.2">
      <c r="A294" s="6" t="s">
        <v>1898</v>
      </c>
      <c r="B294" s="40">
        <v>5</v>
      </c>
      <c r="C294" t="str">
        <f t="shared" si="21"/>
        <v>077.S.a.5</v>
      </c>
      <c r="D294">
        <v>7.9000000000000001E-2</v>
      </c>
      <c r="E294">
        <v>4</v>
      </c>
      <c r="F294" s="104">
        <v>5</v>
      </c>
      <c r="G294">
        <v>36</v>
      </c>
      <c r="H294">
        <v>3</v>
      </c>
      <c r="I294">
        <v>31</v>
      </c>
      <c r="J294">
        <v>16</v>
      </c>
      <c r="K294">
        <v>0</v>
      </c>
      <c r="L294">
        <f t="shared" si="22"/>
        <v>17.2</v>
      </c>
      <c r="M294" t="s">
        <v>1736</v>
      </c>
      <c r="N294" t="s">
        <v>1900</v>
      </c>
      <c r="O294" s="123">
        <f t="shared" si="23"/>
        <v>8600000</v>
      </c>
      <c r="P294" t="s">
        <v>32</v>
      </c>
      <c r="Q294" t="str">
        <f t="shared" si="24"/>
        <v>077</v>
      </c>
      <c r="R294" t="str">
        <f t="shared" si="25"/>
        <v>S</v>
      </c>
    </row>
    <row r="295" spans="1:18" x14ac:dyDescent="0.2">
      <c r="A295" s="6" t="s">
        <v>1898</v>
      </c>
      <c r="B295" s="40">
        <v>6</v>
      </c>
      <c r="C295" t="str">
        <f t="shared" si="21"/>
        <v>077.S.a.6</v>
      </c>
      <c r="D295">
        <v>0.14499999999999999</v>
      </c>
      <c r="E295" t="s">
        <v>1833</v>
      </c>
      <c r="F295" s="104">
        <v>6</v>
      </c>
      <c r="G295">
        <v>10</v>
      </c>
      <c r="H295">
        <v>8</v>
      </c>
      <c r="I295">
        <v>8</v>
      </c>
      <c r="J295">
        <v>7</v>
      </c>
      <c r="K295">
        <v>5</v>
      </c>
      <c r="L295">
        <f t="shared" si="22"/>
        <v>7.6</v>
      </c>
      <c r="M295" t="s">
        <v>1736</v>
      </c>
      <c r="O295" s="123">
        <f t="shared" si="23"/>
        <v>38000000</v>
      </c>
      <c r="P295" t="s">
        <v>32</v>
      </c>
      <c r="Q295" t="str">
        <f t="shared" si="24"/>
        <v>077</v>
      </c>
      <c r="R295" t="str">
        <f t="shared" si="25"/>
        <v>S</v>
      </c>
    </row>
    <row r="296" spans="1:18" x14ac:dyDescent="0.2">
      <c r="A296" t="s">
        <v>1901</v>
      </c>
      <c r="B296" s="39">
        <v>1</v>
      </c>
      <c r="C296" t="str">
        <f t="shared" si="21"/>
        <v>077.S.b.1</v>
      </c>
      <c r="D296">
        <v>1.2999999999999999E-2</v>
      </c>
      <c r="E296">
        <v>1</v>
      </c>
      <c r="F296" s="104">
        <v>4</v>
      </c>
      <c r="G296">
        <v>127</v>
      </c>
      <c r="H296">
        <v>124</v>
      </c>
      <c r="I296">
        <v>124</v>
      </c>
      <c r="J296">
        <v>104</v>
      </c>
      <c r="K296">
        <v>120</v>
      </c>
      <c r="L296">
        <f t="shared" si="22"/>
        <v>119.8</v>
      </c>
      <c r="M296" t="s">
        <v>1736</v>
      </c>
      <c r="O296" s="123">
        <f t="shared" si="23"/>
        <v>5990000</v>
      </c>
      <c r="P296" t="s">
        <v>32</v>
      </c>
      <c r="Q296" t="str">
        <f t="shared" si="24"/>
        <v>077</v>
      </c>
      <c r="R296" t="str">
        <f t="shared" si="25"/>
        <v>S</v>
      </c>
    </row>
    <row r="297" spans="1:18" x14ac:dyDescent="0.2">
      <c r="A297" t="s">
        <v>1901</v>
      </c>
      <c r="B297" s="39">
        <v>2</v>
      </c>
      <c r="C297" t="str">
        <f t="shared" si="21"/>
        <v>077.S.b.2</v>
      </c>
      <c r="D297">
        <v>2.5000000000000001E-2</v>
      </c>
      <c r="E297">
        <v>1</v>
      </c>
      <c r="F297" s="104">
        <v>4</v>
      </c>
      <c r="G297">
        <v>31</v>
      </c>
      <c r="H297">
        <v>20</v>
      </c>
      <c r="I297">
        <v>32</v>
      </c>
      <c r="J297">
        <v>24</v>
      </c>
      <c r="K297">
        <v>34</v>
      </c>
      <c r="L297">
        <f t="shared" si="22"/>
        <v>28.2</v>
      </c>
      <c r="O297" s="123">
        <f t="shared" si="23"/>
        <v>1410000</v>
      </c>
      <c r="P297" t="s">
        <v>32</v>
      </c>
      <c r="Q297" t="str">
        <f t="shared" si="24"/>
        <v>077</v>
      </c>
      <c r="R297" t="str">
        <f t="shared" si="25"/>
        <v>S</v>
      </c>
    </row>
    <row r="298" spans="1:18" x14ac:dyDescent="0.2">
      <c r="A298" s="6" t="s">
        <v>1901</v>
      </c>
      <c r="B298" s="40">
        <v>3</v>
      </c>
      <c r="C298" t="str">
        <f t="shared" si="21"/>
        <v>077.S.b.3</v>
      </c>
      <c r="D298">
        <v>4.3999999999999997E-2</v>
      </c>
      <c r="E298">
        <v>2</v>
      </c>
      <c r="F298" s="104">
        <v>5</v>
      </c>
      <c r="G298">
        <v>7</v>
      </c>
      <c r="H298">
        <v>12</v>
      </c>
      <c r="I298">
        <v>10</v>
      </c>
      <c r="J298">
        <v>7</v>
      </c>
      <c r="K298">
        <v>4</v>
      </c>
      <c r="L298">
        <f t="shared" si="22"/>
        <v>8</v>
      </c>
      <c r="M298" t="s">
        <v>1736</v>
      </c>
      <c r="N298" s="99" t="s">
        <v>1890</v>
      </c>
      <c r="O298" s="123">
        <f t="shared" si="23"/>
        <v>4000000</v>
      </c>
      <c r="P298" t="s">
        <v>32</v>
      </c>
      <c r="Q298" t="str">
        <f t="shared" si="24"/>
        <v>077</v>
      </c>
      <c r="R298" t="str">
        <f t="shared" si="25"/>
        <v>S</v>
      </c>
    </row>
    <row r="299" spans="1:18" x14ac:dyDescent="0.2">
      <c r="A299" s="6" t="s">
        <v>1901</v>
      </c>
      <c r="B299" s="40">
        <v>4</v>
      </c>
      <c r="C299" t="str">
        <f t="shared" si="21"/>
        <v>077.S.b.4</v>
      </c>
      <c r="D299">
        <v>6.7000000000000004E-2</v>
      </c>
      <c r="E299">
        <v>2</v>
      </c>
      <c r="F299" s="104">
        <v>6</v>
      </c>
      <c r="G299">
        <v>30</v>
      </c>
      <c r="H299">
        <v>52</v>
      </c>
      <c r="I299">
        <v>34</v>
      </c>
      <c r="J299">
        <v>12</v>
      </c>
      <c r="K299">
        <v>21</v>
      </c>
      <c r="L299">
        <f t="shared" si="22"/>
        <v>29.8</v>
      </c>
      <c r="M299" t="s">
        <v>1736</v>
      </c>
      <c r="O299" s="123">
        <f t="shared" si="23"/>
        <v>149000000</v>
      </c>
      <c r="P299" t="s">
        <v>32</v>
      </c>
      <c r="Q299" t="str">
        <f t="shared" si="24"/>
        <v>077</v>
      </c>
      <c r="R299" t="str">
        <f t="shared" si="25"/>
        <v>S</v>
      </c>
    </row>
    <row r="300" spans="1:18" x14ac:dyDescent="0.2">
      <c r="A300" s="6" t="s">
        <v>1901</v>
      </c>
      <c r="B300" s="40">
        <v>5</v>
      </c>
      <c r="C300" t="str">
        <f t="shared" si="21"/>
        <v>077.S.b.5</v>
      </c>
      <c r="D300">
        <v>0.06</v>
      </c>
      <c r="E300">
        <v>2</v>
      </c>
      <c r="F300" s="104">
        <v>5</v>
      </c>
      <c r="G300">
        <v>18</v>
      </c>
      <c r="H300">
        <v>28</v>
      </c>
      <c r="I300">
        <v>20</v>
      </c>
      <c r="J300">
        <v>29</v>
      </c>
      <c r="K300">
        <v>19</v>
      </c>
      <c r="L300">
        <f t="shared" si="22"/>
        <v>22.8</v>
      </c>
      <c r="M300" t="s">
        <v>1736</v>
      </c>
      <c r="O300" s="123">
        <f t="shared" si="23"/>
        <v>11400000</v>
      </c>
      <c r="P300" t="s">
        <v>32</v>
      </c>
      <c r="Q300" t="str">
        <f t="shared" si="24"/>
        <v>077</v>
      </c>
      <c r="R300" t="str">
        <f t="shared" si="25"/>
        <v>S</v>
      </c>
    </row>
    <row r="301" spans="1:18" s="43" customFormat="1" x14ac:dyDescent="0.2">
      <c r="A301" s="59" t="s">
        <v>1901</v>
      </c>
      <c r="B301" s="73">
        <v>6</v>
      </c>
      <c r="C301" s="43" t="str">
        <f t="shared" si="21"/>
        <v>077.S.b.6</v>
      </c>
      <c r="D301" s="43">
        <v>0.06</v>
      </c>
      <c r="E301" s="43">
        <v>2</v>
      </c>
      <c r="F301" s="104"/>
      <c r="L301" s="43" t="e">
        <f t="shared" si="22"/>
        <v>#DIV/0!</v>
      </c>
      <c r="M301" s="43" t="s">
        <v>1736</v>
      </c>
      <c r="N301" s="43" t="s">
        <v>1873</v>
      </c>
      <c r="O301" s="123" t="e">
        <f t="shared" si="23"/>
        <v>#DIV/0!</v>
      </c>
      <c r="P301" t="s">
        <v>32</v>
      </c>
      <c r="Q301" t="str">
        <f t="shared" si="24"/>
        <v>077</v>
      </c>
      <c r="R301" t="str">
        <f t="shared" si="25"/>
        <v>S</v>
      </c>
    </row>
    <row r="302" spans="1:18" x14ac:dyDescent="0.2">
      <c r="A302" t="s">
        <v>1902</v>
      </c>
      <c r="B302" s="39">
        <v>1</v>
      </c>
      <c r="C302" t="str">
        <f t="shared" si="21"/>
        <v>077.S.c.1</v>
      </c>
      <c r="D302">
        <v>2.1000000000000001E-2</v>
      </c>
      <c r="E302">
        <v>1</v>
      </c>
      <c r="F302" s="104">
        <v>4</v>
      </c>
      <c r="G302">
        <v>3</v>
      </c>
      <c r="H302">
        <v>2</v>
      </c>
      <c r="I302">
        <v>2</v>
      </c>
      <c r="J302">
        <v>1</v>
      </c>
      <c r="K302">
        <v>4</v>
      </c>
      <c r="L302">
        <f t="shared" si="22"/>
        <v>2.4</v>
      </c>
      <c r="M302" t="s">
        <v>1736</v>
      </c>
      <c r="O302" s="123">
        <f t="shared" si="23"/>
        <v>120000</v>
      </c>
      <c r="P302" t="s">
        <v>32</v>
      </c>
      <c r="Q302" t="str">
        <f t="shared" si="24"/>
        <v>077</v>
      </c>
      <c r="R302" t="str">
        <f t="shared" si="25"/>
        <v>S</v>
      </c>
    </row>
    <row r="303" spans="1:18" s="43" customFormat="1" x14ac:dyDescent="0.2">
      <c r="A303" s="43" t="s">
        <v>1902</v>
      </c>
      <c r="B303" s="75">
        <v>2</v>
      </c>
      <c r="C303" s="43" t="str">
        <f t="shared" si="21"/>
        <v>077.S.c.2</v>
      </c>
      <c r="D303" s="43">
        <v>0.02</v>
      </c>
      <c r="E303" s="43">
        <v>1</v>
      </c>
      <c r="F303" s="104"/>
      <c r="L303" s="43" t="e">
        <f t="shared" si="22"/>
        <v>#DIV/0!</v>
      </c>
      <c r="M303" t="s">
        <v>1736</v>
      </c>
      <c r="N303" s="43" t="s">
        <v>1873</v>
      </c>
      <c r="O303" s="123" t="e">
        <f t="shared" si="23"/>
        <v>#DIV/0!</v>
      </c>
      <c r="P303" t="s">
        <v>32</v>
      </c>
      <c r="Q303" t="str">
        <f t="shared" si="24"/>
        <v>077</v>
      </c>
      <c r="R303" t="str">
        <f t="shared" si="25"/>
        <v>S</v>
      </c>
    </row>
    <row r="304" spans="1:18" s="43" customFormat="1" x14ac:dyDescent="0.2">
      <c r="A304" s="59" t="s">
        <v>1902</v>
      </c>
      <c r="B304" s="73">
        <v>3</v>
      </c>
      <c r="C304" s="43" t="str">
        <f t="shared" si="21"/>
        <v>077.S.c.3</v>
      </c>
      <c r="D304" s="43">
        <v>3.9E-2</v>
      </c>
      <c r="E304" s="43">
        <v>2</v>
      </c>
      <c r="F304" s="104"/>
      <c r="L304" s="43" t="e">
        <f t="shared" si="22"/>
        <v>#DIV/0!</v>
      </c>
      <c r="M304" t="s">
        <v>1736</v>
      </c>
      <c r="N304" s="43" t="s">
        <v>1896</v>
      </c>
      <c r="O304" s="123" t="e">
        <f t="shared" si="23"/>
        <v>#DIV/0!</v>
      </c>
      <c r="P304" t="s">
        <v>32</v>
      </c>
      <c r="Q304" t="str">
        <f t="shared" si="24"/>
        <v>077</v>
      </c>
      <c r="R304" t="str">
        <f t="shared" si="25"/>
        <v>S</v>
      </c>
    </row>
    <row r="305" spans="1:18" x14ac:dyDescent="0.2">
      <c r="A305" s="6" t="s">
        <v>1902</v>
      </c>
      <c r="B305" s="40">
        <v>4</v>
      </c>
      <c r="C305" t="str">
        <f t="shared" si="21"/>
        <v>077.S.c.4</v>
      </c>
      <c r="D305">
        <v>4.2000000000000003E-2</v>
      </c>
      <c r="E305">
        <v>2</v>
      </c>
      <c r="F305" s="104">
        <v>5</v>
      </c>
      <c r="G305">
        <v>8</v>
      </c>
      <c r="H305">
        <v>2</v>
      </c>
      <c r="I305">
        <v>3</v>
      </c>
      <c r="J305">
        <v>3</v>
      </c>
      <c r="K305">
        <v>5</v>
      </c>
      <c r="L305">
        <f t="shared" si="22"/>
        <v>4.2</v>
      </c>
      <c r="M305" t="s">
        <v>1736</v>
      </c>
      <c r="O305" s="123">
        <f t="shared" si="23"/>
        <v>2100000</v>
      </c>
      <c r="P305" t="s">
        <v>32</v>
      </c>
      <c r="Q305" t="str">
        <f t="shared" si="24"/>
        <v>077</v>
      </c>
      <c r="R305" t="str">
        <f t="shared" si="25"/>
        <v>S</v>
      </c>
    </row>
    <row r="306" spans="1:18" s="43" customFormat="1" x14ac:dyDescent="0.2">
      <c r="A306" s="59" t="s">
        <v>1902</v>
      </c>
      <c r="B306" s="73">
        <v>5</v>
      </c>
      <c r="C306" s="43" t="str">
        <f t="shared" si="21"/>
        <v>077.S.c.5</v>
      </c>
      <c r="D306" s="43">
        <v>6.6000000000000003E-2</v>
      </c>
      <c r="E306" s="43">
        <v>3</v>
      </c>
      <c r="F306" s="104"/>
      <c r="L306" s="43" t="e">
        <f t="shared" si="22"/>
        <v>#DIV/0!</v>
      </c>
      <c r="M306" t="s">
        <v>1736</v>
      </c>
      <c r="N306" s="43" t="s">
        <v>1903</v>
      </c>
      <c r="O306" s="123" t="e">
        <f t="shared" si="23"/>
        <v>#DIV/0!</v>
      </c>
      <c r="P306" t="s">
        <v>32</v>
      </c>
      <c r="Q306" t="str">
        <f t="shared" si="24"/>
        <v>077</v>
      </c>
      <c r="R306" t="str">
        <f t="shared" si="25"/>
        <v>S</v>
      </c>
    </row>
    <row r="307" spans="1:18" s="43" customFormat="1" x14ac:dyDescent="0.2">
      <c r="A307" s="59" t="s">
        <v>1902</v>
      </c>
      <c r="B307" s="73">
        <v>6</v>
      </c>
      <c r="C307" s="43" t="str">
        <f t="shared" si="21"/>
        <v>077.S.c.6</v>
      </c>
      <c r="D307" s="43">
        <v>7.2999999999999995E-2</v>
      </c>
      <c r="E307" s="43">
        <v>3</v>
      </c>
      <c r="F307" s="104"/>
      <c r="L307" s="43" t="e">
        <f t="shared" si="22"/>
        <v>#DIV/0!</v>
      </c>
      <c r="M307" t="s">
        <v>1736</v>
      </c>
      <c r="N307" s="43" t="s">
        <v>1903</v>
      </c>
      <c r="O307" s="123" t="e">
        <f t="shared" si="23"/>
        <v>#DIV/0!</v>
      </c>
      <c r="P307" t="s">
        <v>32</v>
      </c>
      <c r="Q307" t="str">
        <f t="shared" si="24"/>
        <v>077</v>
      </c>
      <c r="R307" t="str">
        <f t="shared" si="25"/>
        <v>S</v>
      </c>
    </row>
    <row r="308" spans="1:18" s="43" customFormat="1" x14ac:dyDescent="0.2">
      <c r="A308" s="43" t="s">
        <v>1904</v>
      </c>
      <c r="B308" s="75">
        <v>1</v>
      </c>
      <c r="C308" s="43" t="str">
        <f t="shared" si="21"/>
        <v>077.V.a.1</v>
      </c>
      <c r="D308" s="43">
        <v>1.4999999999999999E-2</v>
      </c>
      <c r="E308" s="43">
        <v>1</v>
      </c>
      <c r="F308" s="104"/>
      <c r="L308" s="43" t="e">
        <f t="shared" si="22"/>
        <v>#DIV/0!</v>
      </c>
      <c r="M308" t="s">
        <v>1736</v>
      </c>
      <c r="N308" s="43" t="s">
        <v>1746</v>
      </c>
      <c r="O308" s="123" t="e">
        <f t="shared" si="23"/>
        <v>#DIV/0!</v>
      </c>
      <c r="P308" t="s">
        <v>32</v>
      </c>
      <c r="Q308" t="str">
        <f t="shared" si="24"/>
        <v>077</v>
      </c>
      <c r="R308" t="str">
        <f t="shared" si="25"/>
        <v>V</v>
      </c>
    </row>
    <row r="309" spans="1:18" x14ac:dyDescent="0.2">
      <c r="A309" t="s">
        <v>1904</v>
      </c>
      <c r="B309" s="39">
        <v>2</v>
      </c>
      <c r="C309" t="str">
        <f t="shared" si="21"/>
        <v>077.V.a.2</v>
      </c>
      <c r="D309">
        <v>2.8000000000000001E-2</v>
      </c>
      <c r="E309">
        <v>2</v>
      </c>
      <c r="F309" s="104">
        <v>3</v>
      </c>
      <c r="G309">
        <v>6</v>
      </c>
      <c r="H309">
        <v>5</v>
      </c>
      <c r="I309">
        <v>4</v>
      </c>
      <c r="J309">
        <v>6</v>
      </c>
      <c r="K309">
        <v>1</v>
      </c>
      <c r="L309">
        <f t="shared" si="22"/>
        <v>4.4000000000000004</v>
      </c>
      <c r="M309" t="s">
        <v>1736</v>
      </c>
      <c r="O309" s="123">
        <f t="shared" si="23"/>
        <v>22000</v>
      </c>
      <c r="P309" t="s">
        <v>32</v>
      </c>
      <c r="Q309" t="str">
        <f t="shared" si="24"/>
        <v>077</v>
      </c>
      <c r="R309" t="str">
        <f t="shared" si="25"/>
        <v>V</v>
      </c>
    </row>
    <row r="310" spans="1:18" x14ac:dyDescent="0.2">
      <c r="A310" s="6" t="s">
        <v>1904</v>
      </c>
      <c r="B310" s="40">
        <v>3</v>
      </c>
      <c r="C310" t="str">
        <f t="shared" si="21"/>
        <v>077.V.a.3</v>
      </c>
      <c r="D310">
        <v>2.8000000000000001E-2</v>
      </c>
      <c r="E310">
        <v>1</v>
      </c>
      <c r="F310" s="104">
        <v>5</v>
      </c>
      <c r="G310">
        <v>3</v>
      </c>
      <c r="H310">
        <v>2</v>
      </c>
      <c r="I310">
        <v>1</v>
      </c>
      <c r="J310">
        <v>0</v>
      </c>
      <c r="K310">
        <v>0</v>
      </c>
      <c r="L310">
        <f t="shared" si="22"/>
        <v>1.2</v>
      </c>
      <c r="M310" t="s">
        <v>1736</v>
      </c>
      <c r="N310" s="99" t="s">
        <v>1890</v>
      </c>
      <c r="O310" s="123">
        <f t="shared" si="23"/>
        <v>600000</v>
      </c>
      <c r="P310" t="s">
        <v>32</v>
      </c>
      <c r="Q310" t="str">
        <f t="shared" si="24"/>
        <v>077</v>
      </c>
      <c r="R310" t="str">
        <f t="shared" si="25"/>
        <v>V</v>
      </c>
    </row>
    <row r="311" spans="1:18" x14ac:dyDescent="0.2">
      <c r="A311" s="6" t="s">
        <v>1904</v>
      </c>
      <c r="B311" s="40">
        <v>4</v>
      </c>
      <c r="C311" t="str">
        <f t="shared" si="21"/>
        <v>077.V.a.4</v>
      </c>
      <c r="D311">
        <v>5.2999999999999999E-2</v>
      </c>
      <c r="E311">
        <v>2</v>
      </c>
      <c r="F311" s="104">
        <v>5</v>
      </c>
      <c r="G311">
        <v>6</v>
      </c>
      <c r="H311">
        <v>3</v>
      </c>
      <c r="I311">
        <v>3</v>
      </c>
      <c r="J311">
        <v>3</v>
      </c>
      <c r="K311">
        <v>3</v>
      </c>
      <c r="L311">
        <f t="shared" si="22"/>
        <v>3.6</v>
      </c>
      <c r="M311" t="s">
        <v>1736</v>
      </c>
      <c r="O311" s="123">
        <f t="shared" si="23"/>
        <v>1800000</v>
      </c>
      <c r="P311" t="s">
        <v>32</v>
      </c>
      <c r="Q311" t="str">
        <f t="shared" si="24"/>
        <v>077</v>
      </c>
      <c r="R311" t="str">
        <f t="shared" si="25"/>
        <v>V</v>
      </c>
    </row>
    <row r="312" spans="1:18" x14ac:dyDescent="0.2">
      <c r="A312" s="6" t="s">
        <v>1904</v>
      </c>
      <c r="B312" s="40">
        <v>5</v>
      </c>
      <c r="C312" t="str">
        <f t="shared" si="21"/>
        <v>077.V.a.5</v>
      </c>
      <c r="D312">
        <v>6.8000000000000005E-2</v>
      </c>
      <c r="E312">
        <v>2</v>
      </c>
      <c r="F312" s="104">
        <v>5</v>
      </c>
      <c r="G312">
        <v>14</v>
      </c>
      <c r="H312">
        <v>11</v>
      </c>
      <c r="I312">
        <v>9</v>
      </c>
      <c r="J312">
        <v>9</v>
      </c>
      <c r="K312">
        <v>13</v>
      </c>
      <c r="L312">
        <f t="shared" si="22"/>
        <v>11.2</v>
      </c>
      <c r="M312" t="s">
        <v>1736</v>
      </c>
      <c r="O312" s="123">
        <f t="shared" si="23"/>
        <v>5600000</v>
      </c>
      <c r="P312" t="s">
        <v>32</v>
      </c>
      <c r="Q312" t="str">
        <f t="shared" si="24"/>
        <v>077</v>
      </c>
      <c r="R312" t="str">
        <f t="shared" si="25"/>
        <v>V</v>
      </c>
    </row>
    <row r="313" spans="1:18" x14ac:dyDescent="0.2">
      <c r="A313" s="6" t="s">
        <v>1904</v>
      </c>
      <c r="B313" s="40">
        <v>6</v>
      </c>
      <c r="C313" t="str">
        <f t="shared" si="21"/>
        <v>077.V.a.6</v>
      </c>
      <c r="D313">
        <v>9.7000000000000003E-2</v>
      </c>
      <c r="E313">
        <v>5</v>
      </c>
      <c r="F313" s="104">
        <v>5</v>
      </c>
      <c r="G313">
        <v>4</v>
      </c>
      <c r="H313">
        <v>3</v>
      </c>
      <c r="I313">
        <v>4</v>
      </c>
      <c r="J313">
        <v>1</v>
      </c>
      <c r="K313">
        <v>6</v>
      </c>
      <c r="L313">
        <f t="shared" si="22"/>
        <v>3.6</v>
      </c>
      <c r="M313" t="s">
        <v>1736</v>
      </c>
      <c r="O313" s="123">
        <f t="shared" si="23"/>
        <v>1800000</v>
      </c>
      <c r="P313" t="s">
        <v>32</v>
      </c>
      <c r="Q313" t="str">
        <f t="shared" si="24"/>
        <v>077</v>
      </c>
      <c r="R313" t="str">
        <f t="shared" si="25"/>
        <v>V</v>
      </c>
    </row>
    <row r="314" spans="1:18" x14ac:dyDescent="0.2">
      <c r="A314" t="s">
        <v>1905</v>
      </c>
      <c r="B314" s="39">
        <v>1</v>
      </c>
      <c r="C314" t="str">
        <f t="shared" si="21"/>
        <v>077.V.b.1</v>
      </c>
      <c r="D314">
        <v>2.4E-2</v>
      </c>
      <c r="E314">
        <v>1</v>
      </c>
      <c r="F314" s="104">
        <v>3</v>
      </c>
      <c r="G314">
        <v>29</v>
      </c>
      <c r="H314">
        <v>12</v>
      </c>
      <c r="I314">
        <v>23</v>
      </c>
      <c r="J314">
        <v>12</v>
      </c>
      <c r="K314" t="s">
        <v>1890</v>
      </c>
      <c r="L314">
        <f t="shared" si="22"/>
        <v>19</v>
      </c>
      <c r="M314" t="s">
        <v>1736</v>
      </c>
      <c r="O314" s="123">
        <f t="shared" si="23"/>
        <v>95000</v>
      </c>
      <c r="P314" t="s">
        <v>32</v>
      </c>
      <c r="Q314" t="str">
        <f t="shared" si="24"/>
        <v>077</v>
      </c>
      <c r="R314" t="str">
        <f t="shared" si="25"/>
        <v>V</v>
      </c>
    </row>
    <row r="315" spans="1:18" x14ac:dyDescent="0.2">
      <c r="A315" t="s">
        <v>1905</v>
      </c>
      <c r="B315" s="39">
        <v>2</v>
      </c>
      <c r="C315" t="str">
        <f t="shared" si="21"/>
        <v>077.V.b.2</v>
      </c>
      <c r="D315">
        <v>2.9000000000000001E-2</v>
      </c>
      <c r="E315">
        <v>1</v>
      </c>
      <c r="F315" s="104">
        <v>3</v>
      </c>
      <c r="G315">
        <v>9</v>
      </c>
      <c r="H315">
        <v>10</v>
      </c>
      <c r="I315">
        <v>13</v>
      </c>
      <c r="J315">
        <v>13</v>
      </c>
      <c r="K315">
        <v>7</v>
      </c>
      <c r="L315">
        <f t="shared" si="22"/>
        <v>10.4</v>
      </c>
      <c r="M315" t="s">
        <v>1736</v>
      </c>
      <c r="O315" s="123">
        <f t="shared" si="23"/>
        <v>52000</v>
      </c>
      <c r="P315" t="s">
        <v>32</v>
      </c>
      <c r="Q315" t="str">
        <f t="shared" si="24"/>
        <v>077</v>
      </c>
      <c r="R315" t="str">
        <f t="shared" si="25"/>
        <v>V</v>
      </c>
    </row>
    <row r="316" spans="1:18" x14ac:dyDescent="0.2">
      <c r="A316" s="6" t="s">
        <v>1905</v>
      </c>
      <c r="B316" s="40">
        <v>3</v>
      </c>
      <c r="C316" t="str">
        <f t="shared" si="21"/>
        <v>077.V.b.3</v>
      </c>
      <c r="D316">
        <v>4.9000000000000002E-2</v>
      </c>
      <c r="E316">
        <v>4</v>
      </c>
      <c r="F316" s="104">
        <v>3</v>
      </c>
      <c r="G316">
        <v>2</v>
      </c>
      <c r="H316">
        <v>1</v>
      </c>
      <c r="I316">
        <v>0</v>
      </c>
      <c r="J316">
        <v>0</v>
      </c>
      <c r="L316">
        <f t="shared" si="22"/>
        <v>0.75</v>
      </c>
      <c r="M316" t="s">
        <v>1736</v>
      </c>
      <c r="O316" s="123">
        <f t="shared" si="23"/>
        <v>3750</v>
      </c>
      <c r="P316" t="s">
        <v>32</v>
      </c>
      <c r="Q316" t="str">
        <f t="shared" si="24"/>
        <v>077</v>
      </c>
      <c r="R316" t="str">
        <f t="shared" si="25"/>
        <v>V</v>
      </c>
    </row>
    <row r="317" spans="1:18" x14ac:dyDescent="0.2">
      <c r="A317" s="6" t="s">
        <v>1905</v>
      </c>
      <c r="B317" s="40">
        <v>4</v>
      </c>
      <c r="C317" t="str">
        <f t="shared" si="21"/>
        <v>077.V.b.4</v>
      </c>
      <c r="D317">
        <v>6.2E-2</v>
      </c>
      <c r="E317">
        <v>2</v>
      </c>
      <c r="F317" s="104">
        <v>5</v>
      </c>
      <c r="G317">
        <v>8</v>
      </c>
      <c r="H317">
        <v>12</v>
      </c>
      <c r="I317">
        <v>4</v>
      </c>
      <c r="J317">
        <v>11</v>
      </c>
      <c r="K317">
        <v>6</v>
      </c>
      <c r="L317">
        <f t="shared" si="22"/>
        <v>8.1999999999999993</v>
      </c>
      <c r="M317" t="s">
        <v>1736</v>
      </c>
      <c r="O317" s="123">
        <f t="shared" si="23"/>
        <v>4099999.9999999995</v>
      </c>
      <c r="P317" t="s">
        <v>32</v>
      </c>
      <c r="Q317" t="str">
        <f t="shared" si="24"/>
        <v>077</v>
      </c>
      <c r="R317" t="str">
        <f t="shared" si="25"/>
        <v>V</v>
      </c>
    </row>
    <row r="318" spans="1:18" s="43" customFormat="1" x14ac:dyDescent="0.2">
      <c r="A318" s="59" t="s">
        <v>1905</v>
      </c>
      <c r="B318" s="73">
        <v>5</v>
      </c>
      <c r="C318" s="43" t="str">
        <f t="shared" si="21"/>
        <v>077.V.b.5</v>
      </c>
      <c r="D318" s="43">
        <v>5.2999999999999999E-2</v>
      </c>
      <c r="E318" s="43">
        <v>2</v>
      </c>
      <c r="F318" s="104"/>
      <c r="L318" s="43" t="e">
        <f t="shared" si="22"/>
        <v>#DIV/0!</v>
      </c>
      <c r="M318" s="43" t="s">
        <v>1736</v>
      </c>
      <c r="N318" s="43" t="s">
        <v>1890</v>
      </c>
      <c r="O318" s="123" t="e">
        <f t="shared" si="23"/>
        <v>#DIV/0!</v>
      </c>
      <c r="P318" t="s">
        <v>32</v>
      </c>
      <c r="Q318" t="str">
        <f t="shared" si="24"/>
        <v>077</v>
      </c>
      <c r="R318" t="str">
        <f t="shared" si="25"/>
        <v>V</v>
      </c>
    </row>
    <row r="319" spans="1:18" x14ac:dyDescent="0.2">
      <c r="A319" s="6" t="s">
        <v>1905</v>
      </c>
      <c r="B319" s="40">
        <v>6</v>
      </c>
      <c r="C319" t="str">
        <f t="shared" si="21"/>
        <v>077.V.b.6</v>
      </c>
      <c r="D319">
        <v>0.125</v>
      </c>
      <c r="E319" t="s">
        <v>1740</v>
      </c>
      <c r="F319" s="104">
        <v>5</v>
      </c>
      <c r="G319">
        <v>16</v>
      </c>
      <c r="H319">
        <v>13</v>
      </c>
      <c r="I319">
        <v>13</v>
      </c>
      <c r="J319">
        <v>13</v>
      </c>
      <c r="K319">
        <v>13</v>
      </c>
      <c r="L319">
        <f t="shared" si="22"/>
        <v>13.6</v>
      </c>
      <c r="M319" t="s">
        <v>1736</v>
      </c>
      <c r="O319" s="123">
        <f t="shared" si="23"/>
        <v>6800000</v>
      </c>
      <c r="P319" t="s">
        <v>32</v>
      </c>
      <c r="Q319" t="str">
        <f t="shared" si="24"/>
        <v>077</v>
      </c>
      <c r="R319" t="str">
        <f t="shared" si="25"/>
        <v>V</v>
      </c>
    </row>
    <row r="320" spans="1:18" x14ac:dyDescent="0.2">
      <c r="A320" t="s">
        <v>1906</v>
      </c>
      <c r="B320" s="39">
        <v>1</v>
      </c>
      <c r="C320" t="str">
        <f t="shared" si="21"/>
        <v>077.V.c.1</v>
      </c>
      <c r="D320">
        <v>1.4E-2</v>
      </c>
      <c r="E320">
        <v>1</v>
      </c>
      <c r="F320" s="104">
        <v>3</v>
      </c>
      <c r="G320">
        <v>3</v>
      </c>
      <c r="H320">
        <v>13</v>
      </c>
      <c r="I320">
        <v>10</v>
      </c>
      <c r="J320">
        <v>11</v>
      </c>
      <c r="K320">
        <v>10</v>
      </c>
      <c r="L320">
        <f t="shared" si="22"/>
        <v>9.4</v>
      </c>
      <c r="M320" t="s">
        <v>1736</v>
      </c>
      <c r="O320" s="123">
        <f t="shared" si="23"/>
        <v>47000</v>
      </c>
      <c r="P320" t="s">
        <v>32</v>
      </c>
      <c r="Q320" t="str">
        <f t="shared" si="24"/>
        <v>077</v>
      </c>
      <c r="R320" t="str">
        <f t="shared" si="25"/>
        <v>V</v>
      </c>
    </row>
    <row r="321" spans="1:18" x14ac:dyDescent="0.2">
      <c r="A321" t="s">
        <v>1906</v>
      </c>
      <c r="B321" s="39">
        <v>2</v>
      </c>
      <c r="C321" t="str">
        <f t="shared" si="21"/>
        <v>077.V.c.2</v>
      </c>
      <c r="D321">
        <v>1.4E-2</v>
      </c>
      <c r="E321">
        <v>1</v>
      </c>
      <c r="L321" t="e">
        <f t="shared" si="22"/>
        <v>#DIV/0!</v>
      </c>
      <c r="O321" s="123" t="e">
        <f t="shared" si="23"/>
        <v>#DIV/0!</v>
      </c>
      <c r="P321" t="s">
        <v>32</v>
      </c>
      <c r="Q321" t="str">
        <f t="shared" si="24"/>
        <v>077</v>
      </c>
      <c r="R321" t="str">
        <f t="shared" si="25"/>
        <v>V</v>
      </c>
    </row>
    <row r="322" spans="1:18" x14ac:dyDescent="0.2">
      <c r="A322" s="6" t="s">
        <v>1906</v>
      </c>
      <c r="B322" s="40">
        <v>3</v>
      </c>
      <c r="C322" t="str">
        <f t="shared" ref="C322:C385" si="26">A322&amp;"."&amp;B322</f>
        <v>077.V.c.3</v>
      </c>
      <c r="D322">
        <v>1.4999999999999999E-2</v>
      </c>
      <c r="E322">
        <v>1</v>
      </c>
      <c r="F322" s="104">
        <v>4</v>
      </c>
      <c r="G322">
        <v>4</v>
      </c>
      <c r="H322">
        <v>5</v>
      </c>
      <c r="I322">
        <v>5</v>
      </c>
      <c r="J322">
        <v>3</v>
      </c>
      <c r="K322">
        <v>3</v>
      </c>
      <c r="L322">
        <f t="shared" si="22"/>
        <v>4</v>
      </c>
      <c r="M322" t="s">
        <v>1736</v>
      </c>
      <c r="O322" s="123">
        <f t="shared" si="23"/>
        <v>200000</v>
      </c>
      <c r="P322" t="s">
        <v>32</v>
      </c>
      <c r="Q322" t="str">
        <f t="shared" si="24"/>
        <v>077</v>
      </c>
      <c r="R322" t="str">
        <f t="shared" si="25"/>
        <v>V</v>
      </c>
    </row>
    <row r="323" spans="1:18" s="43" customFormat="1" x14ac:dyDescent="0.2">
      <c r="A323" s="59" t="s">
        <v>1906</v>
      </c>
      <c r="B323" s="73">
        <v>4</v>
      </c>
      <c r="C323" s="43" t="str">
        <f t="shared" si="26"/>
        <v>077.V.c.4</v>
      </c>
      <c r="D323" s="43">
        <v>3.2000000000000001E-2</v>
      </c>
      <c r="E323" s="43">
        <v>3</v>
      </c>
      <c r="F323" s="104"/>
      <c r="L323" s="43" t="e">
        <f t="shared" ref="L323:L386" si="27">AVERAGE(G323:K323)</f>
        <v>#DIV/0!</v>
      </c>
      <c r="M323" s="43" t="s">
        <v>1736</v>
      </c>
      <c r="N323" s="43" t="s">
        <v>1892</v>
      </c>
      <c r="O323" s="123" t="e">
        <f t="shared" ref="O323:O386" si="28">(L323/2)*10^(F323+1)</f>
        <v>#DIV/0!</v>
      </c>
      <c r="P323" t="s">
        <v>32</v>
      </c>
      <c r="Q323" t="str">
        <f t="shared" ref="Q323:Q386" si="29">LEFT(A323,3)</f>
        <v>077</v>
      </c>
      <c r="R323" t="str">
        <f t="shared" ref="R323:R386" si="30">LEFT(RIGHT(A323,3),1)</f>
        <v>V</v>
      </c>
    </row>
    <row r="324" spans="1:18" x14ac:dyDescent="0.2">
      <c r="A324" s="6" t="s">
        <v>1906</v>
      </c>
      <c r="B324" s="40">
        <v>5</v>
      </c>
      <c r="C324" t="str">
        <f t="shared" si="26"/>
        <v>077.V.c.5</v>
      </c>
      <c r="D324">
        <v>3.5000000000000003E-2</v>
      </c>
      <c r="E324">
        <v>2</v>
      </c>
      <c r="F324" s="104">
        <v>5</v>
      </c>
      <c r="G324">
        <v>1</v>
      </c>
      <c r="H324">
        <v>5</v>
      </c>
      <c r="I324">
        <v>1</v>
      </c>
      <c r="J324">
        <v>5</v>
      </c>
      <c r="K324">
        <v>1</v>
      </c>
      <c r="L324">
        <f t="shared" si="27"/>
        <v>2.6</v>
      </c>
      <c r="M324" t="s">
        <v>1736</v>
      </c>
      <c r="O324" s="123">
        <f t="shared" si="28"/>
        <v>1300000</v>
      </c>
      <c r="P324" t="s">
        <v>32</v>
      </c>
      <c r="Q324" t="str">
        <f t="shared" si="29"/>
        <v>077</v>
      </c>
      <c r="R324" t="str">
        <f t="shared" si="30"/>
        <v>V</v>
      </c>
    </row>
    <row r="325" spans="1:18" x14ac:dyDescent="0.2">
      <c r="A325" s="6" t="s">
        <v>1906</v>
      </c>
      <c r="B325" s="40">
        <v>6</v>
      </c>
      <c r="C325" t="str">
        <f t="shared" si="26"/>
        <v>077.V.c.6</v>
      </c>
      <c r="D325">
        <v>6.5000000000000002E-2</v>
      </c>
      <c r="E325">
        <v>3</v>
      </c>
      <c r="F325" s="104">
        <v>6</v>
      </c>
      <c r="G325">
        <v>8</v>
      </c>
      <c r="H325">
        <v>9</v>
      </c>
      <c r="I325">
        <v>12</v>
      </c>
      <c r="J325">
        <v>7</v>
      </c>
      <c r="K325">
        <v>6</v>
      </c>
      <c r="L325">
        <f t="shared" si="27"/>
        <v>8.4</v>
      </c>
      <c r="M325" t="s">
        <v>1736</v>
      </c>
      <c r="O325" s="123">
        <f t="shared" si="28"/>
        <v>42000000</v>
      </c>
      <c r="P325" t="s">
        <v>32</v>
      </c>
      <c r="Q325" t="str">
        <f t="shared" si="29"/>
        <v>077</v>
      </c>
      <c r="R325" t="str">
        <f t="shared" si="30"/>
        <v>V</v>
      </c>
    </row>
    <row r="326" spans="1:18" x14ac:dyDescent="0.2">
      <c r="A326" t="s">
        <v>1907</v>
      </c>
      <c r="B326" s="39">
        <v>1</v>
      </c>
      <c r="C326" t="str">
        <f t="shared" si="26"/>
        <v>112.O.a.1</v>
      </c>
      <c r="D326">
        <v>0.02</v>
      </c>
      <c r="E326">
        <v>1</v>
      </c>
      <c r="F326" s="104">
        <v>4</v>
      </c>
      <c r="G326">
        <v>7</v>
      </c>
      <c r="H326">
        <v>9</v>
      </c>
      <c r="I326">
        <v>20</v>
      </c>
      <c r="J326">
        <v>13</v>
      </c>
      <c r="K326">
        <v>19</v>
      </c>
      <c r="L326">
        <f t="shared" si="27"/>
        <v>13.6</v>
      </c>
      <c r="M326" t="s">
        <v>72</v>
      </c>
      <c r="O326" s="123">
        <f t="shared" si="28"/>
        <v>680000</v>
      </c>
      <c r="P326" t="s">
        <v>1254</v>
      </c>
      <c r="Q326" t="str">
        <f t="shared" si="29"/>
        <v>112</v>
      </c>
      <c r="R326" t="str">
        <f t="shared" si="30"/>
        <v>O</v>
      </c>
    </row>
    <row r="327" spans="1:18" x14ac:dyDescent="0.2">
      <c r="A327" t="s">
        <v>1907</v>
      </c>
      <c r="B327" s="39">
        <v>2</v>
      </c>
      <c r="C327" t="str">
        <f t="shared" si="26"/>
        <v>112.O.a.2</v>
      </c>
      <c r="D327">
        <v>1.7999999999999999E-2</v>
      </c>
      <c r="E327">
        <v>1</v>
      </c>
      <c r="F327" s="104">
        <v>4</v>
      </c>
      <c r="G327">
        <v>20</v>
      </c>
      <c r="H327">
        <v>12</v>
      </c>
      <c r="I327">
        <v>17</v>
      </c>
      <c r="J327">
        <v>18</v>
      </c>
      <c r="K327">
        <v>22</v>
      </c>
      <c r="L327">
        <f t="shared" si="27"/>
        <v>17.8</v>
      </c>
      <c r="M327" t="s">
        <v>72</v>
      </c>
      <c r="O327" s="123">
        <f t="shared" si="28"/>
        <v>890000</v>
      </c>
      <c r="P327" t="s">
        <v>1254</v>
      </c>
      <c r="Q327" t="str">
        <f t="shared" si="29"/>
        <v>112</v>
      </c>
      <c r="R327" t="str">
        <f t="shared" si="30"/>
        <v>O</v>
      </c>
    </row>
    <row r="328" spans="1:18" x14ac:dyDescent="0.2">
      <c r="A328" s="6" t="s">
        <v>1907</v>
      </c>
      <c r="B328" s="40">
        <v>3</v>
      </c>
      <c r="C328" t="str">
        <f t="shared" si="26"/>
        <v>112.O.a.3</v>
      </c>
      <c r="D328">
        <v>3.6999999999999998E-2</v>
      </c>
      <c r="E328">
        <v>1</v>
      </c>
      <c r="F328" s="104">
        <v>4</v>
      </c>
      <c r="G328">
        <v>64</v>
      </c>
      <c r="H328">
        <v>54</v>
      </c>
      <c r="I328">
        <v>58</v>
      </c>
      <c r="J328">
        <v>68</v>
      </c>
      <c r="K328" t="s">
        <v>1908</v>
      </c>
      <c r="L328">
        <f t="shared" si="27"/>
        <v>61</v>
      </c>
      <c r="M328" t="s">
        <v>72</v>
      </c>
      <c r="O328" s="123">
        <f t="shared" si="28"/>
        <v>3050000</v>
      </c>
      <c r="P328" t="s">
        <v>1254</v>
      </c>
      <c r="Q328" t="str">
        <f t="shared" si="29"/>
        <v>112</v>
      </c>
      <c r="R328" t="str">
        <f t="shared" si="30"/>
        <v>O</v>
      </c>
    </row>
    <row r="329" spans="1:18" x14ac:dyDescent="0.2">
      <c r="A329" s="6" t="s">
        <v>1907</v>
      </c>
      <c r="B329" s="40">
        <v>4</v>
      </c>
      <c r="C329" t="str">
        <f t="shared" si="26"/>
        <v>112.O.a.4</v>
      </c>
      <c r="D329">
        <v>5.3999999999999999E-2</v>
      </c>
      <c r="E329">
        <v>3</v>
      </c>
      <c r="F329" s="104">
        <v>6</v>
      </c>
      <c r="G329">
        <v>2</v>
      </c>
      <c r="H329">
        <v>6</v>
      </c>
      <c r="I329">
        <v>1</v>
      </c>
      <c r="J329">
        <v>1</v>
      </c>
      <c r="K329">
        <v>3</v>
      </c>
      <c r="L329">
        <f t="shared" si="27"/>
        <v>2.6</v>
      </c>
      <c r="M329" t="s">
        <v>72</v>
      </c>
      <c r="O329" s="123">
        <f t="shared" si="28"/>
        <v>13000000</v>
      </c>
      <c r="P329" t="s">
        <v>1254</v>
      </c>
      <c r="Q329" t="str">
        <f t="shared" si="29"/>
        <v>112</v>
      </c>
      <c r="R329" t="str">
        <f t="shared" si="30"/>
        <v>O</v>
      </c>
    </row>
    <row r="330" spans="1:18" x14ac:dyDescent="0.2">
      <c r="A330" s="6" t="s">
        <v>1907</v>
      </c>
      <c r="B330" s="40">
        <v>5</v>
      </c>
      <c r="C330" t="str">
        <f t="shared" si="26"/>
        <v>112.O.a.5</v>
      </c>
      <c r="D330">
        <v>0.126</v>
      </c>
      <c r="E330" t="s">
        <v>1833</v>
      </c>
      <c r="F330" s="104">
        <v>5</v>
      </c>
      <c r="G330" t="s">
        <v>45</v>
      </c>
      <c r="H330" t="s">
        <v>45</v>
      </c>
      <c r="I330">
        <v>15</v>
      </c>
      <c r="J330" t="s">
        <v>45</v>
      </c>
      <c r="K330" t="s">
        <v>45</v>
      </c>
      <c r="L330">
        <f t="shared" si="27"/>
        <v>15</v>
      </c>
      <c r="M330" t="s">
        <v>72</v>
      </c>
      <c r="O330" s="123">
        <f t="shared" si="28"/>
        <v>7500000</v>
      </c>
      <c r="P330" t="s">
        <v>1254</v>
      </c>
      <c r="Q330" t="str">
        <f t="shared" si="29"/>
        <v>112</v>
      </c>
      <c r="R330" t="str">
        <f t="shared" si="30"/>
        <v>O</v>
      </c>
    </row>
    <row r="331" spans="1:18" x14ac:dyDescent="0.2">
      <c r="A331" s="6" t="s">
        <v>1907</v>
      </c>
      <c r="B331" s="40">
        <v>6</v>
      </c>
      <c r="C331" t="str">
        <f>A331&amp;"."&amp;B331</f>
        <v>112.O.a.6</v>
      </c>
      <c r="D331">
        <v>0.17199999999999999</v>
      </c>
      <c r="E331" t="s">
        <v>1833</v>
      </c>
      <c r="F331" s="104" t="s">
        <v>57</v>
      </c>
      <c r="G331" t="s">
        <v>57</v>
      </c>
      <c r="H331" t="s">
        <v>57</v>
      </c>
      <c r="I331" t="s">
        <v>57</v>
      </c>
      <c r="J331" t="s">
        <v>57</v>
      </c>
      <c r="K331" t="s">
        <v>57</v>
      </c>
      <c r="L331" t="e">
        <f t="shared" si="27"/>
        <v>#DIV/0!</v>
      </c>
      <c r="N331" t="s">
        <v>1909</v>
      </c>
      <c r="O331" s="123" t="e">
        <f t="shared" si="28"/>
        <v>#DIV/0!</v>
      </c>
      <c r="P331" t="s">
        <v>1254</v>
      </c>
      <c r="Q331" t="str">
        <f t="shared" si="29"/>
        <v>112</v>
      </c>
      <c r="R331" t="str">
        <f t="shared" si="30"/>
        <v>O</v>
      </c>
    </row>
    <row r="332" spans="1:18" x14ac:dyDescent="0.2">
      <c r="A332" t="s">
        <v>1910</v>
      </c>
      <c r="B332" s="39">
        <v>1</v>
      </c>
      <c r="C332" t="str">
        <f t="shared" si="26"/>
        <v>112.O.b.1</v>
      </c>
      <c r="D332">
        <v>1.0999999999999999E-2</v>
      </c>
      <c r="E332">
        <v>1</v>
      </c>
      <c r="L332" t="e">
        <f t="shared" si="27"/>
        <v>#DIV/0!</v>
      </c>
      <c r="N332" t="s">
        <v>1911</v>
      </c>
      <c r="O332" s="123" t="e">
        <f t="shared" si="28"/>
        <v>#DIV/0!</v>
      </c>
      <c r="P332" t="s">
        <v>1254</v>
      </c>
      <c r="Q332" t="str">
        <f t="shared" si="29"/>
        <v>112</v>
      </c>
      <c r="R332" t="str">
        <f t="shared" si="30"/>
        <v>O</v>
      </c>
    </row>
    <row r="333" spans="1:18" x14ac:dyDescent="0.2">
      <c r="A333" t="s">
        <v>1910</v>
      </c>
      <c r="B333" s="39">
        <v>2</v>
      </c>
      <c r="C333" t="str">
        <f>A333&amp;"."&amp;B333</f>
        <v>112.O.b.2</v>
      </c>
      <c r="D333">
        <v>4.4999999999999998E-2</v>
      </c>
      <c r="E333">
        <v>1</v>
      </c>
      <c r="F333" s="104">
        <v>6</v>
      </c>
      <c r="G333">
        <v>5</v>
      </c>
      <c r="H333">
        <v>8</v>
      </c>
      <c r="I333">
        <v>8</v>
      </c>
      <c r="J333">
        <v>6</v>
      </c>
      <c r="K333">
        <v>3</v>
      </c>
      <c r="L333">
        <f t="shared" si="27"/>
        <v>6</v>
      </c>
      <c r="N333" t="s">
        <v>1912</v>
      </c>
      <c r="O333" s="123">
        <f t="shared" si="28"/>
        <v>30000000</v>
      </c>
      <c r="P333" t="s">
        <v>1254</v>
      </c>
      <c r="Q333" t="str">
        <f t="shared" si="29"/>
        <v>112</v>
      </c>
      <c r="R333" t="str">
        <f t="shared" si="30"/>
        <v>O</v>
      </c>
    </row>
    <row r="334" spans="1:18" x14ac:dyDescent="0.2">
      <c r="A334" s="6" t="s">
        <v>1910</v>
      </c>
      <c r="B334" s="40">
        <v>3</v>
      </c>
      <c r="C334" t="str">
        <f t="shared" si="26"/>
        <v>112.O.b.3</v>
      </c>
      <c r="D334">
        <v>3.4000000000000002E-2</v>
      </c>
      <c r="E334">
        <v>2</v>
      </c>
      <c r="F334" s="104">
        <v>5</v>
      </c>
      <c r="G334">
        <v>26</v>
      </c>
      <c r="H334">
        <v>27</v>
      </c>
      <c r="I334">
        <v>33</v>
      </c>
      <c r="J334">
        <v>22</v>
      </c>
      <c r="K334">
        <v>26</v>
      </c>
      <c r="L334">
        <f t="shared" si="27"/>
        <v>26.8</v>
      </c>
      <c r="N334" t="s">
        <v>1912</v>
      </c>
      <c r="O334" s="123">
        <f t="shared" si="28"/>
        <v>13400000</v>
      </c>
      <c r="P334" t="s">
        <v>1254</v>
      </c>
      <c r="Q334" t="str">
        <f t="shared" si="29"/>
        <v>112</v>
      </c>
      <c r="R334" t="str">
        <f t="shared" si="30"/>
        <v>O</v>
      </c>
    </row>
    <row r="335" spans="1:18" x14ac:dyDescent="0.2">
      <c r="A335" s="6" t="s">
        <v>1910</v>
      </c>
      <c r="B335" s="40">
        <v>4</v>
      </c>
      <c r="C335" t="str">
        <f t="shared" si="26"/>
        <v>112.O.b.4</v>
      </c>
      <c r="D335">
        <v>0.09</v>
      </c>
      <c r="E335">
        <v>5</v>
      </c>
      <c r="F335" s="104">
        <v>6</v>
      </c>
      <c r="G335" t="s">
        <v>45</v>
      </c>
      <c r="H335">
        <v>27</v>
      </c>
      <c r="I335">
        <v>25</v>
      </c>
      <c r="J335">
        <v>23</v>
      </c>
      <c r="K335">
        <v>25</v>
      </c>
      <c r="L335">
        <f t="shared" si="27"/>
        <v>25</v>
      </c>
      <c r="M335" t="s">
        <v>72</v>
      </c>
      <c r="N335" t="s">
        <v>1913</v>
      </c>
      <c r="O335" s="123">
        <f t="shared" si="28"/>
        <v>125000000</v>
      </c>
      <c r="P335" t="s">
        <v>1254</v>
      </c>
      <c r="Q335" t="str">
        <f t="shared" si="29"/>
        <v>112</v>
      </c>
      <c r="R335" t="str">
        <f t="shared" si="30"/>
        <v>O</v>
      </c>
    </row>
    <row r="336" spans="1:18" x14ac:dyDescent="0.2">
      <c r="A336" s="6" t="s">
        <v>1910</v>
      </c>
      <c r="B336" s="40">
        <v>5</v>
      </c>
      <c r="C336" t="str">
        <f t="shared" si="26"/>
        <v>112.O.b.5</v>
      </c>
      <c r="D336">
        <v>7.3999999999999996E-2</v>
      </c>
      <c r="E336">
        <v>4</v>
      </c>
      <c r="L336" t="e">
        <f t="shared" si="27"/>
        <v>#DIV/0!</v>
      </c>
      <c r="N336" t="s">
        <v>1914</v>
      </c>
      <c r="O336" s="123" t="e">
        <f t="shared" si="28"/>
        <v>#DIV/0!</v>
      </c>
      <c r="P336" t="s">
        <v>1254</v>
      </c>
      <c r="Q336" t="str">
        <f t="shared" si="29"/>
        <v>112</v>
      </c>
      <c r="R336" t="str">
        <f t="shared" si="30"/>
        <v>O</v>
      </c>
    </row>
    <row r="337" spans="1:18" x14ac:dyDescent="0.2">
      <c r="A337" s="6" t="s">
        <v>1910</v>
      </c>
      <c r="B337" s="40">
        <v>6</v>
      </c>
      <c r="C337" t="str">
        <f t="shared" si="26"/>
        <v>112.O.b.6</v>
      </c>
      <c r="D337">
        <v>0.188</v>
      </c>
      <c r="E337" t="s">
        <v>1833</v>
      </c>
      <c r="F337" s="104">
        <v>7</v>
      </c>
      <c r="G337">
        <v>1</v>
      </c>
      <c r="H337">
        <v>3</v>
      </c>
      <c r="I337">
        <v>1</v>
      </c>
      <c r="J337">
        <v>1</v>
      </c>
      <c r="K337">
        <v>1</v>
      </c>
      <c r="L337">
        <f t="shared" si="27"/>
        <v>1.4</v>
      </c>
      <c r="N337" t="s">
        <v>1915</v>
      </c>
      <c r="O337" s="123">
        <f t="shared" si="28"/>
        <v>70000000</v>
      </c>
      <c r="P337" t="s">
        <v>1254</v>
      </c>
      <c r="Q337" t="str">
        <f t="shared" si="29"/>
        <v>112</v>
      </c>
      <c r="R337" t="str">
        <f t="shared" si="30"/>
        <v>O</v>
      </c>
    </row>
    <row r="338" spans="1:18" x14ac:dyDescent="0.2">
      <c r="A338" t="s">
        <v>1916</v>
      </c>
      <c r="B338" s="39">
        <v>1</v>
      </c>
      <c r="C338" t="str">
        <f t="shared" si="26"/>
        <v>112.O.c.1</v>
      </c>
      <c r="D338">
        <v>7.0000000000000001E-3</v>
      </c>
      <c r="E338">
        <v>1</v>
      </c>
      <c r="F338" s="104">
        <v>2</v>
      </c>
      <c r="G338" t="s">
        <v>57</v>
      </c>
      <c r="H338" t="s">
        <v>57</v>
      </c>
      <c r="I338" t="s">
        <v>57</v>
      </c>
      <c r="J338" t="s">
        <v>57</v>
      </c>
      <c r="K338" t="s">
        <v>57</v>
      </c>
      <c r="L338" t="e">
        <f t="shared" si="27"/>
        <v>#DIV/0!</v>
      </c>
      <c r="N338" t="s">
        <v>1917</v>
      </c>
      <c r="O338" s="123" t="e">
        <f t="shared" si="28"/>
        <v>#DIV/0!</v>
      </c>
      <c r="P338" t="s">
        <v>1254</v>
      </c>
      <c r="Q338" t="str">
        <f t="shared" si="29"/>
        <v>112</v>
      </c>
      <c r="R338" t="str">
        <f t="shared" si="30"/>
        <v>O</v>
      </c>
    </row>
    <row r="339" spans="1:18" x14ac:dyDescent="0.2">
      <c r="A339" t="s">
        <v>1916</v>
      </c>
      <c r="B339" s="39">
        <v>2</v>
      </c>
      <c r="C339" t="str">
        <f t="shared" si="26"/>
        <v>112.O.c.2</v>
      </c>
      <c r="D339">
        <v>2.8000000000000001E-2</v>
      </c>
      <c r="E339">
        <v>1</v>
      </c>
      <c r="F339" s="104">
        <v>3</v>
      </c>
      <c r="G339">
        <v>39</v>
      </c>
      <c r="H339">
        <v>33</v>
      </c>
      <c r="I339">
        <v>35</v>
      </c>
      <c r="J339">
        <v>27</v>
      </c>
      <c r="K339">
        <v>18</v>
      </c>
      <c r="L339">
        <f t="shared" si="27"/>
        <v>30.4</v>
      </c>
      <c r="M339" t="s">
        <v>72</v>
      </c>
      <c r="O339" s="123">
        <f t="shared" si="28"/>
        <v>152000</v>
      </c>
      <c r="P339" t="s">
        <v>1254</v>
      </c>
      <c r="Q339" t="str">
        <f t="shared" si="29"/>
        <v>112</v>
      </c>
      <c r="R339" t="str">
        <f t="shared" si="30"/>
        <v>O</v>
      </c>
    </row>
    <row r="340" spans="1:18" x14ac:dyDescent="0.2">
      <c r="A340" s="6" t="s">
        <v>1916</v>
      </c>
      <c r="B340" s="40">
        <v>3</v>
      </c>
      <c r="C340" t="str">
        <f t="shared" si="26"/>
        <v>112.O.c.3</v>
      </c>
      <c r="D340">
        <v>3.5000000000000003E-2</v>
      </c>
      <c r="E340">
        <v>2</v>
      </c>
      <c r="F340" s="104">
        <v>3</v>
      </c>
      <c r="G340">
        <v>12</v>
      </c>
      <c r="H340">
        <v>5</v>
      </c>
      <c r="I340">
        <v>8</v>
      </c>
      <c r="J340">
        <v>3</v>
      </c>
      <c r="K340">
        <v>5</v>
      </c>
      <c r="L340">
        <f t="shared" si="27"/>
        <v>6.6</v>
      </c>
      <c r="M340" t="s">
        <v>72</v>
      </c>
      <c r="O340" s="123">
        <f t="shared" si="28"/>
        <v>33000</v>
      </c>
      <c r="P340" t="s">
        <v>1254</v>
      </c>
      <c r="Q340" t="str">
        <f t="shared" si="29"/>
        <v>112</v>
      </c>
      <c r="R340" t="str">
        <f t="shared" si="30"/>
        <v>O</v>
      </c>
    </row>
    <row r="341" spans="1:18" x14ac:dyDescent="0.2">
      <c r="A341" s="6" t="s">
        <v>1916</v>
      </c>
      <c r="B341" s="40">
        <v>4</v>
      </c>
      <c r="C341" t="str">
        <f t="shared" si="26"/>
        <v>112.O.c.4</v>
      </c>
      <c r="D341">
        <v>5.2999999999999999E-2</v>
      </c>
      <c r="E341">
        <v>3</v>
      </c>
      <c r="L341" t="e">
        <f t="shared" si="27"/>
        <v>#DIV/0!</v>
      </c>
      <c r="N341" t="s">
        <v>1918</v>
      </c>
      <c r="O341" s="123" t="e">
        <f t="shared" si="28"/>
        <v>#DIV/0!</v>
      </c>
      <c r="P341" t="s">
        <v>1254</v>
      </c>
      <c r="Q341" t="str">
        <f t="shared" si="29"/>
        <v>112</v>
      </c>
      <c r="R341" t="str">
        <f t="shared" si="30"/>
        <v>O</v>
      </c>
    </row>
    <row r="342" spans="1:18" x14ac:dyDescent="0.2">
      <c r="A342" s="6" t="s">
        <v>1916</v>
      </c>
      <c r="B342" s="40">
        <v>5</v>
      </c>
      <c r="C342" t="str">
        <f t="shared" si="26"/>
        <v>112.O.c.5</v>
      </c>
      <c r="D342">
        <v>9.7000000000000003E-2</v>
      </c>
      <c r="E342">
        <v>4</v>
      </c>
      <c r="L342" t="e">
        <f t="shared" si="27"/>
        <v>#DIV/0!</v>
      </c>
      <c r="N342" t="s">
        <v>1919</v>
      </c>
      <c r="O342" s="123" t="e">
        <f t="shared" si="28"/>
        <v>#DIV/0!</v>
      </c>
      <c r="P342" t="s">
        <v>1254</v>
      </c>
      <c r="Q342" t="str">
        <f t="shared" si="29"/>
        <v>112</v>
      </c>
      <c r="R342" t="str">
        <f t="shared" si="30"/>
        <v>O</v>
      </c>
    </row>
    <row r="343" spans="1:18" x14ac:dyDescent="0.2">
      <c r="A343" s="6" t="s">
        <v>1916</v>
      </c>
      <c r="B343" s="40">
        <v>6</v>
      </c>
      <c r="C343" t="str">
        <f t="shared" si="26"/>
        <v>112.O.c.6</v>
      </c>
      <c r="D343">
        <v>0.126</v>
      </c>
      <c r="E343" t="s">
        <v>1833</v>
      </c>
      <c r="F343" s="104">
        <v>5</v>
      </c>
      <c r="G343">
        <v>3</v>
      </c>
      <c r="H343">
        <v>0</v>
      </c>
      <c r="I343">
        <v>4</v>
      </c>
      <c r="J343">
        <v>1</v>
      </c>
      <c r="K343">
        <v>1</v>
      </c>
      <c r="L343">
        <f t="shared" si="27"/>
        <v>1.8</v>
      </c>
      <c r="M343" t="s">
        <v>72</v>
      </c>
      <c r="O343" s="123">
        <f t="shared" si="28"/>
        <v>900000</v>
      </c>
      <c r="P343" t="s">
        <v>1254</v>
      </c>
      <c r="Q343" t="str">
        <f t="shared" si="29"/>
        <v>112</v>
      </c>
      <c r="R343" t="str">
        <f t="shared" si="30"/>
        <v>O</v>
      </c>
    </row>
    <row r="344" spans="1:18" x14ac:dyDescent="0.2">
      <c r="A344" t="s">
        <v>1920</v>
      </c>
      <c r="B344" s="39">
        <v>1</v>
      </c>
      <c r="C344" t="str">
        <f t="shared" si="26"/>
        <v>112.S.a.1</v>
      </c>
      <c r="D344">
        <v>1.2E-2</v>
      </c>
      <c r="E344">
        <v>1</v>
      </c>
      <c r="F344" s="104">
        <v>4</v>
      </c>
      <c r="G344">
        <v>10</v>
      </c>
      <c r="H344">
        <v>6</v>
      </c>
      <c r="I344">
        <v>5</v>
      </c>
      <c r="J344">
        <v>7</v>
      </c>
      <c r="K344">
        <v>8</v>
      </c>
      <c r="L344">
        <f t="shared" si="27"/>
        <v>7.2</v>
      </c>
      <c r="M344" t="s">
        <v>72</v>
      </c>
      <c r="O344" s="123">
        <f t="shared" si="28"/>
        <v>360000</v>
      </c>
      <c r="P344" t="s">
        <v>1254</v>
      </c>
      <c r="Q344" t="str">
        <f t="shared" si="29"/>
        <v>112</v>
      </c>
      <c r="R344" t="str">
        <f t="shared" si="30"/>
        <v>S</v>
      </c>
    </row>
    <row r="345" spans="1:18" x14ac:dyDescent="0.2">
      <c r="A345" t="s">
        <v>1920</v>
      </c>
      <c r="B345" s="39">
        <v>2</v>
      </c>
      <c r="C345" t="str">
        <f t="shared" si="26"/>
        <v>112.S.a.2</v>
      </c>
      <c r="D345">
        <v>1.4999999999999999E-2</v>
      </c>
      <c r="E345">
        <v>1</v>
      </c>
      <c r="F345" s="104">
        <v>4</v>
      </c>
      <c r="G345">
        <v>15</v>
      </c>
      <c r="H345">
        <v>21</v>
      </c>
      <c r="I345">
        <v>24</v>
      </c>
      <c r="J345">
        <v>15</v>
      </c>
      <c r="K345">
        <v>16</v>
      </c>
      <c r="L345">
        <f t="shared" si="27"/>
        <v>18.2</v>
      </c>
      <c r="M345" t="s">
        <v>72</v>
      </c>
      <c r="O345" s="123">
        <f t="shared" si="28"/>
        <v>910000</v>
      </c>
      <c r="P345" t="s">
        <v>1254</v>
      </c>
      <c r="Q345" t="str">
        <f t="shared" si="29"/>
        <v>112</v>
      </c>
      <c r="R345" t="str">
        <f t="shared" si="30"/>
        <v>S</v>
      </c>
    </row>
    <row r="346" spans="1:18" x14ac:dyDescent="0.2">
      <c r="A346" s="6" t="s">
        <v>1920</v>
      </c>
      <c r="B346" s="40">
        <v>3</v>
      </c>
      <c r="C346" t="str">
        <f t="shared" si="26"/>
        <v>112.S.a.3</v>
      </c>
      <c r="D346">
        <v>3.5000000000000003E-2</v>
      </c>
      <c r="E346">
        <v>1</v>
      </c>
      <c r="F346" s="104">
        <v>4</v>
      </c>
      <c r="G346">
        <v>48</v>
      </c>
      <c r="H346">
        <v>46</v>
      </c>
      <c r="I346">
        <v>37</v>
      </c>
      <c r="J346">
        <v>35</v>
      </c>
      <c r="K346">
        <v>31</v>
      </c>
      <c r="L346">
        <f t="shared" si="27"/>
        <v>39.4</v>
      </c>
      <c r="M346" t="s">
        <v>72</v>
      </c>
      <c r="O346" s="123">
        <f t="shared" si="28"/>
        <v>1970000</v>
      </c>
      <c r="P346" t="s">
        <v>1254</v>
      </c>
      <c r="Q346" t="str">
        <f t="shared" si="29"/>
        <v>112</v>
      </c>
      <c r="R346" t="str">
        <f t="shared" si="30"/>
        <v>S</v>
      </c>
    </row>
    <row r="347" spans="1:18" x14ac:dyDescent="0.2">
      <c r="A347" s="6" t="s">
        <v>1920</v>
      </c>
      <c r="B347" s="40">
        <v>4</v>
      </c>
      <c r="C347" t="str">
        <f t="shared" si="26"/>
        <v>112.S.a.4</v>
      </c>
      <c r="D347">
        <v>3.5000000000000003E-2</v>
      </c>
      <c r="E347">
        <v>2</v>
      </c>
      <c r="F347" s="104">
        <v>4</v>
      </c>
      <c r="G347" t="s">
        <v>57</v>
      </c>
      <c r="H347" t="s">
        <v>57</v>
      </c>
      <c r="I347" t="s">
        <v>57</v>
      </c>
      <c r="J347" t="s">
        <v>57</v>
      </c>
      <c r="K347" t="s">
        <v>57</v>
      </c>
      <c r="L347" t="e">
        <f t="shared" si="27"/>
        <v>#DIV/0!</v>
      </c>
      <c r="N347" t="s">
        <v>1921</v>
      </c>
      <c r="O347" s="123" t="e">
        <f t="shared" si="28"/>
        <v>#DIV/0!</v>
      </c>
      <c r="P347" t="s">
        <v>1254</v>
      </c>
      <c r="Q347" t="str">
        <f t="shared" si="29"/>
        <v>112</v>
      </c>
      <c r="R347" t="str">
        <f t="shared" si="30"/>
        <v>S</v>
      </c>
    </row>
    <row r="348" spans="1:18" x14ac:dyDescent="0.2">
      <c r="A348" s="6" t="s">
        <v>1920</v>
      </c>
      <c r="B348" s="40">
        <v>5</v>
      </c>
      <c r="C348" t="str">
        <f t="shared" si="26"/>
        <v>112.S.a.5</v>
      </c>
      <c r="D348">
        <v>3.5999999999999997E-2</v>
      </c>
      <c r="E348">
        <v>2</v>
      </c>
      <c r="F348" s="104" t="s">
        <v>57</v>
      </c>
      <c r="G348" t="s">
        <v>57</v>
      </c>
      <c r="H348" t="s">
        <v>57</v>
      </c>
      <c r="I348" t="s">
        <v>57</v>
      </c>
      <c r="J348" t="s">
        <v>57</v>
      </c>
      <c r="K348" t="s">
        <v>57</v>
      </c>
      <c r="L348" t="e">
        <f t="shared" si="27"/>
        <v>#DIV/0!</v>
      </c>
      <c r="N348" t="s">
        <v>1922</v>
      </c>
      <c r="O348" s="123" t="e">
        <f t="shared" si="28"/>
        <v>#DIV/0!</v>
      </c>
      <c r="P348" t="s">
        <v>1254</v>
      </c>
      <c r="Q348" t="str">
        <f t="shared" si="29"/>
        <v>112</v>
      </c>
      <c r="R348" t="str">
        <f t="shared" si="30"/>
        <v>S</v>
      </c>
    </row>
    <row r="349" spans="1:18" x14ac:dyDescent="0.2">
      <c r="A349" s="6" t="s">
        <v>1920</v>
      </c>
      <c r="B349" s="40">
        <v>6</v>
      </c>
      <c r="C349" t="str">
        <f>A349&amp;"."&amp;B349</f>
        <v>112.S.a.6</v>
      </c>
      <c r="D349">
        <v>0.152</v>
      </c>
      <c r="E349" t="s">
        <v>1833</v>
      </c>
      <c r="F349" s="104">
        <v>6</v>
      </c>
      <c r="G349">
        <v>8</v>
      </c>
      <c r="H349">
        <v>6</v>
      </c>
      <c r="I349">
        <v>6</v>
      </c>
      <c r="J349">
        <v>6</v>
      </c>
      <c r="K349">
        <v>3</v>
      </c>
      <c r="L349">
        <f t="shared" si="27"/>
        <v>5.8</v>
      </c>
      <c r="N349" t="s">
        <v>1923</v>
      </c>
      <c r="O349" s="123">
        <f t="shared" si="28"/>
        <v>29000000</v>
      </c>
      <c r="P349" t="s">
        <v>1254</v>
      </c>
      <c r="Q349" t="str">
        <f t="shared" si="29"/>
        <v>112</v>
      </c>
      <c r="R349" t="str">
        <f t="shared" si="30"/>
        <v>S</v>
      </c>
    </row>
    <row r="350" spans="1:18" x14ac:dyDescent="0.2">
      <c r="A350" t="s">
        <v>1924</v>
      </c>
      <c r="B350" s="39">
        <v>1</v>
      </c>
      <c r="C350" t="str">
        <f t="shared" si="26"/>
        <v>112.S.b.1</v>
      </c>
      <c r="D350">
        <v>1.4E-2</v>
      </c>
      <c r="E350">
        <v>1</v>
      </c>
      <c r="F350" s="104">
        <v>2</v>
      </c>
      <c r="G350" t="s">
        <v>57</v>
      </c>
      <c r="H350" t="s">
        <v>57</v>
      </c>
      <c r="I350" t="s">
        <v>57</v>
      </c>
      <c r="J350" t="s">
        <v>57</v>
      </c>
      <c r="K350" t="s">
        <v>57</v>
      </c>
      <c r="L350" t="e">
        <f t="shared" si="27"/>
        <v>#DIV/0!</v>
      </c>
      <c r="N350" t="s">
        <v>1925</v>
      </c>
      <c r="O350" s="123" t="e">
        <f t="shared" si="28"/>
        <v>#DIV/0!</v>
      </c>
      <c r="P350" t="s">
        <v>1254</v>
      </c>
      <c r="Q350" t="str">
        <f t="shared" si="29"/>
        <v>112</v>
      </c>
      <c r="R350" t="str">
        <f t="shared" si="30"/>
        <v>S</v>
      </c>
    </row>
    <row r="351" spans="1:18" x14ac:dyDescent="0.2">
      <c r="A351" t="s">
        <v>1924</v>
      </c>
      <c r="B351" s="39">
        <v>2</v>
      </c>
      <c r="C351" t="str">
        <f t="shared" si="26"/>
        <v>112.S.b.2</v>
      </c>
      <c r="D351">
        <v>1.7000000000000001E-2</v>
      </c>
      <c r="E351">
        <v>1</v>
      </c>
      <c r="F351" s="104">
        <v>2</v>
      </c>
      <c r="G351">
        <v>0</v>
      </c>
      <c r="H351" t="s">
        <v>57</v>
      </c>
      <c r="I351" t="s">
        <v>57</v>
      </c>
      <c r="J351" t="s">
        <v>57</v>
      </c>
      <c r="K351" t="s">
        <v>57</v>
      </c>
      <c r="L351">
        <f t="shared" si="27"/>
        <v>0</v>
      </c>
      <c r="N351" t="s">
        <v>1917</v>
      </c>
      <c r="O351" s="123">
        <f t="shared" si="28"/>
        <v>0</v>
      </c>
      <c r="P351" t="s">
        <v>1254</v>
      </c>
      <c r="Q351" t="str">
        <f t="shared" si="29"/>
        <v>112</v>
      </c>
      <c r="R351" t="str">
        <f t="shared" si="30"/>
        <v>S</v>
      </c>
    </row>
    <row r="352" spans="1:18" x14ac:dyDescent="0.2">
      <c r="A352" s="6" t="s">
        <v>1924</v>
      </c>
      <c r="B352" s="40">
        <v>3</v>
      </c>
      <c r="C352" t="str">
        <f t="shared" si="26"/>
        <v>112.S.b.3</v>
      </c>
      <c r="D352">
        <v>0.02</v>
      </c>
      <c r="E352">
        <v>1</v>
      </c>
      <c r="F352" s="104">
        <v>4</v>
      </c>
      <c r="G352">
        <v>4</v>
      </c>
      <c r="H352">
        <v>9</v>
      </c>
      <c r="I352">
        <v>8</v>
      </c>
      <c r="J352">
        <v>7</v>
      </c>
      <c r="K352">
        <v>12</v>
      </c>
      <c r="L352">
        <f t="shared" si="27"/>
        <v>8</v>
      </c>
      <c r="M352" t="s">
        <v>72</v>
      </c>
      <c r="O352" s="123">
        <f t="shared" si="28"/>
        <v>400000</v>
      </c>
      <c r="P352" t="s">
        <v>1254</v>
      </c>
      <c r="Q352" t="str">
        <f t="shared" si="29"/>
        <v>112</v>
      </c>
      <c r="R352" t="str">
        <f t="shared" si="30"/>
        <v>S</v>
      </c>
    </row>
    <row r="353" spans="1:18" x14ac:dyDescent="0.2">
      <c r="A353" s="6" t="s">
        <v>1924</v>
      </c>
      <c r="B353" s="40">
        <v>4</v>
      </c>
      <c r="C353" t="str">
        <f t="shared" si="26"/>
        <v>112.S.b.4</v>
      </c>
      <c r="D353">
        <v>6.4000000000000001E-2</v>
      </c>
      <c r="E353">
        <v>2</v>
      </c>
      <c r="F353" s="104">
        <v>5</v>
      </c>
      <c r="G353">
        <v>1</v>
      </c>
      <c r="H353">
        <v>5</v>
      </c>
      <c r="I353">
        <v>2</v>
      </c>
      <c r="J353" t="s">
        <v>45</v>
      </c>
      <c r="K353" s="70">
        <v>0</v>
      </c>
      <c r="L353">
        <f t="shared" si="27"/>
        <v>2</v>
      </c>
      <c r="M353" t="s">
        <v>72</v>
      </c>
      <c r="N353" t="s">
        <v>1926</v>
      </c>
      <c r="O353" s="123">
        <f t="shared" si="28"/>
        <v>1000000</v>
      </c>
      <c r="P353" t="s">
        <v>1254</v>
      </c>
      <c r="Q353" t="str">
        <f t="shared" si="29"/>
        <v>112</v>
      </c>
      <c r="R353" t="str">
        <f t="shared" si="30"/>
        <v>S</v>
      </c>
    </row>
    <row r="354" spans="1:18" x14ac:dyDescent="0.2">
      <c r="A354" s="6" t="s">
        <v>1924</v>
      </c>
      <c r="B354" s="40">
        <v>5</v>
      </c>
      <c r="C354" t="str">
        <f t="shared" si="26"/>
        <v>112.S.b.5</v>
      </c>
      <c r="D354">
        <v>0.11700000000000001</v>
      </c>
      <c r="E354">
        <v>3</v>
      </c>
      <c r="F354" s="104">
        <v>5</v>
      </c>
      <c r="G354" s="70">
        <v>5</v>
      </c>
      <c r="H354">
        <v>10</v>
      </c>
      <c r="I354">
        <v>9</v>
      </c>
      <c r="J354" s="70">
        <v>5</v>
      </c>
      <c r="K354">
        <v>4</v>
      </c>
      <c r="L354">
        <f t="shared" si="27"/>
        <v>6.6</v>
      </c>
      <c r="M354" t="s">
        <v>72</v>
      </c>
      <c r="O354" s="123">
        <f t="shared" si="28"/>
        <v>3300000</v>
      </c>
      <c r="P354" t="s">
        <v>1254</v>
      </c>
      <c r="Q354" t="str">
        <f t="shared" si="29"/>
        <v>112</v>
      </c>
      <c r="R354" t="str">
        <f t="shared" si="30"/>
        <v>S</v>
      </c>
    </row>
    <row r="355" spans="1:18" x14ac:dyDescent="0.2">
      <c r="A355" s="6" t="s">
        <v>1924</v>
      </c>
      <c r="B355" s="40">
        <v>6</v>
      </c>
      <c r="C355" t="str">
        <f t="shared" si="26"/>
        <v>112.S.b.6</v>
      </c>
      <c r="D355">
        <v>7.3999999999999996E-2</v>
      </c>
      <c r="E355">
        <v>3</v>
      </c>
      <c r="F355" s="104">
        <v>5</v>
      </c>
      <c r="G355">
        <v>0</v>
      </c>
      <c r="H355" s="70">
        <v>3</v>
      </c>
      <c r="I355">
        <v>1</v>
      </c>
      <c r="J355" s="70">
        <v>1</v>
      </c>
      <c r="K355" s="70">
        <v>2</v>
      </c>
      <c r="L355">
        <f t="shared" si="27"/>
        <v>1.4</v>
      </c>
      <c r="M355" t="s">
        <v>72</v>
      </c>
      <c r="O355" s="123">
        <f t="shared" si="28"/>
        <v>700000</v>
      </c>
      <c r="P355" t="s">
        <v>1254</v>
      </c>
      <c r="Q355" t="str">
        <f t="shared" si="29"/>
        <v>112</v>
      </c>
      <c r="R355" t="str">
        <f t="shared" si="30"/>
        <v>S</v>
      </c>
    </row>
    <row r="356" spans="1:18" x14ac:dyDescent="0.2">
      <c r="A356" t="s">
        <v>1927</v>
      </c>
      <c r="B356" s="39">
        <v>1</v>
      </c>
      <c r="C356" t="str">
        <f t="shared" si="26"/>
        <v>112.S.c.1</v>
      </c>
      <c r="D356">
        <v>8.9999999999999993E-3</v>
      </c>
      <c r="E356">
        <v>1</v>
      </c>
      <c r="F356" s="104">
        <v>3</v>
      </c>
      <c r="G356">
        <v>4</v>
      </c>
      <c r="H356">
        <v>1</v>
      </c>
      <c r="I356">
        <v>4</v>
      </c>
      <c r="J356">
        <v>3</v>
      </c>
      <c r="K356">
        <v>2</v>
      </c>
      <c r="L356">
        <f t="shared" si="27"/>
        <v>2.8</v>
      </c>
      <c r="M356" t="s">
        <v>72</v>
      </c>
      <c r="O356" s="123">
        <f t="shared" si="28"/>
        <v>14000</v>
      </c>
      <c r="P356" t="s">
        <v>1254</v>
      </c>
      <c r="Q356" t="str">
        <f t="shared" si="29"/>
        <v>112</v>
      </c>
      <c r="R356" t="str">
        <f t="shared" si="30"/>
        <v>S</v>
      </c>
    </row>
    <row r="357" spans="1:18" x14ac:dyDescent="0.2">
      <c r="A357" t="s">
        <v>1927</v>
      </c>
      <c r="B357" s="39">
        <v>2</v>
      </c>
      <c r="C357" t="str">
        <f t="shared" si="26"/>
        <v>112.S.c.2</v>
      </c>
      <c r="D357">
        <v>1.6E-2</v>
      </c>
      <c r="E357">
        <v>1</v>
      </c>
      <c r="F357" s="104">
        <v>3</v>
      </c>
      <c r="G357">
        <v>27</v>
      </c>
      <c r="H357">
        <v>17</v>
      </c>
      <c r="I357">
        <v>9</v>
      </c>
      <c r="J357">
        <v>20</v>
      </c>
      <c r="K357">
        <v>19</v>
      </c>
      <c r="L357">
        <f t="shared" si="27"/>
        <v>18.399999999999999</v>
      </c>
      <c r="M357" t="s">
        <v>72</v>
      </c>
      <c r="O357" s="123">
        <f t="shared" si="28"/>
        <v>92000</v>
      </c>
      <c r="P357" t="s">
        <v>1254</v>
      </c>
      <c r="Q357" t="str">
        <f t="shared" si="29"/>
        <v>112</v>
      </c>
      <c r="R357" t="str">
        <f t="shared" si="30"/>
        <v>S</v>
      </c>
    </row>
    <row r="358" spans="1:18" x14ac:dyDescent="0.2">
      <c r="A358" s="6" t="s">
        <v>1927</v>
      </c>
      <c r="B358" s="40">
        <v>3</v>
      </c>
      <c r="C358" t="str">
        <f t="shared" si="26"/>
        <v>112.S.c.3</v>
      </c>
      <c r="D358">
        <v>3.2000000000000001E-2</v>
      </c>
      <c r="E358">
        <v>2</v>
      </c>
      <c r="F358" s="104">
        <v>4</v>
      </c>
      <c r="G358">
        <v>12</v>
      </c>
      <c r="H358">
        <v>12</v>
      </c>
      <c r="I358">
        <v>9</v>
      </c>
      <c r="J358" t="s">
        <v>57</v>
      </c>
      <c r="K358" t="s">
        <v>57</v>
      </c>
      <c r="L358">
        <f t="shared" si="27"/>
        <v>11</v>
      </c>
      <c r="M358" t="s">
        <v>72</v>
      </c>
      <c r="N358" t="s">
        <v>1928</v>
      </c>
      <c r="O358" s="123">
        <f t="shared" si="28"/>
        <v>550000</v>
      </c>
      <c r="P358" t="s">
        <v>1254</v>
      </c>
      <c r="Q358" t="str">
        <f t="shared" si="29"/>
        <v>112</v>
      </c>
      <c r="R358" t="str">
        <f t="shared" si="30"/>
        <v>S</v>
      </c>
    </row>
    <row r="359" spans="1:18" x14ac:dyDescent="0.2">
      <c r="A359" s="6" t="s">
        <v>1927</v>
      </c>
      <c r="B359" s="40">
        <v>4</v>
      </c>
      <c r="C359" t="str">
        <f t="shared" si="26"/>
        <v>112.S.c.4</v>
      </c>
      <c r="D359">
        <v>6.3E-2</v>
      </c>
      <c r="E359">
        <v>1</v>
      </c>
      <c r="F359" s="104">
        <v>5</v>
      </c>
      <c r="G359" t="s">
        <v>34</v>
      </c>
      <c r="H359">
        <v>28</v>
      </c>
      <c r="I359">
        <v>20</v>
      </c>
      <c r="J359" t="s">
        <v>45</v>
      </c>
      <c r="K359" t="s">
        <v>45</v>
      </c>
      <c r="L359">
        <f t="shared" si="27"/>
        <v>24</v>
      </c>
      <c r="M359" t="s">
        <v>72</v>
      </c>
      <c r="O359" s="123">
        <f t="shared" si="28"/>
        <v>12000000</v>
      </c>
      <c r="P359" t="s">
        <v>1254</v>
      </c>
      <c r="Q359" t="str">
        <f t="shared" si="29"/>
        <v>112</v>
      </c>
      <c r="R359" t="str">
        <f t="shared" si="30"/>
        <v>S</v>
      </c>
    </row>
    <row r="360" spans="1:18" x14ac:dyDescent="0.2">
      <c r="A360" s="6" t="s">
        <v>1927</v>
      </c>
      <c r="B360" s="40">
        <v>5</v>
      </c>
      <c r="C360" t="str">
        <f t="shared" si="26"/>
        <v>112.S.c.5</v>
      </c>
      <c r="D360">
        <v>8.7999999999999995E-2</v>
      </c>
      <c r="E360">
        <v>5</v>
      </c>
      <c r="L360" t="e">
        <f t="shared" si="27"/>
        <v>#DIV/0!</v>
      </c>
      <c r="N360" t="s">
        <v>1929</v>
      </c>
      <c r="O360" s="123" t="e">
        <f t="shared" si="28"/>
        <v>#DIV/0!</v>
      </c>
      <c r="P360" t="s">
        <v>1254</v>
      </c>
      <c r="Q360" t="str">
        <f t="shared" si="29"/>
        <v>112</v>
      </c>
      <c r="R360" t="str">
        <f t="shared" si="30"/>
        <v>S</v>
      </c>
    </row>
    <row r="361" spans="1:18" x14ac:dyDescent="0.2">
      <c r="A361" s="6" t="s">
        <v>1927</v>
      </c>
      <c r="B361" s="40">
        <v>6</v>
      </c>
      <c r="C361" t="str">
        <f t="shared" si="26"/>
        <v>112.S.c.6</v>
      </c>
      <c r="D361">
        <v>6.0999999999999999E-2</v>
      </c>
      <c r="E361">
        <v>3</v>
      </c>
      <c r="F361" s="104">
        <v>5</v>
      </c>
      <c r="G361">
        <v>47</v>
      </c>
      <c r="H361">
        <v>48</v>
      </c>
      <c r="I361">
        <v>40</v>
      </c>
      <c r="J361">
        <v>51</v>
      </c>
      <c r="K361">
        <v>48</v>
      </c>
      <c r="L361">
        <f t="shared" si="27"/>
        <v>46.8</v>
      </c>
      <c r="M361" t="s">
        <v>72</v>
      </c>
      <c r="O361" s="123">
        <f t="shared" si="28"/>
        <v>23400000</v>
      </c>
      <c r="P361" t="s">
        <v>1254</v>
      </c>
      <c r="Q361" t="str">
        <f t="shared" si="29"/>
        <v>112</v>
      </c>
      <c r="R361" t="str">
        <f t="shared" si="30"/>
        <v>S</v>
      </c>
    </row>
    <row r="362" spans="1:18" x14ac:dyDescent="0.2">
      <c r="A362" t="s">
        <v>1930</v>
      </c>
      <c r="B362" s="39">
        <v>1</v>
      </c>
      <c r="C362" t="str">
        <f t="shared" si="26"/>
        <v>112.V.a.1</v>
      </c>
      <c r="D362">
        <v>0.01</v>
      </c>
      <c r="E362">
        <v>1</v>
      </c>
      <c r="F362" s="104">
        <v>1</v>
      </c>
      <c r="G362">
        <v>10</v>
      </c>
      <c r="H362">
        <v>12</v>
      </c>
      <c r="I362">
        <v>12</v>
      </c>
      <c r="J362">
        <v>13</v>
      </c>
      <c r="K362">
        <v>14</v>
      </c>
      <c r="L362">
        <f t="shared" si="27"/>
        <v>12.2</v>
      </c>
      <c r="N362" t="s">
        <v>1931</v>
      </c>
      <c r="O362" s="123">
        <f t="shared" si="28"/>
        <v>610</v>
      </c>
      <c r="P362" t="s">
        <v>1254</v>
      </c>
      <c r="Q362" t="str">
        <f t="shared" si="29"/>
        <v>112</v>
      </c>
      <c r="R362" t="str">
        <f t="shared" si="30"/>
        <v>V</v>
      </c>
    </row>
    <row r="363" spans="1:18" x14ac:dyDescent="0.2">
      <c r="A363" t="s">
        <v>1930</v>
      </c>
      <c r="B363" s="39">
        <v>2</v>
      </c>
      <c r="C363" t="str">
        <f t="shared" si="26"/>
        <v>112.V.a.2</v>
      </c>
      <c r="D363">
        <v>2.1999999999999999E-2</v>
      </c>
      <c r="E363">
        <v>1</v>
      </c>
      <c r="F363" s="104">
        <v>3</v>
      </c>
      <c r="G363">
        <v>19</v>
      </c>
      <c r="H363">
        <v>18</v>
      </c>
      <c r="I363">
        <v>23</v>
      </c>
      <c r="J363">
        <v>13</v>
      </c>
      <c r="K363">
        <v>18</v>
      </c>
      <c r="L363">
        <f t="shared" si="27"/>
        <v>18.2</v>
      </c>
      <c r="M363" t="s">
        <v>72</v>
      </c>
      <c r="O363" s="123">
        <f t="shared" si="28"/>
        <v>91000</v>
      </c>
      <c r="P363" t="s">
        <v>1254</v>
      </c>
      <c r="Q363" t="str">
        <f t="shared" si="29"/>
        <v>112</v>
      </c>
      <c r="R363" t="str">
        <f t="shared" si="30"/>
        <v>V</v>
      </c>
    </row>
    <row r="364" spans="1:18" x14ac:dyDescent="0.2">
      <c r="A364" s="6" t="s">
        <v>1930</v>
      </c>
      <c r="B364" s="40">
        <v>3</v>
      </c>
      <c r="C364" t="str">
        <f t="shared" si="26"/>
        <v>112.V.a.3</v>
      </c>
      <c r="D364">
        <v>3.6999999999999998E-2</v>
      </c>
      <c r="E364">
        <v>2</v>
      </c>
      <c r="F364" s="104">
        <v>3</v>
      </c>
      <c r="G364">
        <v>44</v>
      </c>
      <c r="H364">
        <v>40</v>
      </c>
      <c r="I364">
        <v>49</v>
      </c>
      <c r="J364">
        <v>53</v>
      </c>
      <c r="K364">
        <v>42</v>
      </c>
      <c r="L364">
        <f t="shared" si="27"/>
        <v>45.6</v>
      </c>
      <c r="M364" t="s">
        <v>72</v>
      </c>
      <c r="O364" s="123">
        <f t="shared" si="28"/>
        <v>228000</v>
      </c>
      <c r="P364" t="s">
        <v>1254</v>
      </c>
      <c r="Q364" t="str">
        <f t="shared" si="29"/>
        <v>112</v>
      </c>
      <c r="R364" t="str">
        <f t="shared" si="30"/>
        <v>V</v>
      </c>
    </row>
    <row r="365" spans="1:18" x14ac:dyDescent="0.2">
      <c r="A365" s="6" t="s">
        <v>1930</v>
      </c>
      <c r="B365" s="40">
        <v>4</v>
      </c>
      <c r="C365" t="str">
        <f t="shared" si="26"/>
        <v>112.V.a.4</v>
      </c>
      <c r="D365">
        <v>2.8000000000000001E-2</v>
      </c>
      <c r="E365">
        <v>1</v>
      </c>
      <c r="F365" s="104">
        <v>4</v>
      </c>
      <c r="G365">
        <v>2</v>
      </c>
      <c r="H365">
        <v>4</v>
      </c>
      <c r="I365">
        <v>2</v>
      </c>
      <c r="J365">
        <v>2</v>
      </c>
      <c r="K365">
        <v>0</v>
      </c>
      <c r="L365">
        <f t="shared" si="27"/>
        <v>2</v>
      </c>
      <c r="N365" t="s">
        <v>1932</v>
      </c>
      <c r="O365" s="123">
        <f t="shared" si="28"/>
        <v>100000</v>
      </c>
      <c r="P365" t="s">
        <v>1254</v>
      </c>
      <c r="Q365" t="str">
        <f t="shared" si="29"/>
        <v>112</v>
      </c>
      <c r="R365" t="str">
        <f t="shared" si="30"/>
        <v>V</v>
      </c>
    </row>
    <row r="366" spans="1:18" x14ac:dyDescent="0.2">
      <c r="A366" s="6" t="s">
        <v>1930</v>
      </c>
      <c r="B366" s="40">
        <v>5</v>
      </c>
      <c r="C366" t="str">
        <f t="shared" si="26"/>
        <v>112.V.a.5</v>
      </c>
      <c r="D366">
        <v>4.8000000000000001E-2</v>
      </c>
      <c r="E366">
        <v>4</v>
      </c>
      <c r="F366" s="104">
        <v>5</v>
      </c>
      <c r="G366" t="s">
        <v>57</v>
      </c>
      <c r="H366" t="s">
        <v>57</v>
      </c>
      <c r="I366" t="s">
        <v>57</v>
      </c>
      <c r="J366" t="s">
        <v>57</v>
      </c>
      <c r="K366" t="s">
        <v>57</v>
      </c>
      <c r="L366" t="e">
        <f t="shared" si="27"/>
        <v>#DIV/0!</v>
      </c>
      <c r="N366" t="s">
        <v>1933</v>
      </c>
      <c r="O366" s="123" t="e">
        <f t="shared" si="28"/>
        <v>#DIV/0!</v>
      </c>
      <c r="P366" t="s">
        <v>1254</v>
      </c>
      <c r="Q366" t="str">
        <f t="shared" si="29"/>
        <v>112</v>
      </c>
      <c r="R366" t="str">
        <f t="shared" si="30"/>
        <v>V</v>
      </c>
    </row>
    <row r="367" spans="1:18" x14ac:dyDescent="0.2">
      <c r="A367" s="6" t="s">
        <v>1930</v>
      </c>
      <c r="B367" s="40">
        <v>6</v>
      </c>
      <c r="C367" t="str">
        <f t="shared" si="26"/>
        <v>112.V.a.6</v>
      </c>
      <c r="D367">
        <v>7.0000000000000007E-2</v>
      </c>
      <c r="E367">
        <v>2</v>
      </c>
      <c r="F367" s="104">
        <v>5</v>
      </c>
      <c r="G367">
        <v>5</v>
      </c>
      <c r="H367">
        <v>4</v>
      </c>
      <c r="I367">
        <v>4</v>
      </c>
      <c r="J367">
        <v>5</v>
      </c>
      <c r="K367">
        <v>1</v>
      </c>
      <c r="L367">
        <f t="shared" si="27"/>
        <v>3.8</v>
      </c>
      <c r="M367" t="s">
        <v>72</v>
      </c>
      <c r="N367" t="s">
        <v>1923</v>
      </c>
      <c r="O367" s="123">
        <f t="shared" si="28"/>
        <v>1900000</v>
      </c>
      <c r="P367" t="s">
        <v>1254</v>
      </c>
      <c r="Q367" t="str">
        <f t="shared" si="29"/>
        <v>112</v>
      </c>
      <c r="R367" t="str">
        <f t="shared" si="30"/>
        <v>V</v>
      </c>
    </row>
    <row r="368" spans="1:18" x14ac:dyDescent="0.2">
      <c r="A368" t="s">
        <v>1934</v>
      </c>
      <c r="B368" s="39">
        <v>1</v>
      </c>
      <c r="C368" t="str">
        <f t="shared" si="26"/>
        <v>112.V.b.1</v>
      </c>
      <c r="D368">
        <v>1.2E-2</v>
      </c>
      <c r="E368">
        <v>1</v>
      </c>
      <c r="F368" s="104">
        <v>3</v>
      </c>
      <c r="G368">
        <v>2</v>
      </c>
      <c r="H368">
        <v>3</v>
      </c>
      <c r="I368">
        <v>2</v>
      </c>
      <c r="J368">
        <v>3</v>
      </c>
      <c r="K368">
        <v>1</v>
      </c>
      <c r="L368">
        <f t="shared" si="27"/>
        <v>2.2000000000000002</v>
      </c>
      <c r="M368" t="s">
        <v>72</v>
      </c>
      <c r="O368" s="123">
        <f t="shared" si="28"/>
        <v>11000</v>
      </c>
      <c r="P368" t="s">
        <v>1254</v>
      </c>
      <c r="Q368" t="str">
        <f t="shared" si="29"/>
        <v>112</v>
      </c>
      <c r="R368" t="str">
        <f t="shared" si="30"/>
        <v>V</v>
      </c>
    </row>
    <row r="369" spans="1:18" x14ac:dyDescent="0.2">
      <c r="A369" t="s">
        <v>1934</v>
      </c>
      <c r="B369" s="39">
        <v>2</v>
      </c>
      <c r="C369" t="str">
        <f t="shared" si="26"/>
        <v>112.V.b.2</v>
      </c>
      <c r="D369">
        <v>1.4E-2</v>
      </c>
      <c r="E369">
        <v>1</v>
      </c>
      <c r="L369" t="e">
        <f t="shared" si="27"/>
        <v>#DIV/0!</v>
      </c>
      <c r="N369" t="s">
        <v>1935</v>
      </c>
      <c r="O369" s="123" t="e">
        <f t="shared" si="28"/>
        <v>#DIV/0!</v>
      </c>
      <c r="P369" t="s">
        <v>1254</v>
      </c>
      <c r="Q369" t="str">
        <f t="shared" si="29"/>
        <v>112</v>
      </c>
      <c r="R369" t="str">
        <f t="shared" si="30"/>
        <v>V</v>
      </c>
    </row>
    <row r="370" spans="1:18" x14ac:dyDescent="0.2">
      <c r="A370" s="6" t="s">
        <v>1934</v>
      </c>
      <c r="B370" s="40">
        <v>3</v>
      </c>
      <c r="C370" t="str">
        <f t="shared" si="26"/>
        <v>112.V.b.3</v>
      </c>
      <c r="D370">
        <v>2.5000000000000001E-2</v>
      </c>
      <c r="E370">
        <v>1</v>
      </c>
      <c r="F370" s="104">
        <v>4</v>
      </c>
      <c r="G370">
        <v>6</v>
      </c>
      <c r="H370">
        <v>4</v>
      </c>
      <c r="I370">
        <v>5</v>
      </c>
      <c r="J370">
        <v>2</v>
      </c>
      <c r="K370">
        <v>4</v>
      </c>
      <c r="L370">
        <f t="shared" si="27"/>
        <v>4.2</v>
      </c>
      <c r="M370" t="s">
        <v>72</v>
      </c>
      <c r="O370" s="123">
        <f t="shared" si="28"/>
        <v>210000</v>
      </c>
      <c r="P370" t="s">
        <v>1254</v>
      </c>
      <c r="Q370" t="str">
        <f t="shared" si="29"/>
        <v>112</v>
      </c>
      <c r="R370" t="str">
        <f t="shared" si="30"/>
        <v>V</v>
      </c>
    </row>
    <row r="371" spans="1:18" x14ac:dyDescent="0.2">
      <c r="A371" s="6" t="s">
        <v>1934</v>
      </c>
      <c r="B371" s="40">
        <v>4</v>
      </c>
      <c r="C371" t="str">
        <f t="shared" si="26"/>
        <v>112.V.b.4</v>
      </c>
      <c r="D371">
        <v>0.02</v>
      </c>
      <c r="E371">
        <v>2</v>
      </c>
      <c r="L371" t="e">
        <f t="shared" si="27"/>
        <v>#DIV/0!</v>
      </c>
      <c r="N371" t="s">
        <v>1936</v>
      </c>
      <c r="O371" s="123" t="e">
        <f t="shared" si="28"/>
        <v>#DIV/0!</v>
      </c>
      <c r="P371" t="s">
        <v>1254</v>
      </c>
      <c r="Q371" t="str">
        <f t="shared" si="29"/>
        <v>112</v>
      </c>
      <c r="R371" t="str">
        <f t="shared" si="30"/>
        <v>V</v>
      </c>
    </row>
    <row r="372" spans="1:18" x14ac:dyDescent="0.2">
      <c r="A372" s="6" t="s">
        <v>1934</v>
      </c>
      <c r="B372" s="40">
        <v>5</v>
      </c>
      <c r="C372" t="str">
        <f t="shared" si="26"/>
        <v>112.V.b.5</v>
      </c>
      <c r="D372">
        <v>6.3E-2</v>
      </c>
      <c r="E372">
        <v>1</v>
      </c>
      <c r="F372" s="104">
        <v>5</v>
      </c>
      <c r="G372" t="s">
        <v>45</v>
      </c>
      <c r="H372">
        <v>2</v>
      </c>
      <c r="I372">
        <v>3</v>
      </c>
      <c r="J372">
        <v>3</v>
      </c>
      <c r="K372" t="s">
        <v>45</v>
      </c>
      <c r="L372">
        <f t="shared" si="27"/>
        <v>2.6666666666666665</v>
      </c>
      <c r="N372" t="s">
        <v>1923</v>
      </c>
      <c r="O372" s="123">
        <f t="shared" si="28"/>
        <v>1333333.3333333333</v>
      </c>
      <c r="P372" t="s">
        <v>1254</v>
      </c>
      <c r="Q372" t="str">
        <f t="shared" si="29"/>
        <v>112</v>
      </c>
      <c r="R372" t="str">
        <f t="shared" si="30"/>
        <v>V</v>
      </c>
    </row>
    <row r="373" spans="1:18" x14ac:dyDescent="0.2">
      <c r="A373" s="6" t="s">
        <v>1934</v>
      </c>
      <c r="B373" s="40">
        <v>6</v>
      </c>
      <c r="C373" t="str">
        <f t="shared" si="26"/>
        <v>112.V.b.6</v>
      </c>
      <c r="D373">
        <v>0.108</v>
      </c>
      <c r="E373">
        <v>5</v>
      </c>
      <c r="L373" t="e">
        <f t="shared" si="27"/>
        <v>#DIV/0!</v>
      </c>
      <c r="N373" t="s">
        <v>1937</v>
      </c>
      <c r="O373" s="123" t="e">
        <f t="shared" si="28"/>
        <v>#DIV/0!</v>
      </c>
      <c r="P373" t="s">
        <v>1254</v>
      </c>
      <c r="Q373" t="str">
        <f t="shared" si="29"/>
        <v>112</v>
      </c>
      <c r="R373" t="str">
        <f t="shared" si="30"/>
        <v>V</v>
      </c>
    </row>
    <row r="374" spans="1:18" x14ac:dyDescent="0.2">
      <c r="A374" t="s">
        <v>1938</v>
      </c>
      <c r="B374" s="39">
        <v>1</v>
      </c>
      <c r="C374" t="str">
        <f t="shared" si="26"/>
        <v>112.V.c.1</v>
      </c>
      <c r="D374">
        <v>6.0000000000000001E-3</v>
      </c>
      <c r="E374">
        <v>1</v>
      </c>
      <c r="F374" s="104">
        <v>3</v>
      </c>
      <c r="G374">
        <v>1</v>
      </c>
      <c r="H374">
        <v>6</v>
      </c>
      <c r="I374">
        <v>1</v>
      </c>
      <c r="J374">
        <v>4</v>
      </c>
      <c r="K374">
        <v>3</v>
      </c>
      <c r="L374">
        <f t="shared" si="27"/>
        <v>3</v>
      </c>
      <c r="M374" t="s">
        <v>72</v>
      </c>
      <c r="O374" s="123">
        <f t="shared" si="28"/>
        <v>15000</v>
      </c>
      <c r="P374" t="s">
        <v>1254</v>
      </c>
      <c r="Q374" t="str">
        <f t="shared" si="29"/>
        <v>112</v>
      </c>
      <c r="R374" t="str">
        <f t="shared" si="30"/>
        <v>V</v>
      </c>
    </row>
    <row r="375" spans="1:18" x14ac:dyDescent="0.2">
      <c r="A375" t="s">
        <v>1938</v>
      </c>
      <c r="B375" s="39">
        <v>2</v>
      </c>
      <c r="C375" t="str">
        <f t="shared" si="26"/>
        <v>112.V.c.2</v>
      </c>
      <c r="D375">
        <v>8.9999999999999993E-3</v>
      </c>
      <c r="E375">
        <v>1</v>
      </c>
      <c r="F375" s="104">
        <v>3</v>
      </c>
      <c r="G375">
        <v>17</v>
      </c>
      <c r="H375">
        <v>14</v>
      </c>
      <c r="I375">
        <v>12</v>
      </c>
      <c r="J375">
        <v>19</v>
      </c>
      <c r="K375">
        <v>15</v>
      </c>
      <c r="L375">
        <f t="shared" si="27"/>
        <v>15.4</v>
      </c>
      <c r="M375" t="s">
        <v>72</v>
      </c>
      <c r="O375" s="123">
        <f t="shared" si="28"/>
        <v>77000</v>
      </c>
      <c r="P375" t="s">
        <v>1254</v>
      </c>
      <c r="Q375" t="str">
        <f t="shared" si="29"/>
        <v>112</v>
      </c>
      <c r="R375" t="str">
        <f t="shared" si="30"/>
        <v>V</v>
      </c>
    </row>
    <row r="376" spans="1:18" x14ac:dyDescent="0.2">
      <c r="A376" s="6" t="s">
        <v>1938</v>
      </c>
      <c r="B376" s="40">
        <v>3</v>
      </c>
      <c r="C376" t="str">
        <f t="shared" si="26"/>
        <v>112.V.c.3</v>
      </c>
      <c r="D376">
        <v>2.5999999999999999E-2</v>
      </c>
      <c r="E376">
        <v>2</v>
      </c>
      <c r="F376" s="104">
        <v>3</v>
      </c>
      <c r="G376">
        <v>6</v>
      </c>
      <c r="H376">
        <v>7</v>
      </c>
      <c r="I376">
        <v>7</v>
      </c>
      <c r="J376">
        <v>3</v>
      </c>
      <c r="K376" s="70" t="s">
        <v>34</v>
      </c>
      <c r="L376">
        <f t="shared" si="27"/>
        <v>5.75</v>
      </c>
      <c r="M376" t="s">
        <v>72</v>
      </c>
      <c r="O376" s="123">
        <f t="shared" si="28"/>
        <v>28750</v>
      </c>
      <c r="P376" t="s">
        <v>1254</v>
      </c>
      <c r="Q376" t="str">
        <f t="shared" si="29"/>
        <v>112</v>
      </c>
      <c r="R376" t="str">
        <f t="shared" si="30"/>
        <v>V</v>
      </c>
    </row>
    <row r="377" spans="1:18" x14ac:dyDescent="0.2">
      <c r="A377" s="6" t="s">
        <v>1938</v>
      </c>
      <c r="B377" s="40">
        <v>4</v>
      </c>
      <c r="C377" t="str">
        <f t="shared" si="26"/>
        <v>112.V.c.4</v>
      </c>
      <c r="D377">
        <v>3.6999999999999998E-2</v>
      </c>
      <c r="E377">
        <v>2</v>
      </c>
      <c r="F377" s="104">
        <v>5</v>
      </c>
      <c r="G377">
        <v>5</v>
      </c>
      <c r="H377">
        <v>2</v>
      </c>
      <c r="I377">
        <v>4</v>
      </c>
      <c r="J377">
        <v>7</v>
      </c>
      <c r="K377">
        <v>7</v>
      </c>
      <c r="L377">
        <f t="shared" si="27"/>
        <v>5</v>
      </c>
      <c r="M377" t="s">
        <v>72</v>
      </c>
      <c r="O377" s="123">
        <f t="shared" si="28"/>
        <v>2500000</v>
      </c>
      <c r="P377" t="s">
        <v>1254</v>
      </c>
      <c r="Q377" t="str">
        <f t="shared" si="29"/>
        <v>112</v>
      </c>
      <c r="R377" t="str">
        <f t="shared" si="30"/>
        <v>V</v>
      </c>
    </row>
    <row r="378" spans="1:18" x14ac:dyDescent="0.2">
      <c r="A378" s="6" t="s">
        <v>1938</v>
      </c>
      <c r="B378" s="40">
        <v>5</v>
      </c>
      <c r="C378" t="str">
        <f t="shared" si="26"/>
        <v>112.V.c.5</v>
      </c>
      <c r="D378">
        <v>3.5999999999999997E-2</v>
      </c>
      <c r="E378">
        <v>3</v>
      </c>
      <c r="F378" s="104">
        <v>5</v>
      </c>
      <c r="G378">
        <v>5</v>
      </c>
      <c r="H378">
        <v>3</v>
      </c>
      <c r="I378">
        <v>5</v>
      </c>
      <c r="J378">
        <v>2</v>
      </c>
      <c r="K378">
        <v>2</v>
      </c>
      <c r="L378">
        <f t="shared" si="27"/>
        <v>3.4</v>
      </c>
      <c r="M378" t="s">
        <v>72</v>
      </c>
      <c r="O378" s="123">
        <f t="shared" si="28"/>
        <v>1700000</v>
      </c>
      <c r="P378" t="s">
        <v>1254</v>
      </c>
      <c r="Q378" t="str">
        <f t="shared" si="29"/>
        <v>112</v>
      </c>
      <c r="R378" t="str">
        <f t="shared" si="30"/>
        <v>V</v>
      </c>
    </row>
    <row r="379" spans="1:18" x14ac:dyDescent="0.2">
      <c r="A379" s="6" t="s">
        <v>1938</v>
      </c>
      <c r="B379" s="40">
        <v>6</v>
      </c>
      <c r="C379" t="str">
        <f t="shared" si="26"/>
        <v>112.V.c.6</v>
      </c>
      <c r="D379">
        <v>9.8000000000000004E-2</v>
      </c>
      <c r="E379">
        <v>4</v>
      </c>
      <c r="F379" s="104">
        <v>5</v>
      </c>
      <c r="G379" t="s">
        <v>45</v>
      </c>
      <c r="H379">
        <v>3</v>
      </c>
      <c r="I379">
        <v>6</v>
      </c>
      <c r="J379">
        <v>6</v>
      </c>
      <c r="K379">
        <v>6</v>
      </c>
      <c r="L379">
        <f t="shared" si="27"/>
        <v>5.25</v>
      </c>
      <c r="M379" t="s">
        <v>72</v>
      </c>
      <c r="N379" t="s">
        <v>1923</v>
      </c>
      <c r="O379" s="123">
        <f t="shared" si="28"/>
        <v>2625000</v>
      </c>
      <c r="P379" t="s">
        <v>1254</v>
      </c>
      <c r="Q379" t="str">
        <f t="shared" si="29"/>
        <v>112</v>
      </c>
      <c r="R379" t="str">
        <f t="shared" si="30"/>
        <v>V</v>
      </c>
    </row>
    <row r="380" spans="1:18" x14ac:dyDescent="0.2">
      <c r="A380" t="s">
        <v>1939</v>
      </c>
      <c r="B380" s="39">
        <v>1</v>
      </c>
      <c r="C380" t="str">
        <f t="shared" si="26"/>
        <v>117.O.a.1</v>
      </c>
      <c r="D380">
        <v>2.1999999999999999E-2</v>
      </c>
      <c r="E380">
        <v>1</v>
      </c>
      <c r="F380" s="104">
        <v>4</v>
      </c>
      <c r="G380">
        <v>64</v>
      </c>
      <c r="H380">
        <v>56</v>
      </c>
      <c r="I380">
        <v>47</v>
      </c>
      <c r="J380">
        <v>54</v>
      </c>
      <c r="K380">
        <v>41</v>
      </c>
      <c r="L380">
        <f t="shared" si="27"/>
        <v>52.4</v>
      </c>
      <c r="M380" t="s">
        <v>72</v>
      </c>
      <c r="O380" s="123">
        <f t="shared" si="28"/>
        <v>2620000</v>
      </c>
      <c r="P380" t="s">
        <v>1254</v>
      </c>
      <c r="Q380" t="str">
        <f t="shared" si="29"/>
        <v>117</v>
      </c>
      <c r="R380" t="str">
        <f t="shared" si="30"/>
        <v>O</v>
      </c>
    </row>
    <row r="381" spans="1:18" x14ac:dyDescent="0.2">
      <c r="A381" t="s">
        <v>1939</v>
      </c>
      <c r="B381" s="39">
        <v>2</v>
      </c>
      <c r="C381" t="str">
        <f t="shared" si="26"/>
        <v>117.O.a.2</v>
      </c>
      <c r="D381">
        <v>3.4000000000000002E-2</v>
      </c>
      <c r="E381">
        <v>2</v>
      </c>
      <c r="L381" t="e">
        <f t="shared" si="27"/>
        <v>#DIV/0!</v>
      </c>
      <c r="N381" t="s">
        <v>1940</v>
      </c>
      <c r="O381" s="123" t="e">
        <f t="shared" si="28"/>
        <v>#DIV/0!</v>
      </c>
      <c r="P381" t="s">
        <v>1254</v>
      </c>
      <c r="Q381" t="str">
        <f t="shared" si="29"/>
        <v>117</v>
      </c>
      <c r="R381" t="str">
        <f t="shared" si="30"/>
        <v>O</v>
      </c>
    </row>
    <row r="382" spans="1:18" x14ac:dyDescent="0.2">
      <c r="A382" s="6" t="s">
        <v>1939</v>
      </c>
      <c r="B382" s="40">
        <v>3</v>
      </c>
      <c r="C382" t="str">
        <f t="shared" si="26"/>
        <v>117.O.a.3</v>
      </c>
      <c r="D382">
        <v>4.5999999999999999E-2</v>
      </c>
      <c r="E382">
        <v>3</v>
      </c>
      <c r="F382" s="104">
        <v>4</v>
      </c>
      <c r="G382">
        <v>35</v>
      </c>
      <c r="H382">
        <v>21</v>
      </c>
      <c r="I382">
        <v>26</v>
      </c>
      <c r="J382">
        <v>35</v>
      </c>
      <c r="K382">
        <v>26</v>
      </c>
      <c r="L382">
        <f t="shared" si="27"/>
        <v>28.6</v>
      </c>
      <c r="M382" t="s">
        <v>72</v>
      </c>
      <c r="O382" s="123">
        <f t="shared" si="28"/>
        <v>1430000</v>
      </c>
      <c r="P382" t="s">
        <v>1254</v>
      </c>
      <c r="Q382" t="str">
        <f t="shared" si="29"/>
        <v>117</v>
      </c>
      <c r="R382" t="str">
        <f t="shared" si="30"/>
        <v>O</v>
      </c>
    </row>
    <row r="383" spans="1:18" x14ac:dyDescent="0.2">
      <c r="A383" s="6" t="s">
        <v>1939</v>
      </c>
      <c r="B383" s="40">
        <v>4</v>
      </c>
      <c r="C383" t="str">
        <f t="shared" si="26"/>
        <v>117.O.a.4</v>
      </c>
      <c r="D383">
        <v>5.1999999999999998E-2</v>
      </c>
      <c r="E383" t="s">
        <v>1833</v>
      </c>
      <c r="F383" s="104">
        <v>5</v>
      </c>
      <c r="G383">
        <v>6</v>
      </c>
      <c r="H383">
        <v>6</v>
      </c>
      <c r="I383">
        <v>5</v>
      </c>
      <c r="J383">
        <v>13</v>
      </c>
      <c r="K383">
        <v>9</v>
      </c>
      <c r="L383">
        <f>AVERAGE(G383:K383)</f>
        <v>7.8</v>
      </c>
      <c r="M383" t="s">
        <v>72</v>
      </c>
      <c r="O383" s="123">
        <f t="shared" si="28"/>
        <v>3900000</v>
      </c>
      <c r="P383" t="s">
        <v>1254</v>
      </c>
      <c r="Q383" t="str">
        <f t="shared" si="29"/>
        <v>117</v>
      </c>
      <c r="R383" t="str">
        <f t="shared" si="30"/>
        <v>O</v>
      </c>
    </row>
    <row r="384" spans="1:18" x14ac:dyDescent="0.2">
      <c r="A384" s="6" t="s">
        <v>1939</v>
      </c>
      <c r="B384" s="40">
        <v>5</v>
      </c>
      <c r="C384" t="str">
        <f t="shared" si="26"/>
        <v>117.O.a.5</v>
      </c>
      <c r="D384">
        <v>7.8E-2</v>
      </c>
      <c r="E384">
        <v>3</v>
      </c>
      <c r="F384" s="104">
        <v>5</v>
      </c>
      <c r="G384">
        <v>29</v>
      </c>
      <c r="H384">
        <v>23</v>
      </c>
      <c r="I384">
        <v>23</v>
      </c>
      <c r="J384">
        <v>23</v>
      </c>
      <c r="K384">
        <v>20</v>
      </c>
      <c r="L384">
        <f t="shared" si="27"/>
        <v>23.6</v>
      </c>
      <c r="M384" t="s">
        <v>72</v>
      </c>
      <c r="O384" s="123">
        <f t="shared" si="28"/>
        <v>11800000</v>
      </c>
      <c r="P384" t="s">
        <v>1254</v>
      </c>
      <c r="Q384" t="str">
        <f t="shared" si="29"/>
        <v>117</v>
      </c>
      <c r="R384" t="str">
        <f t="shared" si="30"/>
        <v>O</v>
      </c>
    </row>
    <row r="385" spans="1:18" x14ac:dyDescent="0.2">
      <c r="A385" s="6" t="s">
        <v>1939</v>
      </c>
      <c r="B385" s="40">
        <v>6</v>
      </c>
      <c r="C385" t="str">
        <f t="shared" si="26"/>
        <v>117.O.a.6</v>
      </c>
      <c r="D385">
        <v>0.32600000000000001</v>
      </c>
      <c r="E385" t="s">
        <v>1833</v>
      </c>
      <c r="F385" s="104">
        <v>6</v>
      </c>
      <c r="G385">
        <v>19</v>
      </c>
      <c r="H385">
        <v>17</v>
      </c>
      <c r="I385">
        <v>16</v>
      </c>
      <c r="J385">
        <v>15</v>
      </c>
      <c r="K385">
        <v>21</v>
      </c>
      <c r="L385">
        <f t="shared" si="27"/>
        <v>17.600000000000001</v>
      </c>
      <c r="M385" t="s">
        <v>72</v>
      </c>
      <c r="O385" s="123">
        <f t="shared" si="28"/>
        <v>88000000</v>
      </c>
      <c r="P385" t="s">
        <v>1254</v>
      </c>
      <c r="Q385" t="str">
        <f t="shared" si="29"/>
        <v>117</v>
      </c>
      <c r="R385" t="str">
        <f t="shared" si="30"/>
        <v>O</v>
      </c>
    </row>
    <row r="386" spans="1:18" x14ac:dyDescent="0.2">
      <c r="A386" t="s">
        <v>1941</v>
      </c>
      <c r="B386" s="39">
        <v>1</v>
      </c>
      <c r="C386" t="str">
        <f t="shared" ref="C386:C468" si="31">A386&amp;"."&amp;B386</f>
        <v>117.O.b.1</v>
      </c>
      <c r="D386">
        <v>0.03</v>
      </c>
      <c r="E386">
        <v>1</v>
      </c>
      <c r="F386" s="104">
        <v>6</v>
      </c>
      <c r="G386">
        <v>2</v>
      </c>
      <c r="H386">
        <v>1</v>
      </c>
      <c r="I386">
        <v>4</v>
      </c>
      <c r="J386">
        <v>2</v>
      </c>
      <c r="K386">
        <v>1</v>
      </c>
      <c r="L386">
        <f t="shared" si="27"/>
        <v>2</v>
      </c>
      <c r="N386" t="s">
        <v>1942</v>
      </c>
      <c r="O386" s="123">
        <f t="shared" si="28"/>
        <v>10000000</v>
      </c>
      <c r="P386" t="s">
        <v>1254</v>
      </c>
      <c r="Q386" t="str">
        <f t="shared" si="29"/>
        <v>117</v>
      </c>
      <c r="R386" t="str">
        <f t="shared" si="30"/>
        <v>O</v>
      </c>
    </row>
    <row r="387" spans="1:18" x14ac:dyDescent="0.2">
      <c r="A387" t="s">
        <v>1941</v>
      </c>
      <c r="B387" s="39">
        <v>2</v>
      </c>
      <c r="C387" t="str">
        <f t="shared" si="31"/>
        <v>117.O.b.2</v>
      </c>
      <c r="D387">
        <v>6.8000000000000005E-2</v>
      </c>
      <c r="E387">
        <v>2</v>
      </c>
      <c r="F387" s="104">
        <v>6</v>
      </c>
      <c r="G387">
        <v>5</v>
      </c>
      <c r="H387">
        <v>7</v>
      </c>
      <c r="I387">
        <v>9</v>
      </c>
      <c r="J387">
        <v>2</v>
      </c>
      <c r="K387">
        <v>2</v>
      </c>
      <c r="L387">
        <f t="shared" ref="L387:L433" si="32">AVERAGE(G387:K387)</f>
        <v>5</v>
      </c>
      <c r="N387" t="s">
        <v>1943</v>
      </c>
      <c r="O387" s="123">
        <f t="shared" ref="O387:O433" si="33">(L387/2)*10^(F387+1)</f>
        <v>25000000</v>
      </c>
      <c r="P387" t="s">
        <v>1254</v>
      </c>
      <c r="Q387" t="str">
        <f t="shared" ref="Q387:Q450" si="34">LEFT(A387,3)</f>
        <v>117</v>
      </c>
      <c r="R387" t="str">
        <f t="shared" ref="R387:R450" si="35">LEFT(RIGHT(A387,3),1)</f>
        <v>O</v>
      </c>
    </row>
    <row r="388" spans="1:18" x14ac:dyDescent="0.2">
      <c r="A388" s="6" t="s">
        <v>1941</v>
      </c>
      <c r="B388" s="40">
        <v>3</v>
      </c>
      <c r="C388" t="str">
        <f>A388&amp;"."&amp;B388</f>
        <v>117.O.b.3</v>
      </c>
      <c r="D388">
        <v>7.5999999999999998E-2</v>
      </c>
      <c r="E388">
        <v>2</v>
      </c>
      <c r="F388" s="104">
        <v>6</v>
      </c>
      <c r="G388">
        <v>2</v>
      </c>
      <c r="H388">
        <v>2</v>
      </c>
      <c r="I388">
        <v>3</v>
      </c>
      <c r="J388" t="s">
        <v>34</v>
      </c>
      <c r="K388" t="s">
        <v>34</v>
      </c>
      <c r="N388" t="s">
        <v>1944</v>
      </c>
      <c r="O388" s="123">
        <f t="shared" si="33"/>
        <v>0</v>
      </c>
      <c r="P388" t="s">
        <v>1254</v>
      </c>
      <c r="Q388" t="str">
        <f t="shared" si="34"/>
        <v>117</v>
      </c>
      <c r="R388" t="str">
        <f t="shared" si="35"/>
        <v>O</v>
      </c>
    </row>
    <row r="389" spans="1:18" x14ac:dyDescent="0.2">
      <c r="A389" s="6" t="s">
        <v>1941</v>
      </c>
      <c r="B389" s="40">
        <v>4</v>
      </c>
      <c r="C389" t="str">
        <f t="shared" si="31"/>
        <v>117.O.b.4</v>
      </c>
      <c r="D389">
        <v>6.4000000000000001E-2</v>
      </c>
      <c r="E389">
        <v>2</v>
      </c>
      <c r="F389" s="104">
        <v>6</v>
      </c>
      <c r="G389">
        <v>12</v>
      </c>
      <c r="H389">
        <v>13</v>
      </c>
      <c r="I389">
        <v>10</v>
      </c>
      <c r="J389">
        <v>8</v>
      </c>
      <c r="K389">
        <v>9</v>
      </c>
      <c r="L389">
        <f t="shared" si="32"/>
        <v>10.4</v>
      </c>
      <c r="M389" t="s">
        <v>72</v>
      </c>
      <c r="O389" s="123">
        <f t="shared" si="33"/>
        <v>52000000</v>
      </c>
      <c r="P389" t="s">
        <v>1254</v>
      </c>
      <c r="Q389" t="str">
        <f t="shared" si="34"/>
        <v>117</v>
      </c>
      <c r="R389" t="str">
        <f t="shared" si="35"/>
        <v>O</v>
      </c>
    </row>
    <row r="390" spans="1:18" x14ac:dyDescent="0.2">
      <c r="A390" s="6" t="s">
        <v>1941</v>
      </c>
      <c r="B390" s="40">
        <v>5</v>
      </c>
      <c r="C390" t="str">
        <f t="shared" si="31"/>
        <v>117.O.b.5</v>
      </c>
      <c r="D390">
        <v>0.17699999999999999</v>
      </c>
      <c r="E390" t="s">
        <v>1833</v>
      </c>
      <c r="F390" s="104">
        <v>5</v>
      </c>
      <c r="G390">
        <v>19</v>
      </c>
      <c r="H390">
        <v>20</v>
      </c>
      <c r="I390">
        <v>15</v>
      </c>
      <c r="J390">
        <v>23</v>
      </c>
      <c r="K390">
        <v>19</v>
      </c>
      <c r="L390">
        <f t="shared" si="32"/>
        <v>19.2</v>
      </c>
      <c r="M390" t="s">
        <v>72</v>
      </c>
      <c r="O390" s="123">
        <f t="shared" si="33"/>
        <v>9600000</v>
      </c>
      <c r="P390" t="s">
        <v>1254</v>
      </c>
      <c r="Q390" t="str">
        <f t="shared" si="34"/>
        <v>117</v>
      </c>
      <c r="R390" t="str">
        <f t="shared" si="35"/>
        <v>O</v>
      </c>
    </row>
    <row r="391" spans="1:18" x14ac:dyDescent="0.2">
      <c r="A391" s="6" t="s">
        <v>1941</v>
      </c>
      <c r="B391" s="40">
        <v>6</v>
      </c>
      <c r="C391" t="str">
        <f t="shared" si="31"/>
        <v>117.O.b.6</v>
      </c>
      <c r="D391">
        <v>0.13800000000000001</v>
      </c>
      <c r="E391" t="s">
        <v>1833</v>
      </c>
      <c r="F391" s="104">
        <v>5</v>
      </c>
      <c r="G391">
        <v>32</v>
      </c>
      <c r="H391">
        <v>34</v>
      </c>
      <c r="I391">
        <v>33</v>
      </c>
      <c r="J391">
        <v>23</v>
      </c>
      <c r="K391" t="s">
        <v>34</v>
      </c>
      <c r="L391">
        <f t="shared" si="32"/>
        <v>30.5</v>
      </c>
      <c r="M391" t="s">
        <v>72</v>
      </c>
      <c r="N391" t="s">
        <v>1945</v>
      </c>
      <c r="O391" s="123">
        <f t="shared" si="33"/>
        <v>15250000</v>
      </c>
      <c r="P391" t="s">
        <v>1254</v>
      </c>
      <c r="Q391" t="str">
        <f t="shared" si="34"/>
        <v>117</v>
      </c>
      <c r="R391" t="str">
        <f t="shared" si="35"/>
        <v>O</v>
      </c>
    </row>
    <row r="392" spans="1:18" x14ac:dyDescent="0.2">
      <c r="A392" t="s">
        <v>1946</v>
      </c>
      <c r="B392" s="39">
        <v>1</v>
      </c>
      <c r="C392" t="str">
        <f t="shared" si="31"/>
        <v>117.O.c.1</v>
      </c>
      <c r="D392">
        <v>3.2000000000000001E-2</v>
      </c>
      <c r="E392">
        <v>1</v>
      </c>
      <c r="F392" s="104">
        <v>4</v>
      </c>
      <c r="G392">
        <v>30</v>
      </c>
      <c r="H392">
        <v>23</v>
      </c>
      <c r="I392">
        <v>27</v>
      </c>
      <c r="J392">
        <v>26</v>
      </c>
      <c r="K392">
        <v>36</v>
      </c>
      <c r="L392">
        <f t="shared" si="32"/>
        <v>28.4</v>
      </c>
      <c r="M392" t="s">
        <v>72</v>
      </c>
      <c r="O392" s="123">
        <f t="shared" si="33"/>
        <v>1420000</v>
      </c>
      <c r="P392" t="s">
        <v>1254</v>
      </c>
      <c r="Q392" t="str">
        <f t="shared" si="34"/>
        <v>117</v>
      </c>
      <c r="R392" t="str">
        <f t="shared" si="35"/>
        <v>O</v>
      </c>
    </row>
    <row r="393" spans="1:18" x14ac:dyDescent="0.2">
      <c r="A393" t="s">
        <v>1946</v>
      </c>
      <c r="B393" s="39">
        <v>2</v>
      </c>
      <c r="C393" t="str">
        <f t="shared" si="31"/>
        <v>117.O.c.2</v>
      </c>
      <c r="D393">
        <v>7.2999999999999995E-2</v>
      </c>
      <c r="E393">
        <v>2</v>
      </c>
      <c r="F393" s="104">
        <v>5</v>
      </c>
      <c r="G393">
        <v>10</v>
      </c>
      <c r="H393">
        <v>7</v>
      </c>
      <c r="I393">
        <v>14</v>
      </c>
      <c r="J393">
        <v>7</v>
      </c>
      <c r="L393">
        <f t="shared" si="32"/>
        <v>9.5</v>
      </c>
      <c r="M393" t="s">
        <v>72</v>
      </c>
      <c r="N393" t="s">
        <v>1944</v>
      </c>
      <c r="O393" s="123">
        <f t="shared" si="33"/>
        <v>4750000</v>
      </c>
      <c r="P393" t="s">
        <v>1254</v>
      </c>
      <c r="Q393" t="str">
        <f t="shared" si="34"/>
        <v>117</v>
      </c>
      <c r="R393" t="str">
        <f t="shared" si="35"/>
        <v>O</v>
      </c>
    </row>
    <row r="394" spans="1:18" x14ac:dyDescent="0.2">
      <c r="A394" s="6" t="s">
        <v>1946</v>
      </c>
      <c r="B394" s="40">
        <v>3</v>
      </c>
      <c r="C394" t="str">
        <f t="shared" si="31"/>
        <v>117.O.c.3</v>
      </c>
      <c r="D394">
        <v>9.8000000000000004E-2</v>
      </c>
      <c r="E394">
        <v>4</v>
      </c>
      <c r="L394" t="e">
        <f t="shared" si="32"/>
        <v>#DIV/0!</v>
      </c>
      <c r="N394" t="s">
        <v>1944</v>
      </c>
      <c r="O394" s="123" t="e">
        <f t="shared" si="33"/>
        <v>#DIV/0!</v>
      </c>
      <c r="P394" t="s">
        <v>1254</v>
      </c>
      <c r="Q394" t="str">
        <f t="shared" si="34"/>
        <v>117</v>
      </c>
      <c r="R394" t="str">
        <f t="shared" si="35"/>
        <v>O</v>
      </c>
    </row>
    <row r="395" spans="1:18" x14ac:dyDescent="0.2">
      <c r="A395" s="6" t="s">
        <v>1946</v>
      </c>
      <c r="B395" s="40">
        <v>4</v>
      </c>
      <c r="C395" t="str">
        <f t="shared" si="31"/>
        <v>117.O.c.4</v>
      </c>
      <c r="D395">
        <v>9.4E-2</v>
      </c>
      <c r="E395">
        <v>3</v>
      </c>
      <c r="F395" s="104">
        <v>5</v>
      </c>
      <c r="G395">
        <v>17</v>
      </c>
      <c r="H395">
        <v>20</v>
      </c>
      <c r="I395">
        <v>11</v>
      </c>
      <c r="J395">
        <v>15</v>
      </c>
      <c r="K395">
        <v>22</v>
      </c>
      <c r="L395">
        <f t="shared" si="32"/>
        <v>17</v>
      </c>
      <c r="M395" t="s">
        <v>72</v>
      </c>
      <c r="O395" s="123">
        <f t="shared" si="33"/>
        <v>8500000</v>
      </c>
      <c r="P395" t="s">
        <v>1254</v>
      </c>
      <c r="Q395" t="str">
        <f t="shared" si="34"/>
        <v>117</v>
      </c>
      <c r="R395" t="str">
        <f t="shared" si="35"/>
        <v>O</v>
      </c>
    </row>
    <row r="396" spans="1:18" x14ac:dyDescent="0.2">
      <c r="A396" s="6" t="s">
        <v>1946</v>
      </c>
      <c r="B396" s="40">
        <v>5</v>
      </c>
      <c r="C396" t="str">
        <f t="shared" si="31"/>
        <v>117.O.c.5</v>
      </c>
      <c r="D396">
        <v>7.3999999999999996E-2</v>
      </c>
      <c r="E396">
        <v>3</v>
      </c>
      <c r="F396" s="104">
        <v>5</v>
      </c>
      <c r="G396">
        <v>29</v>
      </c>
      <c r="H396">
        <v>29</v>
      </c>
      <c r="I396">
        <v>24</v>
      </c>
      <c r="J396">
        <v>29</v>
      </c>
      <c r="K396">
        <v>33</v>
      </c>
      <c r="L396">
        <f t="shared" si="32"/>
        <v>28.8</v>
      </c>
      <c r="M396" t="s">
        <v>72</v>
      </c>
      <c r="O396" s="123">
        <f t="shared" si="33"/>
        <v>14400000</v>
      </c>
      <c r="P396" t="s">
        <v>1254</v>
      </c>
      <c r="Q396" t="str">
        <f t="shared" si="34"/>
        <v>117</v>
      </c>
      <c r="R396" t="str">
        <f t="shared" si="35"/>
        <v>O</v>
      </c>
    </row>
    <row r="397" spans="1:18" x14ac:dyDescent="0.2">
      <c r="A397" s="6" t="s">
        <v>1946</v>
      </c>
      <c r="B397" s="40">
        <v>6</v>
      </c>
      <c r="C397" t="str">
        <f t="shared" si="31"/>
        <v>117.O.c.6</v>
      </c>
      <c r="D397">
        <v>0.25900000000000001</v>
      </c>
      <c r="E397" t="s">
        <v>1833</v>
      </c>
      <c r="F397" s="104">
        <v>6</v>
      </c>
      <c r="G397">
        <v>7</v>
      </c>
      <c r="H397">
        <v>6</v>
      </c>
      <c r="I397">
        <v>6</v>
      </c>
      <c r="J397">
        <v>11</v>
      </c>
      <c r="K397">
        <v>8</v>
      </c>
      <c r="L397">
        <f t="shared" si="32"/>
        <v>7.6</v>
      </c>
      <c r="M397" t="s">
        <v>72</v>
      </c>
      <c r="N397" t="s">
        <v>1947</v>
      </c>
      <c r="O397" s="123">
        <f t="shared" si="33"/>
        <v>38000000</v>
      </c>
      <c r="P397" t="s">
        <v>1254</v>
      </c>
      <c r="Q397" t="str">
        <f t="shared" si="34"/>
        <v>117</v>
      </c>
      <c r="R397" t="str">
        <f t="shared" si="35"/>
        <v>O</v>
      </c>
    </row>
    <row r="398" spans="1:18" x14ac:dyDescent="0.2">
      <c r="A398" t="s">
        <v>1948</v>
      </c>
      <c r="B398" s="39">
        <v>1</v>
      </c>
      <c r="C398" t="str">
        <f t="shared" si="31"/>
        <v>117.S.a.1</v>
      </c>
      <c r="D398">
        <v>2.1999999999999999E-2</v>
      </c>
      <c r="E398">
        <v>1</v>
      </c>
      <c r="F398" s="104">
        <v>4</v>
      </c>
      <c r="G398">
        <v>25</v>
      </c>
      <c r="H398">
        <v>18</v>
      </c>
      <c r="I398">
        <v>19</v>
      </c>
      <c r="J398">
        <v>19</v>
      </c>
      <c r="K398">
        <v>23</v>
      </c>
      <c r="L398">
        <f t="shared" si="32"/>
        <v>20.8</v>
      </c>
      <c r="M398" t="s">
        <v>72</v>
      </c>
      <c r="O398" s="123">
        <f t="shared" si="33"/>
        <v>1040000</v>
      </c>
      <c r="P398" t="s">
        <v>1254</v>
      </c>
      <c r="Q398" t="str">
        <f t="shared" si="34"/>
        <v>117</v>
      </c>
      <c r="R398" t="str">
        <f t="shared" si="35"/>
        <v>S</v>
      </c>
    </row>
    <row r="399" spans="1:18" x14ac:dyDescent="0.2">
      <c r="A399" t="s">
        <v>1948</v>
      </c>
      <c r="B399" s="39">
        <v>2</v>
      </c>
      <c r="C399" t="str">
        <f>A399&amp;"."&amp;B399</f>
        <v>117.S.a.2</v>
      </c>
      <c r="D399">
        <v>1.9E-2</v>
      </c>
      <c r="E399">
        <v>1</v>
      </c>
      <c r="L399" t="e">
        <f t="shared" si="32"/>
        <v>#DIV/0!</v>
      </c>
      <c r="N399" t="s">
        <v>1949</v>
      </c>
      <c r="O399" s="123" t="e">
        <f t="shared" si="33"/>
        <v>#DIV/0!</v>
      </c>
      <c r="P399" t="s">
        <v>1254</v>
      </c>
      <c r="Q399" t="str">
        <f t="shared" si="34"/>
        <v>117</v>
      </c>
      <c r="R399" t="str">
        <f t="shared" si="35"/>
        <v>S</v>
      </c>
    </row>
    <row r="400" spans="1:18" x14ac:dyDescent="0.2">
      <c r="A400" s="6" t="s">
        <v>1948</v>
      </c>
      <c r="B400" s="40">
        <v>3</v>
      </c>
      <c r="C400" t="str">
        <f t="shared" si="31"/>
        <v>117.S.a.3</v>
      </c>
      <c r="D400">
        <v>3.3000000000000002E-2</v>
      </c>
      <c r="E400">
        <v>1</v>
      </c>
      <c r="F400" s="104">
        <v>4</v>
      </c>
      <c r="G400">
        <v>31</v>
      </c>
      <c r="H400">
        <v>32</v>
      </c>
      <c r="I400">
        <v>33</v>
      </c>
      <c r="J400" t="s">
        <v>45</v>
      </c>
      <c r="K400">
        <v>21</v>
      </c>
      <c r="L400">
        <f t="shared" si="32"/>
        <v>29.25</v>
      </c>
      <c r="M400" t="s">
        <v>72</v>
      </c>
      <c r="O400" s="123">
        <f t="shared" si="33"/>
        <v>1462500</v>
      </c>
      <c r="P400" t="s">
        <v>1254</v>
      </c>
      <c r="Q400" t="str">
        <f t="shared" si="34"/>
        <v>117</v>
      </c>
      <c r="R400" t="str">
        <f t="shared" si="35"/>
        <v>S</v>
      </c>
    </row>
    <row r="401" spans="1:18" x14ac:dyDescent="0.2">
      <c r="A401" s="6" t="s">
        <v>1948</v>
      </c>
      <c r="B401" s="40">
        <v>4</v>
      </c>
      <c r="C401" t="str">
        <f t="shared" si="31"/>
        <v>117.S.a.4</v>
      </c>
      <c r="D401">
        <v>0.161</v>
      </c>
      <c r="E401" t="s">
        <v>1833</v>
      </c>
      <c r="L401" t="e">
        <f t="shared" si="32"/>
        <v>#DIV/0!</v>
      </c>
      <c r="N401" t="s">
        <v>1950</v>
      </c>
      <c r="O401" s="123" t="e">
        <f t="shared" si="33"/>
        <v>#DIV/0!</v>
      </c>
      <c r="P401" t="s">
        <v>1254</v>
      </c>
      <c r="Q401" t="str">
        <f t="shared" si="34"/>
        <v>117</v>
      </c>
      <c r="R401" t="str">
        <f t="shared" si="35"/>
        <v>S</v>
      </c>
    </row>
    <row r="402" spans="1:18" x14ac:dyDescent="0.2">
      <c r="A402" s="6" t="s">
        <v>1948</v>
      </c>
      <c r="B402" s="40">
        <v>5</v>
      </c>
      <c r="C402" t="str">
        <f t="shared" si="31"/>
        <v>117.S.a.5</v>
      </c>
      <c r="D402">
        <v>0.124</v>
      </c>
      <c r="E402" t="s">
        <v>1833</v>
      </c>
      <c r="F402" s="104">
        <v>5</v>
      </c>
      <c r="G402" t="s">
        <v>34</v>
      </c>
      <c r="H402">
        <v>11</v>
      </c>
      <c r="I402" t="s">
        <v>34</v>
      </c>
      <c r="J402" t="s">
        <v>34</v>
      </c>
      <c r="K402" t="s">
        <v>34</v>
      </c>
      <c r="L402">
        <f t="shared" si="32"/>
        <v>11</v>
      </c>
      <c r="N402" t="s">
        <v>1951</v>
      </c>
      <c r="O402" s="123">
        <f t="shared" si="33"/>
        <v>5500000</v>
      </c>
      <c r="P402" t="s">
        <v>1254</v>
      </c>
      <c r="Q402" t="str">
        <f t="shared" si="34"/>
        <v>117</v>
      </c>
      <c r="R402" t="str">
        <f t="shared" si="35"/>
        <v>S</v>
      </c>
    </row>
    <row r="403" spans="1:18" x14ac:dyDescent="0.2">
      <c r="A403" s="6" t="s">
        <v>1948</v>
      </c>
      <c r="B403" s="40">
        <v>6</v>
      </c>
      <c r="C403" t="str">
        <f t="shared" si="31"/>
        <v>117.S.a.6</v>
      </c>
      <c r="D403">
        <v>0.19400000000000001</v>
      </c>
      <c r="E403" t="s">
        <v>1833</v>
      </c>
      <c r="F403" s="104">
        <v>6</v>
      </c>
      <c r="G403">
        <v>2</v>
      </c>
      <c r="H403">
        <v>1</v>
      </c>
      <c r="I403">
        <v>2</v>
      </c>
      <c r="J403">
        <v>1</v>
      </c>
      <c r="K403">
        <v>2</v>
      </c>
      <c r="L403">
        <f t="shared" si="32"/>
        <v>1.6</v>
      </c>
      <c r="M403" t="s">
        <v>72</v>
      </c>
      <c r="O403" s="123">
        <f t="shared" si="33"/>
        <v>8000000</v>
      </c>
      <c r="P403" t="s">
        <v>1254</v>
      </c>
      <c r="Q403" t="str">
        <f t="shared" si="34"/>
        <v>117</v>
      </c>
      <c r="R403" t="str">
        <f t="shared" si="35"/>
        <v>S</v>
      </c>
    </row>
    <row r="404" spans="1:18" x14ac:dyDescent="0.2">
      <c r="A404" t="s">
        <v>1952</v>
      </c>
      <c r="B404" s="39">
        <v>1</v>
      </c>
      <c r="C404" t="str">
        <f t="shared" si="31"/>
        <v>117.S.b.1</v>
      </c>
      <c r="D404">
        <v>2.1000000000000001E-2</v>
      </c>
      <c r="E404">
        <v>1</v>
      </c>
      <c r="F404" s="104">
        <v>4</v>
      </c>
      <c r="G404" t="s">
        <v>45</v>
      </c>
      <c r="H404" s="70">
        <v>4</v>
      </c>
      <c r="I404" s="70">
        <v>4</v>
      </c>
      <c r="J404" t="s">
        <v>45</v>
      </c>
      <c r="K404" s="70">
        <v>6</v>
      </c>
      <c r="L404">
        <f t="shared" si="32"/>
        <v>4.666666666666667</v>
      </c>
      <c r="O404" s="123">
        <f t="shared" si="33"/>
        <v>233333.33333333334</v>
      </c>
      <c r="P404" t="s">
        <v>1254</v>
      </c>
      <c r="Q404" t="str">
        <f t="shared" si="34"/>
        <v>117</v>
      </c>
      <c r="R404" t="str">
        <f t="shared" si="35"/>
        <v>S</v>
      </c>
    </row>
    <row r="405" spans="1:18" x14ac:dyDescent="0.2">
      <c r="A405" t="s">
        <v>1952</v>
      </c>
      <c r="B405" s="39">
        <v>2</v>
      </c>
      <c r="C405" t="str">
        <f t="shared" si="31"/>
        <v>117.S.b.2</v>
      </c>
      <c r="D405">
        <v>2.7E-2</v>
      </c>
      <c r="E405">
        <v>1</v>
      </c>
      <c r="F405" s="104">
        <v>4</v>
      </c>
      <c r="G405">
        <v>32</v>
      </c>
      <c r="H405" t="s">
        <v>45</v>
      </c>
      <c r="I405">
        <v>30</v>
      </c>
      <c r="J405" t="s">
        <v>45</v>
      </c>
      <c r="K405">
        <v>28</v>
      </c>
      <c r="L405">
        <f t="shared" si="32"/>
        <v>30</v>
      </c>
      <c r="N405" t="s">
        <v>1923</v>
      </c>
      <c r="O405" s="123">
        <f t="shared" si="33"/>
        <v>1500000</v>
      </c>
      <c r="P405" t="s">
        <v>1254</v>
      </c>
      <c r="Q405" t="str">
        <f t="shared" si="34"/>
        <v>117</v>
      </c>
      <c r="R405" t="str">
        <f t="shared" si="35"/>
        <v>S</v>
      </c>
    </row>
    <row r="406" spans="1:18" x14ac:dyDescent="0.2">
      <c r="A406" s="6" t="s">
        <v>1952</v>
      </c>
      <c r="B406" s="40">
        <v>3</v>
      </c>
      <c r="C406" t="str">
        <f t="shared" si="31"/>
        <v>117.S.b.3</v>
      </c>
      <c r="D406">
        <v>3.5000000000000003E-2</v>
      </c>
      <c r="E406">
        <v>1</v>
      </c>
      <c r="L406" t="e">
        <f t="shared" si="32"/>
        <v>#DIV/0!</v>
      </c>
      <c r="N406" t="s">
        <v>1953</v>
      </c>
      <c r="O406" s="123" t="e">
        <f t="shared" si="33"/>
        <v>#DIV/0!</v>
      </c>
      <c r="P406" t="s">
        <v>1254</v>
      </c>
      <c r="Q406" t="str">
        <f t="shared" si="34"/>
        <v>117</v>
      </c>
      <c r="R406" t="str">
        <f t="shared" si="35"/>
        <v>S</v>
      </c>
    </row>
    <row r="407" spans="1:18" x14ac:dyDescent="0.2">
      <c r="A407" s="6" t="s">
        <v>1952</v>
      </c>
      <c r="B407" s="40">
        <v>4</v>
      </c>
      <c r="C407" t="str">
        <f t="shared" si="31"/>
        <v>117.S.b.4</v>
      </c>
      <c r="D407">
        <v>0.06</v>
      </c>
      <c r="E407">
        <v>2</v>
      </c>
      <c r="F407" s="104">
        <v>6</v>
      </c>
      <c r="G407">
        <v>2</v>
      </c>
      <c r="H407">
        <v>1</v>
      </c>
      <c r="I407">
        <v>2</v>
      </c>
      <c r="J407">
        <v>1</v>
      </c>
      <c r="K407">
        <v>3</v>
      </c>
      <c r="L407">
        <f t="shared" si="32"/>
        <v>1.8</v>
      </c>
      <c r="M407" t="s">
        <v>72</v>
      </c>
      <c r="O407" s="123">
        <f t="shared" si="33"/>
        <v>9000000</v>
      </c>
      <c r="P407" t="s">
        <v>1254</v>
      </c>
      <c r="Q407" t="str">
        <f t="shared" si="34"/>
        <v>117</v>
      </c>
      <c r="R407" t="str">
        <f t="shared" si="35"/>
        <v>S</v>
      </c>
    </row>
    <row r="408" spans="1:18" x14ac:dyDescent="0.2">
      <c r="A408" s="6" t="s">
        <v>1952</v>
      </c>
      <c r="B408" s="40">
        <v>5</v>
      </c>
      <c r="C408" t="str">
        <f t="shared" si="31"/>
        <v>117.S.b.5</v>
      </c>
      <c r="D408">
        <v>7.0999999999999994E-2</v>
      </c>
      <c r="E408">
        <v>2</v>
      </c>
      <c r="F408" s="104">
        <v>6</v>
      </c>
      <c r="G408">
        <v>7</v>
      </c>
      <c r="H408">
        <v>7</v>
      </c>
      <c r="I408">
        <v>3</v>
      </c>
      <c r="J408" t="s">
        <v>45</v>
      </c>
      <c r="K408" t="s">
        <v>45</v>
      </c>
      <c r="L408">
        <f t="shared" si="32"/>
        <v>5.666666666666667</v>
      </c>
      <c r="M408" t="s">
        <v>72</v>
      </c>
      <c r="N408" t="s">
        <v>1923</v>
      </c>
      <c r="O408" s="123">
        <f t="shared" si="33"/>
        <v>28333333.333333336</v>
      </c>
      <c r="P408" t="s">
        <v>1254</v>
      </c>
      <c r="Q408" t="str">
        <f t="shared" si="34"/>
        <v>117</v>
      </c>
      <c r="R408" t="str">
        <f t="shared" si="35"/>
        <v>S</v>
      </c>
    </row>
    <row r="409" spans="1:18" x14ac:dyDescent="0.2">
      <c r="A409" s="6" t="s">
        <v>1952</v>
      </c>
      <c r="B409" s="40">
        <v>6</v>
      </c>
      <c r="C409" t="str">
        <f t="shared" si="31"/>
        <v>117.S.b.6</v>
      </c>
      <c r="D409">
        <v>0.16</v>
      </c>
      <c r="E409" t="s">
        <v>1833</v>
      </c>
      <c r="F409" s="104">
        <v>5</v>
      </c>
      <c r="G409">
        <v>4</v>
      </c>
      <c r="H409">
        <v>3</v>
      </c>
      <c r="I409" t="s">
        <v>34</v>
      </c>
      <c r="J409">
        <v>8</v>
      </c>
      <c r="K409" t="s">
        <v>34</v>
      </c>
      <c r="L409">
        <f t="shared" si="32"/>
        <v>5</v>
      </c>
      <c r="M409" t="s">
        <v>72</v>
      </c>
      <c r="O409" s="123">
        <f t="shared" si="33"/>
        <v>2500000</v>
      </c>
      <c r="P409" t="s">
        <v>1254</v>
      </c>
      <c r="Q409" t="str">
        <f t="shared" si="34"/>
        <v>117</v>
      </c>
      <c r="R409" t="str">
        <f t="shared" si="35"/>
        <v>S</v>
      </c>
    </row>
    <row r="410" spans="1:18" x14ac:dyDescent="0.2">
      <c r="A410" t="s">
        <v>1954</v>
      </c>
      <c r="B410" s="39">
        <v>1</v>
      </c>
      <c r="C410" t="str">
        <f t="shared" si="31"/>
        <v>117.S.d.1</v>
      </c>
      <c r="D410">
        <v>1.2E-2</v>
      </c>
      <c r="E410">
        <v>1</v>
      </c>
      <c r="L410" t="e">
        <f t="shared" si="32"/>
        <v>#DIV/0!</v>
      </c>
      <c r="N410" t="s">
        <v>1955</v>
      </c>
      <c r="O410" s="123" t="e">
        <f t="shared" si="33"/>
        <v>#DIV/0!</v>
      </c>
      <c r="P410" t="s">
        <v>1254</v>
      </c>
      <c r="Q410" t="str">
        <f t="shared" si="34"/>
        <v>117</v>
      </c>
      <c r="R410" t="str">
        <f t="shared" si="35"/>
        <v>S</v>
      </c>
    </row>
    <row r="411" spans="1:18" x14ac:dyDescent="0.2">
      <c r="A411" t="s">
        <v>1954</v>
      </c>
      <c r="B411" s="39">
        <v>2</v>
      </c>
      <c r="C411" t="str">
        <f t="shared" si="31"/>
        <v>117.S.d.2</v>
      </c>
      <c r="D411">
        <v>1.7000000000000001E-2</v>
      </c>
      <c r="E411">
        <v>2</v>
      </c>
      <c r="F411" s="104">
        <v>3</v>
      </c>
      <c r="G411">
        <v>6</v>
      </c>
      <c r="H411">
        <v>3</v>
      </c>
      <c r="I411">
        <v>2</v>
      </c>
      <c r="J411">
        <v>2</v>
      </c>
      <c r="K411">
        <v>6</v>
      </c>
      <c r="L411">
        <f t="shared" si="32"/>
        <v>3.8</v>
      </c>
      <c r="M411" t="s">
        <v>72</v>
      </c>
      <c r="O411" s="123">
        <f t="shared" si="33"/>
        <v>19000</v>
      </c>
      <c r="P411" t="s">
        <v>1254</v>
      </c>
      <c r="Q411" t="str">
        <f t="shared" si="34"/>
        <v>117</v>
      </c>
      <c r="R411" t="str">
        <f t="shared" si="35"/>
        <v>S</v>
      </c>
    </row>
    <row r="412" spans="1:18" x14ac:dyDescent="0.2">
      <c r="A412" s="6" t="s">
        <v>1954</v>
      </c>
      <c r="B412" s="40">
        <v>3</v>
      </c>
      <c r="C412" t="str">
        <f t="shared" si="31"/>
        <v>117.S.d.3</v>
      </c>
      <c r="D412">
        <v>2.3E-2</v>
      </c>
      <c r="E412">
        <v>2</v>
      </c>
      <c r="F412" s="104">
        <v>3</v>
      </c>
      <c r="G412" s="70">
        <v>12</v>
      </c>
      <c r="H412">
        <v>17</v>
      </c>
      <c r="I412">
        <v>13</v>
      </c>
      <c r="J412">
        <v>9</v>
      </c>
      <c r="K412">
        <v>16</v>
      </c>
      <c r="L412">
        <f t="shared" si="32"/>
        <v>13.4</v>
      </c>
      <c r="M412" t="s">
        <v>72</v>
      </c>
      <c r="O412" s="123">
        <f t="shared" si="33"/>
        <v>67000</v>
      </c>
      <c r="P412" t="s">
        <v>1254</v>
      </c>
      <c r="Q412" t="str">
        <f t="shared" si="34"/>
        <v>117</v>
      </c>
      <c r="R412" t="str">
        <f t="shared" si="35"/>
        <v>S</v>
      </c>
    </row>
    <row r="413" spans="1:18" x14ac:dyDescent="0.2">
      <c r="A413" s="6" t="s">
        <v>1954</v>
      </c>
      <c r="B413" s="40">
        <v>4</v>
      </c>
      <c r="C413" t="str">
        <f t="shared" si="31"/>
        <v>117.S.d.4</v>
      </c>
      <c r="D413">
        <v>0.03</v>
      </c>
      <c r="E413">
        <v>2</v>
      </c>
      <c r="L413" t="e">
        <f t="shared" si="32"/>
        <v>#DIV/0!</v>
      </c>
      <c r="N413" t="s">
        <v>1956</v>
      </c>
      <c r="O413" s="123" t="e">
        <f t="shared" si="33"/>
        <v>#DIV/0!</v>
      </c>
      <c r="P413" t="s">
        <v>1254</v>
      </c>
      <c r="Q413" t="str">
        <f t="shared" si="34"/>
        <v>117</v>
      </c>
      <c r="R413" t="str">
        <f t="shared" si="35"/>
        <v>S</v>
      </c>
    </row>
    <row r="414" spans="1:18" x14ac:dyDescent="0.2">
      <c r="A414" s="6" t="s">
        <v>1954</v>
      </c>
      <c r="B414" s="40">
        <v>5</v>
      </c>
      <c r="C414" t="str">
        <f t="shared" si="31"/>
        <v>117.S.d.5</v>
      </c>
      <c r="D414">
        <v>0.13</v>
      </c>
      <c r="E414">
        <v>5</v>
      </c>
      <c r="F414" s="104">
        <v>6</v>
      </c>
      <c r="G414" s="70">
        <v>13</v>
      </c>
      <c r="H414" s="70">
        <v>10</v>
      </c>
      <c r="I414" t="s">
        <v>34</v>
      </c>
      <c r="J414">
        <v>15</v>
      </c>
      <c r="K414">
        <v>14</v>
      </c>
      <c r="L414">
        <f t="shared" si="32"/>
        <v>13</v>
      </c>
      <c r="M414" t="s">
        <v>72</v>
      </c>
      <c r="O414" s="123">
        <f t="shared" si="33"/>
        <v>65000000</v>
      </c>
      <c r="P414" t="s">
        <v>1254</v>
      </c>
      <c r="Q414" t="str">
        <f t="shared" si="34"/>
        <v>117</v>
      </c>
      <c r="R414" t="str">
        <f t="shared" si="35"/>
        <v>S</v>
      </c>
    </row>
    <row r="415" spans="1:18" x14ac:dyDescent="0.2">
      <c r="A415" s="6" t="s">
        <v>1954</v>
      </c>
      <c r="B415" s="40">
        <v>6</v>
      </c>
      <c r="C415" t="str">
        <f t="shared" si="31"/>
        <v>117.S.d.6</v>
      </c>
      <c r="D415">
        <v>0.14199999999999999</v>
      </c>
      <c r="E415" t="s">
        <v>1833</v>
      </c>
      <c r="F415" s="104">
        <v>6</v>
      </c>
      <c r="G415">
        <v>7</v>
      </c>
      <c r="H415" t="s">
        <v>34</v>
      </c>
      <c r="I415" t="s">
        <v>34</v>
      </c>
      <c r="J415" t="s">
        <v>34</v>
      </c>
      <c r="K415">
        <v>7</v>
      </c>
      <c r="L415">
        <f t="shared" si="32"/>
        <v>7</v>
      </c>
      <c r="M415" t="s">
        <v>72</v>
      </c>
      <c r="O415" s="123">
        <f t="shared" si="33"/>
        <v>35000000</v>
      </c>
      <c r="P415" t="s">
        <v>1254</v>
      </c>
      <c r="Q415" t="str">
        <f t="shared" si="34"/>
        <v>117</v>
      </c>
      <c r="R415" t="str">
        <f t="shared" si="35"/>
        <v>S</v>
      </c>
    </row>
    <row r="416" spans="1:18" x14ac:dyDescent="0.2">
      <c r="A416" t="s">
        <v>1957</v>
      </c>
      <c r="B416" s="39">
        <v>1</v>
      </c>
      <c r="C416" t="str">
        <f t="shared" si="31"/>
        <v>117.V.a.1</v>
      </c>
      <c r="D416">
        <v>2.4E-2</v>
      </c>
      <c r="E416">
        <v>1</v>
      </c>
      <c r="F416" s="104">
        <v>3</v>
      </c>
      <c r="G416" t="s">
        <v>45</v>
      </c>
      <c r="H416">
        <v>4</v>
      </c>
      <c r="I416">
        <v>5</v>
      </c>
      <c r="J416">
        <v>4</v>
      </c>
      <c r="K416">
        <v>3</v>
      </c>
      <c r="L416">
        <f t="shared" si="32"/>
        <v>4</v>
      </c>
      <c r="M416" t="s">
        <v>72</v>
      </c>
      <c r="N416" t="s">
        <v>1958</v>
      </c>
      <c r="O416" s="123">
        <f t="shared" si="33"/>
        <v>20000</v>
      </c>
      <c r="P416" t="s">
        <v>1254</v>
      </c>
      <c r="Q416" t="str">
        <f t="shared" si="34"/>
        <v>117</v>
      </c>
      <c r="R416" t="str">
        <f t="shared" si="35"/>
        <v>V</v>
      </c>
    </row>
    <row r="417" spans="1:18" x14ac:dyDescent="0.2">
      <c r="A417" t="s">
        <v>1957</v>
      </c>
      <c r="B417" s="39">
        <v>2</v>
      </c>
      <c r="C417" t="str">
        <f t="shared" si="31"/>
        <v>117.V.a.2</v>
      </c>
      <c r="D417">
        <v>3.7999999999999999E-2</v>
      </c>
      <c r="E417">
        <v>2</v>
      </c>
      <c r="F417" s="104">
        <v>3</v>
      </c>
      <c r="G417" t="s">
        <v>45</v>
      </c>
      <c r="H417">
        <v>7</v>
      </c>
      <c r="I417">
        <v>9</v>
      </c>
      <c r="J417">
        <v>11</v>
      </c>
      <c r="K417" t="s">
        <v>45</v>
      </c>
      <c r="L417">
        <f t="shared" si="32"/>
        <v>9</v>
      </c>
      <c r="M417" t="s">
        <v>72</v>
      </c>
      <c r="N417" t="s">
        <v>1958</v>
      </c>
      <c r="O417" s="123">
        <f t="shared" si="33"/>
        <v>45000</v>
      </c>
      <c r="P417" t="s">
        <v>1254</v>
      </c>
      <c r="Q417" t="str">
        <f t="shared" si="34"/>
        <v>117</v>
      </c>
      <c r="R417" t="str">
        <f t="shared" si="35"/>
        <v>V</v>
      </c>
    </row>
    <row r="418" spans="1:18" x14ac:dyDescent="0.2">
      <c r="A418" s="6" t="s">
        <v>1957</v>
      </c>
      <c r="B418" s="40">
        <v>3</v>
      </c>
      <c r="C418" t="str">
        <f t="shared" si="31"/>
        <v>117.V.a.3</v>
      </c>
      <c r="D418">
        <v>3.7999999999999999E-2</v>
      </c>
      <c r="E418">
        <v>2</v>
      </c>
      <c r="F418" s="104">
        <v>4</v>
      </c>
      <c r="G418">
        <v>7</v>
      </c>
      <c r="H418">
        <v>3</v>
      </c>
      <c r="I418" s="70">
        <v>9</v>
      </c>
      <c r="J418">
        <v>11</v>
      </c>
      <c r="K418" t="s">
        <v>57</v>
      </c>
      <c r="L418">
        <f t="shared" si="32"/>
        <v>7.5</v>
      </c>
      <c r="N418" t="s">
        <v>1959</v>
      </c>
      <c r="O418" s="123">
        <f t="shared" si="33"/>
        <v>375000</v>
      </c>
      <c r="P418" t="s">
        <v>1254</v>
      </c>
      <c r="Q418" t="str">
        <f t="shared" si="34"/>
        <v>117</v>
      </c>
      <c r="R418" t="str">
        <f t="shared" si="35"/>
        <v>V</v>
      </c>
    </row>
    <row r="419" spans="1:18" x14ac:dyDescent="0.2">
      <c r="A419" s="6" t="s">
        <v>1957</v>
      </c>
      <c r="B419" s="40">
        <v>4</v>
      </c>
      <c r="C419" t="str">
        <f>A419&amp;"."&amp;B419</f>
        <v>117.V.a.4</v>
      </c>
      <c r="D419">
        <v>3.4000000000000002E-2</v>
      </c>
      <c r="E419">
        <v>1</v>
      </c>
      <c r="F419" s="104">
        <v>4</v>
      </c>
      <c r="G419" t="s">
        <v>57</v>
      </c>
      <c r="H419" t="s">
        <v>57</v>
      </c>
      <c r="I419" t="s">
        <v>57</v>
      </c>
      <c r="J419" t="s">
        <v>57</v>
      </c>
      <c r="K419" t="s">
        <v>57</v>
      </c>
      <c r="L419" t="e">
        <f t="shared" si="32"/>
        <v>#DIV/0!</v>
      </c>
      <c r="N419" t="s">
        <v>1960</v>
      </c>
      <c r="O419" s="123" t="e">
        <f t="shared" si="33"/>
        <v>#DIV/0!</v>
      </c>
      <c r="P419" t="s">
        <v>1254</v>
      </c>
      <c r="Q419" t="str">
        <f t="shared" si="34"/>
        <v>117</v>
      </c>
      <c r="R419" t="str">
        <f t="shared" si="35"/>
        <v>V</v>
      </c>
    </row>
    <row r="420" spans="1:18" x14ac:dyDescent="0.2">
      <c r="A420" s="6" t="s">
        <v>1957</v>
      </c>
      <c r="B420" s="40">
        <v>5</v>
      </c>
      <c r="C420" t="str">
        <f t="shared" si="31"/>
        <v>117.V.a.5</v>
      </c>
      <c r="D420">
        <v>4.9000000000000002E-2</v>
      </c>
      <c r="E420" t="s">
        <v>1833</v>
      </c>
      <c r="L420" t="e">
        <f t="shared" si="32"/>
        <v>#DIV/0!</v>
      </c>
      <c r="N420" t="s">
        <v>1961</v>
      </c>
      <c r="O420" s="123" t="e">
        <f t="shared" si="33"/>
        <v>#DIV/0!</v>
      </c>
      <c r="P420" t="s">
        <v>1254</v>
      </c>
      <c r="Q420" t="str">
        <f t="shared" si="34"/>
        <v>117</v>
      </c>
      <c r="R420" t="str">
        <f t="shared" si="35"/>
        <v>V</v>
      </c>
    </row>
    <row r="421" spans="1:18" x14ac:dyDescent="0.2">
      <c r="A421" s="6" t="s">
        <v>1957</v>
      </c>
      <c r="B421" s="40">
        <v>6</v>
      </c>
      <c r="C421" t="str">
        <f t="shared" si="31"/>
        <v>117.V.a.6</v>
      </c>
      <c r="D421">
        <v>0.13200000000000001</v>
      </c>
      <c r="E421" t="s">
        <v>1833</v>
      </c>
      <c r="L421" t="e">
        <f t="shared" si="32"/>
        <v>#DIV/0!</v>
      </c>
      <c r="N421" t="s">
        <v>1962</v>
      </c>
      <c r="O421" s="123" t="e">
        <f t="shared" si="33"/>
        <v>#DIV/0!</v>
      </c>
      <c r="P421" t="s">
        <v>1254</v>
      </c>
      <c r="Q421" t="str">
        <f t="shared" si="34"/>
        <v>117</v>
      </c>
      <c r="R421" t="str">
        <f t="shared" si="35"/>
        <v>V</v>
      </c>
    </row>
    <row r="422" spans="1:18" x14ac:dyDescent="0.2">
      <c r="A422" t="s">
        <v>1963</v>
      </c>
      <c r="B422" s="39">
        <v>1</v>
      </c>
      <c r="C422" t="str">
        <f t="shared" si="31"/>
        <v>117.V.b.1</v>
      </c>
      <c r="D422">
        <v>1.6E-2</v>
      </c>
      <c r="E422">
        <v>1</v>
      </c>
      <c r="L422" t="e">
        <f t="shared" si="32"/>
        <v>#DIV/0!</v>
      </c>
      <c r="N422" t="s">
        <v>1964</v>
      </c>
      <c r="O422" s="123" t="e">
        <f t="shared" si="33"/>
        <v>#DIV/0!</v>
      </c>
      <c r="P422" t="s">
        <v>1254</v>
      </c>
      <c r="Q422" t="str">
        <f t="shared" si="34"/>
        <v>117</v>
      </c>
      <c r="R422" t="str">
        <f t="shared" si="35"/>
        <v>V</v>
      </c>
    </row>
    <row r="423" spans="1:18" x14ac:dyDescent="0.2">
      <c r="A423" t="s">
        <v>1963</v>
      </c>
      <c r="B423" s="39">
        <v>2</v>
      </c>
      <c r="C423" t="str">
        <f t="shared" si="31"/>
        <v>117.V.b.2</v>
      </c>
      <c r="D423">
        <v>3.9E-2</v>
      </c>
      <c r="E423">
        <v>1</v>
      </c>
      <c r="F423" s="104">
        <v>6</v>
      </c>
      <c r="G423">
        <v>3</v>
      </c>
      <c r="H423">
        <v>10</v>
      </c>
      <c r="I423">
        <v>5</v>
      </c>
      <c r="J423">
        <v>9</v>
      </c>
      <c r="K423">
        <v>12</v>
      </c>
      <c r="L423">
        <f t="shared" si="32"/>
        <v>7.8</v>
      </c>
      <c r="O423" s="123">
        <f t="shared" si="33"/>
        <v>39000000</v>
      </c>
      <c r="P423" t="s">
        <v>1254</v>
      </c>
      <c r="Q423" t="str">
        <f t="shared" si="34"/>
        <v>117</v>
      </c>
      <c r="R423" t="str">
        <f t="shared" si="35"/>
        <v>V</v>
      </c>
    </row>
    <row r="424" spans="1:18" x14ac:dyDescent="0.2">
      <c r="A424" s="6" t="s">
        <v>1963</v>
      </c>
      <c r="B424" s="40">
        <v>3</v>
      </c>
      <c r="C424" t="str">
        <f t="shared" si="31"/>
        <v>117.V.b.3</v>
      </c>
      <c r="D424">
        <v>5.5E-2</v>
      </c>
      <c r="E424">
        <v>2</v>
      </c>
      <c r="F424" s="104">
        <v>6</v>
      </c>
      <c r="G424">
        <v>8</v>
      </c>
      <c r="H424">
        <v>10</v>
      </c>
      <c r="I424">
        <v>5</v>
      </c>
      <c r="J424">
        <v>5</v>
      </c>
      <c r="K424">
        <v>5</v>
      </c>
      <c r="L424">
        <f t="shared" si="32"/>
        <v>6.6</v>
      </c>
      <c r="N424" t="s">
        <v>1965</v>
      </c>
      <c r="O424" s="123">
        <f t="shared" si="33"/>
        <v>33000000</v>
      </c>
      <c r="P424" t="s">
        <v>1254</v>
      </c>
      <c r="Q424" t="str">
        <f t="shared" si="34"/>
        <v>117</v>
      </c>
      <c r="R424" t="str">
        <f t="shared" si="35"/>
        <v>V</v>
      </c>
    </row>
    <row r="425" spans="1:18" x14ac:dyDescent="0.2">
      <c r="A425" s="6" t="s">
        <v>1963</v>
      </c>
      <c r="B425" s="40">
        <v>4</v>
      </c>
      <c r="C425" t="str">
        <f t="shared" si="31"/>
        <v>117.V.b.4</v>
      </c>
      <c r="D425">
        <v>7.2999999999999995E-2</v>
      </c>
      <c r="E425">
        <v>4</v>
      </c>
      <c r="L425" t="e">
        <f t="shared" si="32"/>
        <v>#DIV/0!</v>
      </c>
      <c r="O425" s="123" t="e">
        <f t="shared" si="33"/>
        <v>#DIV/0!</v>
      </c>
      <c r="P425" t="s">
        <v>1254</v>
      </c>
      <c r="Q425" t="str">
        <f t="shared" si="34"/>
        <v>117</v>
      </c>
      <c r="R425" t="str">
        <f t="shared" si="35"/>
        <v>V</v>
      </c>
    </row>
    <row r="426" spans="1:18" x14ac:dyDescent="0.2">
      <c r="A426" s="6" t="s">
        <v>1963</v>
      </c>
      <c r="B426" s="40">
        <v>5</v>
      </c>
      <c r="C426" t="str">
        <f t="shared" si="31"/>
        <v>117.V.b.5</v>
      </c>
      <c r="D426">
        <v>0.121</v>
      </c>
      <c r="E426">
        <v>4</v>
      </c>
      <c r="F426" s="104">
        <v>6</v>
      </c>
      <c r="G426" t="s">
        <v>45</v>
      </c>
      <c r="H426">
        <v>6</v>
      </c>
      <c r="I426">
        <v>4</v>
      </c>
      <c r="J426">
        <v>4</v>
      </c>
      <c r="K426">
        <v>2</v>
      </c>
      <c r="L426">
        <f t="shared" si="32"/>
        <v>4</v>
      </c>
      <c r="M426" t="s">
        <v>72</v>
      </c>
      <c r="N426" t="s">
        <v>1923</v>
      </c>
      <c r="O426" s="123">
        <f t="shared" si="33"/>
        <v>20000000</v>
      </c>
      <c r="P426" t="s">
        <v>1254</v>
      </c>
      <c r="Q426" t="str">
        <f t="shared" si="34"/>
        <v>117</v>
      </c>
      <c r="R426" t="str">
        <f t="shared" si="35"/>
        <v>V</v>
      </c>
    </row>
    <row r="427" spans="1:18" x14ac:dyDescent="0.2">
      <c r="A427" s="6" t="s">
        <v>1963</v>
      </c>
      <c r="B427" s="40">
        <v>6</v>
      </c>
      <c r="C427" t="str">
        <f>A427&amp;"."&amp;B427</f>
        <v>117.V.b.6</v>
      </c>
      <c r="D427">
        <v>0.27600000000000002</v>
      </c>
      <c r="E427" t="s">
        <v>1833</v>
      </c>
      <c r="F427" s="104">
        <v>6</v>
      </c>
      <c r="G427">
        <v>2</v>
      </c>
      <c r="H427">
        <v>3</v>
      </c>
      <c r="I427">
        <v>2</v>
      </c>
      <c r="J427">
        <v>3</v>
      </c>
      <c r="K427">
        <v>5</v>
      </c>
      <c r="L427">
        <f t="shared" si="32"/>
        <v>3</v>
      </c>
      <c r="M427" t="s">
        <v>72</v>
      </c>
      <c r="N427" t="s">
        <v>1923</v>
      </c>
      <c r="O427" s="123">
        <f t="shared" si="33"/>
        <v>15000000</v>
      </c>
      <c r="P427" t="s">
        <v>1254</v>
      </c>
      <c r="Q427" t="str">
        <f t="shared" si="34"/>
        <v>117</v>
      </c>
      <c r="R427" t="str">
        <f t="shared" si="35"/>
        <v>V</v>
      </c>
    </row>
    <row r="428" spans="1:18" x14ac:dyDescent="0.2">
      <c r="A428" t="s">
        <v>1966</v>
      </c>
      <c r="B428" s="39">
        <v>1</v>
      </c>
      <c r="C428" t="str">
        <f t="shared" si="31"/>
        <v>117.V.c.1</v>
      </c>
      <c r="D428">
        <v>0.11</v>
      </c>
      <c r="E428">
        <v>1</v>
      </c>
      <c r="L428" t="e">
        <f t="shared" si="32"/>
        <v>#DIV/0!</v>
      </c>
      <c r="N428" t="s">
        <v>1967</v>
      </c>
      <c r="O428" s="123" t="e">
        <f t="shared" si="33"/>
        <v>#DIV/0!</v>
      </c>
      <c r="P428" t="s">
        <v>1254</v>
      </c>
      <c r="Q428" t="str">
        <f t="shared" si="34"/>
        <v>117</v>
      </c>
      <c r="R428" t="str">
        <f t="shared" si="35"/>
        <v>V</v>
      </c>
    </row>
    <row r="429" spans="1:18" x14ac:dyDescent="0.2">
      <c r="A429" t="s">
        <v>1966</v>
      </c>
      <c r="B429" s="39">
        <v>2</v>
      </c>
      <c r="C429" t="str">
        <f t="shared" si="31"/>
        <v>117.V.c.2</v>
      </c>
      <c r="D429">
        <v>0.02</v>
      </c>
      <c r="E429">
        <v>1</v>
      </c>
      <c r="F429" s="104">
        <v>3</v>
      </c>
      <c r="G429">
        <v>6</v>
      </c>
      <c r="H429">
        <v>5</v>
      </c>
      <c r="I429">
        <v>5</v>
      </c>
      <c r="J429">
        <v>5</v>
      </c>
      <c r="K429">
        <v>5</v>
      </c>
      <c r="L429">
        <f t="shared" si="32"/>
        <v>5.2</v>
      </c>
      <c r="M429" t="s">
        <v>72</v>
      </c>
      <c r="O429" s="123">
        <f t="shared" si="33"/>
        <v>26000</v>
      </c>
      <c r="P429" t="s">
        <v>1254</v>
      </c>
      <c r="Q429" t="str">
        <f t="shared" si="34"/>
        <v>117</v>
      </c>
      <c r="R429" t="str">
        <f t="shared" si="35"/>
        <v>V</v>
      </c>
    </row>
    <row r="430" spans="1:18" x14ac:dyDescent="0.2">
      <c r="A430" s="6" t="s">
        <v>1966</v>
      </c>
      <c r="B430" s="40">
        <v>3</v>
      </c>
      <c r="C430" t="str">
        <f t="shared" si="31"/>
        <v>117.V.c.3</v>
      </c>
      <c r="D430">
        <v>3.5000000000000003E-2</v>
      </c>
      <c r="E430">
        <v>2</v>
      </c>
      <c r="F430" s="104">
        <v>3</v>
      </c>
      <c r="G430" s="70" t="s">
        <v>34</v>
      </c>
      <c r="H430">
        <v>19</v>
      </c>
      <c r="I430">
        <v>19</v>
      </c>
      <c r="J430">
        <v>18</v>
      </c>
      <c r="K430">
        <v>17</v>
      </c>
      <c r="L430">
        <f t="shared" si="32"/>
        <v>18.25</v>
      </c>
      <c r="M430" t="s">
        <v>72</v>
      </c>
      <c r="O430" s="123">
        <f t="shared" si="33"/>
        <v>91250</v>
      </c>
      <c r="P430" t="s">
        <v>1254</v>
      </c>
      <c r="Q430" t="str">
        <f t="shared" si="34"/>
        <v>117</v>
      </c>
      <c r="R430" t="str">
        <f t="shared" si="35"/>
        <v>V</v>
      </c>
    </row>
    <row r="431" spans="1:18" x14ac:dyDescent="0.2">
      <c r="A431" s="6" t="s">
        <v>1966</v>
      </c>
      <c r="B431" s="40">
        <v>4</v>
      </c>
      <c r="C431" t="str">
        <f t="shared" si="31"/>
        <v>117.V.c.4</v>
      </c>
      <c r="D431">
        <v>5.3999999999999999E-2</v>
      </c>
      <c r="E431">
        <v>2</v>
      </c>
      <c r="L431" t="e">
        <f t="shared" si="32"/>
        <v>#DIV/0!</v>
      </c>
      <c r="N431" t="s">
        <v>1968</v>
      </c>
      <c r="O431" s="123" t="e">
        <f t="shared" si="33"/>
        <v>#DIV/0!</v>
      </c>
      <c r="P431" t="s">
        <v>1254</v>
      </c>
      <c r="Q431" t="str">
        <f t="shared" si="34"/>
        <v>117</v>
      </c>
      <c r="R431" t="str">
        <f t="shared" si="35"/>
        <v>V</v>
      </c>
    </row>
    <row r="432" spans="1:18" x14ac:dyDescent="0.2">
      <c r="A432" s="6" t="s">
        <v>1966</v>
      </c>
      <c r="B432" s="40">
        <v>5</v>
      </c>
      <c r="C432" t="str">
        <f t="shared" si="31"/>
        <v>117.V.c.5</v>
      </c>
      <c r="D432">
        <v>0.08</v>
      </c>
      <c r="E432">
        <v>2</v>
      </c>
      <c r="F432" s="104">
        <v>5</v>
      </c>
      <c r="G432">
        <v>20</v>
      </c>
      <c r="H432">
        <v>12</v>
      </c>
      <c r="I432">
        <v>8</v>
      </c>
      <c r="J432">
        <v>6</v>
      </c>
      <c r="K432">
        <v>14</v>
      </c>
      <c r="L432">
        <f t="shared" si="32"/>
        <v>12</v>
      </c>
      <c r="M432" t="s">
        <v>72</v>
      </c>
      <c r="O432" s="123">
        <f t="shared" si="33"/>
        <v>6000000</v>
      </c>
      <c r="P432" t="s">
        <v>1254</v>
      </c>
      <c r="Q432" t="str">
        <f t="shared" si="34"/>
        <v>117</v>
      </c>
      <c r="R432" t="str">
        <f t="shared" si="35"/>
        <v>V</v>
      </c>
    </row>
    <row r="433" spans="1:18" x14ac:dyDescent="0.2">
      <c r="A433" s="6" t="s">
        <v>1966</v>
      </c>
      <c r="B433" s="40">
        <v>6</v>
      </c>
      <c r="C433" t="str">
        <f t="shared" si="31"/>
        <v>117.V.c.6</v>
      </c>
      <c r="D433">
        <v>0.1</v>
      </c>
      <c r="E433" t="s">
        <v>1833</v>
      </c>
      <c r="F433" s="104">
        <v>6</v>
      </c>
      <c r="G433" t="s">
        <v>34</v>
      </c>
      <c r="H433">
        <v>1</v>
      </c>
      <c r="I433">
        <v>2</v>
      </c>
      <c r="J433" t="s">
        <v>34</v>
      </c>
      <c r="K433">
        <v>1</v>
      </c>
      <c r="L433">
        <f t="shared" si="32"/>
        <v>1.3333333333333333</v>
      </c>
      <c r="M433" t="s">
        <v>72</v>
      </c>
      <c r="O433" s="123">
        <f t="shared" si="33"/>
        <v>6666666.666666666</v>
      </c>
      <c r="P433" t="s">
        <v>1254</v>
      </c>
      <c r="Q433" t="str">
        <f t="shared" si="34"/>
        <v>117</v>
      </c>
      <c r="R433" t="str">
        <f t="shared" si="35"/>
        <v>V</v>
      </c>
    </row>
    <row r="434" spans="1:18" x14ac:dyDescent="0.2">
      <c r="A434" s="6" t="s">
        <v>1827</v>
      </c>
      <c r="B434" s="39">
        <v>7</v>
      </c>
      <c r="C434" t="str">
        <f t="shared" si="31"/>
        <v>059.O.a.7</v>
      </c>
      <c r="D434">
        <v>3.5999999999999997E-2</v>
      </c>
      <c r="E434">
        <v>1</v>
      </c>
      <c r="F434" s="104">
        <v>2</v>
      </c>
      <c r="G434">
        <v>0</v>
      </c>
      <c r="H434">
        <v>4</v>
      </c>
      <c r="I434">
        <v>4</v>
      </c>
      <c r="J434">
        <v>8</v>
      </c>
      <c r="K434" t="s">
        <v>57</v>
      </c>
      <c r="M434" t="s">
        <v>72</v>
      </c>
      <c r="N434" t="s">
        <v>1969</v>
      </c>
      <c r="O434" s="123" t="s">
        <v>1970</v>
      </c>
      <c r="P434" t="s">
        <v>32</v>
      </c>
      <c r="Q434" t="str">
        <f t="shared" si="34"/>
        <v>059</v>
      </c>
      <c r="R434" t="str">
        <f t="shared" si="35"/>
        <v>O</v>
      </c>
    </row>
    <row r="435" spans="1:18" x14ac:dyDescent="0.2">
      <c r="A435" s="6" t="s">
        <v>1827</v>
      </c>
      <c r="B435" s="39">
        <v>8</v>
      </c>
      <c r="C435" t="str">
        <f t="shared" si="31"/>
        <v>059.O.a.8</v>
      </c>
      <c r="D435">
        <v>1.4999999999999999E-2</v>
      </c>
      <c r="E435">
        <v>1</v>
      </c>
      <c r="N435" t="s">
        <v>1969</v>
      </c>
      <c r="P435" t="s">
        <v>32</v>
      </c>
      <c r="Q435" t="str">
        <f t="shared" si="34"/>
        <v>059</v>
      </c>
      <c r="R435" t="str">
        <f t="shared" si="35"/>
        <v>O</v>
      </c>
    </row>
    <row r="436" spans="1:18" x14ac:dyDescent="0.2">
      <c r="A436" s="6" t="s">
        <v>1827</v>
      </c>
      <c r="B436" s="39">
        <v>9</v>
      </c>
      <c r="C436" t="str">
        <f t="shared" si="31"/>
        <v>059.O.a.9</v>
      </c>
      <c r="N436" t="s">
        <v>1969</v>
      </c>
      <c r="P436" t="s">
        <v>32</v>
      </c>
      <c r="Q436" t="str">
        <f t="shared" si="34"/>
        <v>059</v>
      </c>
      <c r="R436" t="str">
        <f t="shared" si="35"/>
        <v>O</v>
      </c>
    </row>
    <row r="437" spans="1:18" x14ac:dyDescent="0.2">
      <c r="A437" s="6" t="s">
        <v>1831</v>
      </c>
      <c r="B437" s="39">
        <v>7</v>
      </c>
      <c r="C437" t="str">
        <f t="shared" si="31"/>
        <v>059.O.b.7</v>
      </c>
      <c r="D437">
        <v>0.04</v>
      </c>
      <c r="E437">
        <v>2</v>
      </c>
      <c r="N437" t="s">
        <v>1969</v>
      </c>
      <c r="P437" t="s">
        <v>32</v>
      </c>
      <c r="Q437" t="str">
        <f t="shared" si="34"/>
        <v>059</v>
      </c>
      <c r="R437" t="str">
        <f t="shared" si="35"/>
        <v>O</v>
      </c>
    </row>
    <row r="438" spans="1:18" x14ac:dyDescent="0.2">
      <c r="A438" s="6" t="s">
        <v>1831</v>
      </c>
      <c r="B438" s="39">
        <v>8</v>
      </c>
      <c r="C438" t="str">
        <f t="shared" si="31"/>
        <v>059.O.b.8</v>
      </c>
      <c r="N438" t="s">
        <v>1969</v>
      </c>
      <c r="P438" t="s">
        <v>32</v>
      </c>
      <c r="Q438" t="str">
        <f t="shared" si="34"/>
        <v>059</v>
      </c>
      <c r="R438" t="str">
        <f t="shared" si="35"/>
        <v>O</v>
      </c>
    </row>
    <row r="439" spans="1:18" x14ac:dyDescent="0.2">
      <c r="A439" s="6" t="s">
        <v>1831</v>
      </c>
      <c r="B439" s="39">
        <v>9</v>
      </c>
      <c r="C439" t="str">
        <f t="shared" si="31"/>
        <v>059.O.b.9</v>
      </c>
      <c r="N439" t="s">
        <v>1969</v>
      </c>
      <c r="P439" t="s">
        <v>32</v>
      </c>
      <c r="Q439" t="str">
        <f t="shared" si="34"/>
        <v>059</v>
      </c>
      <c r="R439" t="str">
        <f t="shared" si="35"/>
        <v>O</v>
      </c>
    </row>
    <row r="440" spans="1:18" x14ac:dyDescent="0.2">
      <c r="A440" s="6" t="s">
        <v>1848</v>
      </c>
      <c r="B440" s="39">
        <v>7</v>
      </c>
      <c r="C440" t="str">
        <f t="shared" si="31"/>
        <v>059.S.b.7</v>
      </c>
      <c r="D440">
        <v>7.0000000000000007E-2</v>
      </c>
      <c r="E440">
        <v>3</v>
      </c>
      <c r="F440" s="104">
        <v>3</v>
      </c>
      <c r="G440">
        <v>1</v>
      </c>
      <c r="H440">
        <v>1</v>
      </c>
      <c r="I440">
        <v>5</v>
      </c>
      <c r="J440">
        <v>6</v>
      </c>
      <c r="K440" t="s">
        <v>57</v>
      </c>
      <c r="M440" t="s">
        <v>72</v>
      </c>
      <c r="N440" t="s">
        <v>1969</v>
      </c>
      <c r="P440" t="s">
        <v>32</v>
      </c>
      <c r="Q440" t="str">
        <f t="shared" si="34"/>
        <v>059</v>
      </c>
      <c r="R440" t="str">
        <f t="shared" si="35"/>
        <v>S</v>
      </c>
    </row>
    <row r="441" spans="1:18" x14ac:dyDescent="0.2">
      <c r="A441" s="6" t="s">
        <v>1848</v>
      </c>
      <c r="B441" s="39">
        <v>8</v>
      </c>
      <c r="C441" t="str">
        <f t="shared" si="31"/>
        <v>059.S.b.8</v>
      </c>
      <c r="F441" s="104">
        <v>3</v>
      </c>
      <c r="G441">
        <v>3</v>
      </c>
      <c r="H441">
        <v>4</v>
      </c>
      <c r="I441">
        <v>6</v>
      </c>
      <c r="J441">
        <v>2</v>
      </c>
      <c r="K441" t="s">
        <v>57</v>
      </c>
      <c r="M441" t="s">
        <v>72</v>
      </c>
      <c r="N441" t="s">
        <v>1969</v>
      </c>
      <c r="P441" t="s">
        <v>32</v>
      </c>
      <c r="Q441" t="str">
        <f t="shared" si="34"/>
        <v>059</v>
      </c>
      <c r="R441" t="str">
        <f t="shared" si="35"/>
        <v>S</v>
      </c>
    </row>
    <row r="442" spans="1:18" x14ac:dyDescent="0.2">
      <c r="A442" s="6" t="s">
        <v>1848</v>
      </c>
      <c r="B442" s="39">
        <v>9</v>
      </c>
      <c r="C442" t="str">
        <f t="shared" si="31"/>
        <v>059.S.b.9</v>
      </c>
      <c r="D442">
        <v>7.4999999999999997E-2</v>
      </c>
      <c r="E442">
        <v>4</v>
      </c>
      <c r="N442" t="s">
        <v>1969</v>
      </c>
      <c r="P442" t="s">
        <v>32</v>
      </c>
      <c r="Q442" t="str">
        <f t="shared" si="34"/>
        <v>059</v>
      </c>
      <c r="R442" t="str">
        <f t="shared" si="35"/>
        <v>S</v>
      </c>
    </row>
    <row r="443" spans="1:18" x14ac:dyDescent="0.2">
      <c r="A443" s="6" t="s">
        <v>1853</v>
      </c>
      <c r="B443" s="39">
        <v>7</v>
      </c>
      <c r="C443" t="str">
        <f t="shared" si="31"/>
        <v>059.S.c.7</v>
      </c>
      <c r="D443">
        <v>8.1000000000000003E-2</v>
      </c>
      <c r="E443">
        <v>5</v>
      </c>
      <c r="N443" t="s">
        <v>1969</v>
      </c>
      <c r="P443" t="s">
        <v>32</v>
      </c>
      <c r="Q443" t="str">
        <f t="shared" si="34"/>
        <v>059</v>
      </c>
      <c r="R443" t="str">
        <f t="shared" si="35"/>
        <v>S</v>
      </c>
    </row>
    <row r="444" spans="1:18" x14ac:dyDescent="0.2">
      <c r="A444" s="6" t="s">
        <v>1853</v>
      </c>
      <c r="B444" s="39">
        <v>8</v>
      </c>
      <c r="C444" t="str">
        <f t="shared" si="31"/>
        <v>059.S.c.8</v>
      </c>
      <c r="D444">
        <v>5.3999999999999999E-2</v>
      </c>
      <c r="E444">
        <v>3</v>
      </c>
      <c r="F444" s="104">
        <v>2</v>
      </c>
      <c r="G444">
        <v>1</v>
      </c>
      <c r="H444">
        <v>1</v>
      </c>
      <c r="I444">
        <v>3</v>
      </c>
      <c r="J444">
        <v>1</v>
      </c>
      <c r="K444" t="s">
        <v>57</v>
      </c>
      <c r="M444" t="s">
        <v>72</v>
      </c>
      <c r="N444" t="s">
        <v>1969</v>
      </c>
      <c r="P444" t="s">
        <v>32</v>
      </c>
      <c r="Q444" t="str">
        <f t="shared" si="34"/>
        <v>059</v>
      </c>
      <c r="R444" t="str">
        <f t="shared" si="35"/>
        <v>S</v>
      </c>
    </row>
    <row r="445" spans="1:18" x14ac:dyDescent="0.2">
      <c r="A445" s="6" t="s">
        <v>1853</v>
      </c>
      <c r="B445" s="39">
        <v>9</v>
      </c>
      <c r="C445" t="str">
        <f t="shared" si="31"/>
        <v>059.S.c.9</v>
      </c>
      <c r="D445">
        <v>6.6000000000000003E-2</v>
      </c>
      <c r="E445">
        <v>3</v>
      </c>
      <c r="F445" s="104">
        <v>2</v>
      </c>
      <c r="G445">
        <v>2</v>
      </c>
      <c r="H445">
        <v>2</v>
      </c>
      <c r="I445">
        <v>1</v>
      </c>
      <c r="J445">
        <v>4</v>
      </c>
      <c r="K445" t="s">
        <v>57</v>
      </c>
      <c r="M445" t="s">
        <v>72</v>
      </c>
      <c r="N445" t="s">
        <v>1969</v>
      </c>
      <c r="P445" t="s">
        <v>32</v>
      </c>
      <c r="Q445" t="str">
        <f t="shared" si="34"/>
        <v>059</v>
      </c>
      <c r="R445" t="str">
        <f t="shared" si="35"/>
        <v>S</v>
      </c>
    </row>
    <row r="446" spans="1:18" x14ac:dyDescent="0.2">
      <c r="A446" s="6" t="s">
        <v>1783</v>
      </c>
      <c r="B446" s="39">
        <v>7</v>
      </c>
      <c r="C446" t="str">
        <f t="shared" si="31"/>
        <v>044.O.b.7</v>
      </c>
      <c r="D446">
        <v>5.2999999999999999E-2</v>
      </c>
      <c r="E446">
        <v>3</v>
      </c>
      <c r="N446" t="s">
        <v>1969</v>
      </c>
      <c r="P446" t="s">
        <v>32</v>
      </c>
      <c r="Q446" t="str">
        <f t="shared" si="34"/>
        <v>044</v>
      </c>
      <c r="R446" t="str">
        <f t="shared" si="35"/>
        <v>O</v>
      </c>
    </row>
    <row r="447" spans="1:18" x14ac:dyDescent="0.2">
      <c r="A447" s="6" t="s">
        <v>1783</v>
      </c>
      <c r="B447" s="39">
        <v>8</v>
      </c>
      <c r="C447" t="str">
        <f t="shared" si="31"/>
        <v>044.O.b.8</v>
      </c>
      <c r="D447">
        <v>3.3000000000000002E-2</v>
      </c>
      <c r="E447">
        <v>2</v>
      </c>
      <c r="N447" t="s">
        <v>1969</v>
      </c>
      <c r="P447" t="s">
        <v>32</v>
      </c>
      <c r="Q447" t="str">
        <f t="shared" si="34"/>
        <v>044</v>
      </c>
      <c r="R447" t="str">
        <f t="shared" si="35"/>
        <v>O</v>
      </c>
    </row>
    <row r="448" spans="1:18" x14ac:dyDescent="0.2">
      <c r="A448" s="6" t="s">
        <v>1783</v>
      </c>
      <c r="B448" s="39">
        <v>9</v>
      </c>
      <c r="C448" t="str">
        <f t="shared" si="31"/>
        <v>044.O.b.9</v>
      </c>
      <c r="D448">
        <v>4.8000000000000001E-2</v>
      </c>
      <c r="E448">
        <v>2</v>
      </c>
      <c r="F448" s="104">
        <v>2</v>
      </c>
      <c r="G448" t="s">
        <v>1971</v>
      </c>
      <c r="H448" t="s">
        <v>1971</v>
      </c>
      <c r="I448" t="s">
        <v>1971</v>
      </c>
      <c r="J448" t="s">
        <v>1971</v>
      </c>
      <c r="N448" t="s">
        <v>1969</v>
      </c>
      <c r="P448" t="s">
        <v>32</v>
      </c>
      <c r="Q448" t="str">
        <f t="shared" si="34"/>
        <v>044</v>
      </c>
      <c r="R448" t="str">
        <f t="shared" si="35"/>
        <v>O</v>
      </c>
    </row>
    <row r="449" spans="1:18" x14ac:dyDescent="0.2">
      <c r="A449" s="6" t="s">
        <v>1779</v>
      </c>
      <c r="B449" s="39">
        <v>7</v>
      </c>
      <c r="C449" t="str">
        <f t="shared" si="31"/>
        <v>044.O.a.7</v>
      </c>
      <c r="D449">
        <v>0.17699999999999999</v>
      </c>
      <c r="E449" t="s">
        <v>1740</v>
      </c>
      <c r="F449" s="104">
        <v>4</v>
      </c>
      <c r="G449">
        <v>2</v>
      </c>
      <c r="H449">
        <v>3</v>
      </c>
      <c r="I449">
        <v>6</v>
      </c>
      <c r="J449">
        <v>9</v>
      </c>
      <c r="K449" t="s">
        <v>57</v>
      </c>
      <c r="M449" t="s">
        <v>72</v>
      </c>
      <c r="N449" t="s">
        <v>1969</v>
      </c>
      <c r="P449" t="s">
        <v>32</v>
      </c>
      <c r="Q449" t="str">
        <f t="shared" si="34"/>
        <v>044</v>
      </c>
      <c r="R449" t="str">
        <f t="shared" si="35"/>
        <v>O</v>
      </c>
    </row>
    <row r="450" spans="1:18" x14ac:dyDescent="0.2">
      <c r="A450" s="6" t="s">
        <v>1790</v>
      </c>
      <c r="B450" s="39">
        <v>7</v>
      </c>
      <c r="C450" t="str">
        <f t="shared" si="31"/>
        <v>044.O.c.7</v>
      </c>
      <c r="D450">
        <v>0.111</v>
      </c>
      <c r="E450">
        <v>5</v>
      </c>
      <c r="N450" t="s">
        <v>1969</v>
      </c>
      <c r="P450" t="s">
        <v>32</v>
      </c>
      <c r="Q450" t="str">
        <f t="shared" si="34"/>
        <v>044</v>
      </c>
      <c r="R450" t="str">
        <f t="shared" si="35"/>
        <v>O</v>
      </c>
    </row>
    <row r="451" spans="1:18" x14ac:dyDescent="0.2">
      <c r="A451" s="6" t="s">
        <v>1795</v>
      </c>
      <c r="B451" s="39">
        <v>7</v>
      </c>
      <c r="C451" t="str">
        <f t="shared" si="31"/>
        <v>044.S.a.7</v>
      </c>
      <c r="D451">
        <v>2.3E-2</v>
      </c>
      <c r="E451">
        <v>1</v>
      </c>
      <c r="N451" t="s">
        <v>1969</v>
      </c>
      <c r="P451" t="s">
        <v>32</v>
      </c>
      <c r="Q451" t="str">
        <f t="shared" ref="Q451:Q468" si="36">LEFT(A451,3)</f>
        <v>044</v>
      </c>
      <c r="R451" t="str">
        <f t="shared" ref="R451:R468" si="37">LEFT(RIGHT(A451,3),1)</f>
        <v>S</v>
      </c>
    </row>
    <row r="452" spans="1:18" x14ac:dyDescent="0.2">
      <c r="A452" s="6" t="s">
        <v>1800</v>
      </c>
      <c r="B452" s="39">
        <v>7</v>
      </c>
      <c r="C452" t="str">
        <f t="shared" si="31"/>
        <v>044.S.b.7</v>
      </c>
      <c r="D452">
        <v>1.6E-2</v>
      </c>
      <c r="E452">
        <v>2</v>
      </c>
      <c r="N452" t="s">
        <v>1969</v>
      </c>
      <c r="P452" t="s">
        <v>32</v>
      </c>
      <c r="Q452" t="str">
        <f t="shared" si="36"/>
        <v>044</v>
      </c>
      <c r="R452" t="str">
        <f t="shared" si="37"/>
        <v>S</v>
      </c>
    </row>
    <row r="453" spans="1:18" x14ac:dyDescent="0.2">
      <c r="A453" s="6" t="s">
        <v>1805</v>
      </c>
      <c r="B453" s="39">
        <v>7</v>
      </c>
      <c r="C453" t="str">
        <f t="shared" si="31"/>
        <v>044.S.c.7</v>
      </c>
      <c r="D453">
        <v>6.2E-2</v>
      </c>
      <c r="E453">
        <v>3</v>
      </c>
      <c r="N453" t="s">
        <v>1969</v>
      </c>
      <c r="P453" t="s">
        <v>32</v>
      </c>
      <c r="Q453" t="str">
        <f t="shared" si="36"/>
        <v>044</v>
      </c>
      <c r="R453" t="str">
        <f t="shared" si="37"/>
        <v>S</v>
      </c>
    </row>
    <row r="454" spans="1:18" x14ac:dyDescent="0.2">
      <c r="A454" s="6" t="s">
        <v>1805</v>
      </c>
      <c r="B454" s="39">
        <v>8</v>
      </c>
      <c r="C454" t="str">
        <f t="shared" si="31"/>
        <v>044.S.c.8</v>
      </c>
      <c r="D454">
        <v>5.6000000000000001E-2</v>
      </c>
      <c r="E454">
        <v>2</v>
      </c>
      <c r="N454" t="s">
        <v>1969</v>
      </c>
      <c r="P454" t="s">
        <v>32</v>
      </c>
      <c r="Q454" t="str">
        <f t="shared" si="36"/>
        <v>044</v>
      </c>
      <c r="R454" t="str">
        <f t="shared" si="37"/>
        <v>S</v>
      </c>
    </row>
    <row r="455" spans="1:18" x14ac:dyDescent="0.2">
      <c r="A455" s="6" t="s">
        <v>1805</v>
      </c>
      <c r="B455" s="39">
        <v>9</v>
      </c>
      <c r="C455" t="str">
        <f t="shared" si="31"/>
        <v>044.S.c.9</v>
      </c>
      <c r="D455">
        <v>4.9000000000000002E-2</v>
      </c>
      <c r="E455">
        <v>3</v>
      </c>
      <c r="F455" s="104">
        <v>2</v>
      </c>
      <c r="G455">
        <v>12</v>
      </c>
      <c r="H455">
        <v>10</v>
      </c>
      <c r="I455">
        <v>11</v>
      </c>
      <c r="J455">
        <v>10</v>
      </c>
      <c r="K455" t="s">
        <v>57</v>
      </c>
      <c r="M455" t="s">
        <v>72</v>
      </c>
      <c r="N455" t="s">
        <v>1969</v>
      </c>
      <c r="P455" t="s">
        <v>32</v>
      </c>
      <c r="Q455" t="str">
        <f t="shared" si="36"/>
        <v>044</v>
      </c>
      <c r="R455" t="str">
        <f t="shared" si="37"/>
        <v>S</v>
      </c>
    </row>
    <row r="456" spans="1:18" x14ac:dyDescent="0.2">
      <c r="A456" s="6" t="s">
        <v>1805</v>
      </c>
      <c r="B456" s="39">
        <v>10</v>
      </c>
      <c r="C456" t="str">
        <f t="shared" si="31"/>
        <v>044.S.c.10</v>
      </c>
      <c r="D456">
        <v>1.7999999999999999E-2</v>
      </c>
      <c r="E456">
        <v>1</v>
      </c>
      <c r="N456" t="s">
        <v>1969</v>
      </c>
      <c r="P456" t="s">
        <v>32</v>
      </c>
      <c r="Q456" t="str">
        <f t="shared" si="36"/>
        <v>044</v>
      </c>
      <c r="R456" t="str">
        <f t="shared" si="37"/>
        <v>S</v>
      </c>
    </row>
    <row r="457" spans="1:18" x14ac:dyDescent="0.2">
      <c r="A457" s="6" t="s">
        <v>1887</v>
      </c>
      <c r="B457" s="39">
        <v>7</v>
      </c>
      <c r="C457" t="str">
        <f t="shared" si="31"/>
        <v>070.V.c.7</v>
      </c>
      <c r="D457">
        <v>6.2E-2</v>
      </c>
      <c r="E457">
        <v>2</v>
      </c>
      <c r="N457" t="s">
        <v>1969</v>
      </c>
      <c r="P457" t="s">
        <v>32</v>
      </c>
      <c r="Q457" t="str">
        <f t="shared" si="36"/>
        <v>070</v>
      </c>
      <c r="R457" t="str">
        <f t="shared" si="37"/>
        <v>V</v>
      </c>
    </row>
    <row r="458" spans="1:18" x14ac:dyDescent="0.2">
      <c r="A458" s="6" t="s">
        <v>1887</v>
      </c>
      <c r="B458" s="39">
        <v>8</v>
      </c>
      <c r="C458" t="str">
        <f t="shared" si="31"/>
        <v>070.V.c.8</v>
      </c>
      <c r="D458">
        <v>8.5999999999999993E-2</v>
      </c>
      <c r="E458">
        <v>3</v>
      </c>
      <c r="F458" s="104">
        <v>1</v>
      </c>
      <c r="G458">
        <v>1</v>
      </c>
      <c r="H458">
        <v>1</v>
      </c>
      <c r="I458">
        <v>0</v>
      </c>
      <c r="J458">
        <v>0</v>
      </c>
      <c r="K458" t="s">
        <v>57</v>
      </c>
      <c r="M458" t="s">
        <v>72</v>
      </c>
      <c r="N458" t="s">
        <v>1969</v>
      </c>
      <c r="P458" t="s">
        <v>32</v>
      </c>
      <c r="Q458" t="str">
        <f t="shared" si="36"/>
        <v>070</v>
      </c>
      <c r="R458" t="str">
        <f t="shared" si="37"/>
        <v>V</v>
      </c>
    </row>
    <row r="459" spans="1:18" x14ac:dyDescent="0.2">
      <c r="A459" s="6" t="s">
        <v>1887</v>
      </c>
      <c r="B459" s="39">
        <v>9</v>
      </c>
      <c r="C459" t="str">
        <f t="shared" si="31"/>
        <v>070.V.c.9</v>
      </c>
      <c r="D459">
        <v>2.1000000000000001E-2</v>
      </c>
      <c r="E459">
        <v>1</v>
      </c>
      <c r="N459" t="s">
        <v>1969</v>
      </c>
      <c r="P459" t="s">
        <v>32</v>
      </c>
      <c r="Q459" t="str">
        <f t="shared" si="36"/>
        <v>070</v>
      </c>
      <c r="R459" t="str">
        <f t="shared" si="37"/>
        <v>V</v>
      </c>
    </row>
    <row r="460" spans="1:18" x14ac:dyDescent="0.2">
      <c r="A460" s="6" t="s">
        <v>1880</v>
      </c>
      <c r="B460" s="39">
        <v>7</v>
      </c>
      <c r="C460" t="str">
        <f t="shared" si="31"/>
        <v>070.V.a.7</v>
      </c>
      <c r="N460" t="s">
        <v>1969</v>
      </c>
      <c r="P460" t="s">
        <v>32</v>
      </c>
      <c r="Q460" t="str">
        <f t="shared" si="36"/>
        <v>070</v>
      </c>
      <c r="R460" t="str">
        <f t="shared" si="37"/>
        <v>V</v>
      </c>
    </row>
    <row r="461" spans="1:18" x14ac:dyDescent="0.2">
      <c r="A461" s="6" t="s">
        <v>1880</v>
      </c>
      <c r="B461" s="39">
        <v>8</v>
      </c>
      <c r="C461" t="str">
        <f t="shared" si="31"/>
        <v>070.V.a.8</v>
      </c>
      <c r="N461" t="s">
        <v>1969</v>
      </c>
      <c r="P461" t="s">
        <v>32</v>
      </c>
      <c r="Q461" t="str">
        <f t="shared" si="36"/>
        <v>070</v>
      </c>
      <c r="R461" t="str">
        <f t="shared" si="37"/>
        <v>V</v>
      </c>
    </row>
    <row r="462" spans="1:18" x14ac:dyDescent="0.2">
      <c r="A462" s="6" t="s">
        <v>1880</v>
      </c>
      <c r="B462" s="39">
        <v>9</v>
      </c>
      <c r="C462" t="str">
        <f t="shared" si="31"/>
        <v>070.V.a.9</v>
      </c>
      <c r="N462" t="s">
        <v>1969</v>
      </c>
      <c r="P462" t="s">
        <v>32</v>
      </c>
      <c r="Q462" t="str">
        <f t="shared" si="36"/>
        <v>070</v>
      </c>
      <c r="R462" t="str">
        <f t="shared" si="37"/>
        <v>V</v>
      </c>
    </row>
    <row r="463" spans="1:18" x14ac:dyDescent="0.2">
      <c r="A463" s="6" t="s">
        <v>1880</v>
      </c>
      <c r="B463" s="39">
        <v>10</v>
      </c>
      <c r="C463" t="str">
        <f t="shared" si="31"/>
        <v>070.V.a.10</v>
      </c>
      <c r="F463" s="104">
        <v>1</v>
      </c>
      <c r="G463">
        <v>8</v>
      </c>
      <c r="H463">
        <v>13</v>
      </c>
      <c r="I463">
        <v>13</v>
      </c>
      <c r="J463" t="s">
        <v>1802</v>
      </c>
      <c r="M463" t="s">
        <v>72</v>
      </c>
      <c r="N463" t="s">
        <v>1969</v>
      </c>
      <c r="P463" t="s">
        <v>32</v>
      </c>
      <c r="Q463" t="str">
        <f t="shared" si="36"/>
        <v>070</v>
      </c>
      <c r="R463" t="str">
        <f t="shared" si="37"/>
        <v>V</v>
      </c>
    </row>
    <row r="464" spans="1:18" x14ac:dyDescent="0.2">
      <c r="A464" s="6" t="s">
        <v>1882</v>
      </c>
      <c r="B464" s="39">
        <v>7</v>
      </c>
      <c r="C464" t="str">
        <f t="shared" si="31"/>
        <v>070.V.b.7</v>
      </c>
      <c r="D464">
        <v>2.3E-2</v>
      </c>
      <c r="E464">
        <v>2</v>
      </c>
      <c r="F464" s="104">
        <v>1</v>
      </c>
      <c r="G464">
        <v>1</v>
      </c>
      <c r="H464">
        <v>0</v>
      </c>
      <c r="I464">
        <v>0</v>
      </c>
      <c r="J464">
        <v>0</v>
      </c>
      <c r="M464" t="s">
        <v>72</v>
      </c>
      <c r="N464" t="s">
        <v>1969</v>
      </c>
      <c r="P464" t="s">
        <v>32</v>
      </c>
      <c r="Q464" t="str">
        <f t="shared" si="36"/>
        <v>070</v>
      </c>
      <c r="R464" t="str">
        <f t="shared" si="37"/>
        <v>V</v>
      </c>
    </row>
    <row r="465" spans="1:18" x14ac:dyDescent="0.2">
      <c r="A465" s="6" t="s">
        <v>1882</v>
      </c>
      <c r="B465" s="39">
        <v>8</v>
      </c>
      <c r="C465" t="str">
        <f t="shared" si="31"/>
        <v>070.V.b.8</v>
      </c>
      <c r="D465">
        <v>6.0000000000000001E-3</v>
      </c>
      <c r="E465">
        <v>1</v>
      </c>
      <c r="N465" t="s">
        <v>1969</v>
      </c>
      <c r="P465" t="s">
        <v>32</v>
      </c>
      <c r="Q465" t="str">
        <f t="shared" si="36"/>
        <v>070</v>
      </c>
      <c r="R465" t="str">
        <f t="shared" si="37"/>
        <v>V</v>
      </c>
    </row>
    <row r="466" spans="1:18" x14ac:dyDescent="0.2">
      <c r="A466" s="6" t="s">
        <v>1838</v>
      </c>
      <c r="B466" s="39">
        <v>7</v>
      </c>
      <c r="C466" t="str">
        <f t="shared" si="31"/>
        <v>059.O.c.7</v>
      </c>
      <c r="D466">
        <v>0.06</v>
      </c>
      <c r="E466">
        <v>5</v>
      </c>
      <c r="N466" t="s">
        <v>1969</v>
      </c>
      <c r="P466" t="s">
        <v>32</v>
      </c>
      <c r="Q466" t="str">
        <f t="shared" si="36"/>
        <v>059</v>
      </c>
      <c r="R466" t="str">
        <f t="shared" si="37"/>
        <v>O</v>
      </c>
    </row>
    <row r="467" spans="1:18" x14ac:dyDescent="0.2">
      <c r="A467" s="6" t="s">
        <v>1838</v>
      </c>
      <c r="B467" s="39">
        <v>8</v>
      </c>
      <c r="C467" t="str">
        <f t="shared" si="31"/>
        <v>059.O.c.8</v>
      </c>
      <c r="D467">
        <v>8.9999999999999993E-3</v>
      </c>
      <c r="E467">
        <v>1</v>
      </c>
      <c r="N467" t="s">
        <v>1969</v>
      </c>
      <c r="P467" t="s">
        <v>32</v>
      </c>
      <c r="Q467" t="str">
        <f t="shared" si="36"/>
        <v>059</v>
      </c>
      <c r="R467" t="str">
        <f t="shared" si="37"/>
        <v>O</v>
      </c>
    </row>
    <row r="468" spans="1:18" x14ac:dyDescent="0.2">
      <c r="A468" s="6" t="s">
        <v>1838</v>
      </c>
      <c r="B468" s="39">
        <v>9</v>
      </c>
      <c r="C468" t="str">
        <f t="shared" si="31"/>
        <v>059.O.c.9</v>
      </c>
      <c r="D468">
        <v>1.2E-2</v>
      </c>
      <c r="E468">
        <v>1</v>
      </c>
      <c r="N468" t="s">
        <v>1969</v>
      </c>
      <c r="P468" t="s">
        <v>32</v>
      </c>
      <c r="Q468" t="str">
        <f t="shared" si="36"/>
        <v>059</v>
      </c>
      <c r="R468" t="str">
        <f t="shared" si="37"/>
        <v>O</v>
      </c>
    </row>
  </sheetData>
  <sortState xmlns:xlrd2="http://schemas.microsoft.com/office/spreadsheetml/2017/richdata2" ref="A2:C433">
    <sortCondition ref="A2:A43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6A0B-C4FB-9942-82B2-D7E17ADADA54}">
  <dimension ref="A1:L34"/>
  <sheetViews>
    <sheetView topLeftCell="F1" workbookViewId="0">
      <selection activeCell="H33" sqref="H33"/>
    </sheetView>
  </sheetViews>
  <sheetFormatPr baseColWidth="10" defaultColWidth="11.33203125" defaultRowHeight="15" x14ac:dyDescent="0.2"/>
  <sheetData>
    <row r="1" spans="1:12" x14ac:dyDescent="0.2">
      <c r="A1" t="s">
        <v>8</v>
      </c>
      <c r="B1" t="s">
        <v>9</v>
      </c>
      <c r="C1" t="s">
        <v>10</v>
      </c>
      <c r="D1" t="s">
        <v>1972</v>
      </c>
      <c r="E1" t="s">
        <v>5</v>
      </c>
      <c r="F1" t="s">
        <v>6</v>
      </c>
      <c r="G1" t="s">
        <v>7</v>
      </c>
      <c r="H1" t="s">
        <v>1973</v>
      </c>
      <c r="I1" t="s">
        <v>1974</v>
      </c>
      <c r="J1" t="s">
        <v>1975</v>
      </c>
      <c r="K1" t="s">
        <v>1976</v>
      </c>
      <c r="L1" t="s">
        <v>1977</v>
      </c>
    </row>
    <row r="2" spans="1:12" x14ac:dyDescent="0.2">
      <c r="A2">
        <v>145</v>
      </c>
      <c r="B2" t="s">
        <v>29</v>
      </c>
      <c r="C2" t="str">
        <f>A2&amp;"-"&amp;B2</f>
        <v>145-A</v>
      </c>
      <c r="D2" t="s">
        <v>1634</v>
      </c>
      <c r="E2" t="s">
        <v>36</v>
      </c>
      <c r="F2" t="s">
        <v>29</v>
      </c>
      <c r="G2" t="s">
        <v>1978</v>
      </c>
      <c r="H2" t="s">
        <v>54</v>
      </c>
      <c r="I2" s="110">
        <v>45083</v>
      </c>
      <c r="J2">
        <v>27.2</v>
      </c>
      <c r="K2">
        <v>1.76</v>
      </c>
      <c r="L2">
        <v>1.5</v>
      </c>
    </row>
    <row r="3" spans="1:12" x14ac:dyDescent="0.2">
      <c r="A3">
        <v>145</v>
      </c>
      <c r="B3" t="s">
        <v>34</v>
      </c>
      <c r="C3" t="str">
        <f t="shared" ref="C3:C30" si="0">A3&amp;"-"&amp;B3</f>
        <v>145-C</v>
      </c>
      <c r="D3" t="s">
        <v>1649</v>
      </c>
      <c r="E3" t="s">
        <v>36</v>
      </c>
      <c r="F3" t="s">
        <v>29</v>
      </c>
      <c r="G3" t="s">
        <v>1979</v>
      </c>
      <c r="H3" t="s">
        <v>54</v>
      </c>
      <c r="I3" s="110">
        <v>45083</v>
      </c>
      <c r="J3">
        <v>28.7</v>
      </c>
      <c r="K3">
        <v>1.77</v>
      </c>
      <c r="L3">
        <v>1.18</v>
      </c>
    </row>
    <row r="4" spans="1:12" x14ac:dyDescent="0.2">
      <c r="A4">
        <v>145</v>
      </c>
      <c r="B4" t="s">
        <v>70</v>
      </c>
      <c r="C4" t="str">
        <f t="shared" si="0"/>
        <v>145-D</v>
      </c>
      <c r="D4" t="s">
        <v>1649</v>
      </c>
      <c r="E4" t="s">
        <v>33</v>
      </c>
      <c r="F4" t="s">
        <v>29</v>
      </c>
      <c r="G4" t="s">
        <v>1980</v>
      </c>
      <c r="H4" t="s">
        <v>54</v>
      </c>
      <c r="I4" s="110">
        <v>45083</v>
      </c>
      <c r="J4">
        <v>21.2</v>
      </c>
      <c r="K4">
        <v>1.79</v>
      </c>
      <c r="L4">
        <v>1.76</v>
      </c>
    </row>
    <row r="5" spans="1:12" x14ac:dyDescent="0.2">
      <c r="A5">
        <v>145</v>
      </c>
      <c r="B5" t="s">
        <v>49</v>
      </c>
      <c r="C5" t="str">
        <f t="shared" si="0"/>
        <v>145-F</v>
      </c>
      <c r="D5" t="s">
        <v>1649</v>
      </c>
      <c r="E5" t="s">
        <v>27</v>
      </c>
      <c r="F5" t="s">
        <v>43</v>
      </c>
      <c r="G5" t="s">
        <v>1981</v>
      </c>
      <c r="H5" t="s">
        <v>54</v>
      </c>
      <c r="I5" s="110">
        <v>45083</v>
      </c>
      <c r="J5">
        <v>55.7</v>
      </c>
      <c r="K5">
        <v>1.57</v>
      </c>
      <c r="L5">
        <v>0.81</v>
      </c>
    </row>
    <row r="6" spans="1:12" x14ac:dyDescent="0.2">
      <c r="A6">
        <v>145</v>
      </c>
      <c r="B6" t="s">
        <v>82</v>
      </c>
      <c r="C6" t="str">
        <f t="shared" si="0"/>
        <v>145-G</v>
      </c>
      <c r="D6" t="s">
        <v>1649</v>
      </c>
      <c r="E6" t="s">
        <v>27</v>
      </c>
      <c r="F6" t="s">
        <v>29</v>
      </c>
      <c r="G6" t="s">
        <v>1982</v>
      </c>
      <c r="H6" t="s">
        <v>54</v>
      </c>
      <c r="I6" s="110">
        <v>45083</v>
      </c>
      <c r="J6">
        <v>27</v>
      </c>
      <c r="K6">
        <v>1.82</v>
      </c>
      <c r="L6">
        <v>1.92</v>
      </c>
    </row>
    <row r="7" spans="1:12" x14ac:dyDescent="0.2">
      <c r="A7">
        <v>145</v>
      </c>
      <c r="B7" t="s">
        <v>63</v>
      </c>
      <c r="C7" t="str">
        <f t="shared" si="0"/>
        <v>145-H</v>
      </c>
      <c r="D7" t="s">
        <v>1649</v>
      </c>
      <c r="E7" t="s">
        <v>33</v>
      </c>
      <c r="F7" t="s">
        <v>43</v>
      </c>
      <c r="G7" t="s">
        <v>1983</v>
      </c>
      <c r="H7" t="s">
        <v>54</v>
      </c>
      <c r="I7" s="110">
        <v>45083</v>
      </c>
      <c r="J7">
        <v>22.1</v>
      </c>
      <c r="K7">
        <v>1.77</v>
      </c>
      <c r="L7">
        <v>1.53</v>
      </c>
    </row>
    <row r="8" spans="1:12" x14ac:dyDescent="0.2">
      <c r="A8">
        <v>145</v>
      </c>
      <c r="B8" t="s">
        <v>41</v>
      </c>
      <c r="C8" t="str">
        <f t="shared" si="0"/>
        <v>145-I</v>
      </c>
      <c r="D8" t="s">
        <v>1634</v>
      </c>
      <c r="E8" t="s">
        <v>33</v>
      </c>
      <c r="F8" t="s">
        <v>29</v>
      </c>
      <c r="G8" t="s">
        <v>1984</v>
      </c>
      <c r="H8" t="s">
        <v>54</v>
      </c>
      <c r="I8" s="110">
        <v>45083</v>
      </c>
      <c r="J8">
        <v>32.9</v>
      </c>
      <c r="K8">
        <v>1.73</v>
      </c>
      <c r="L8">
        <v>1.18</v>
      </c>
    </row>
    <row r="9" spans="1:12" x14ac:dyDescent="0.2">
      <c r="A9">
        <v>145</v>
      </c>
      <c r="B9" t="s">
        <v>68</v>
      </c>
      <c r="C9" t="str">
        <f t="shared" si="0"/>
        <v>145-J</v>
      </c>
      <c r="D9" t="s">
        <v>1649</v>
      </c>
      <c r="E9" t="s">
        <v>36</v>
      </c>
      <c r="F9" t="s">
        <v>82</v>
      </c>
      <c r="G9" t="s">
        <v>1985</v>
      </c>
      <c r="H9" t="s">
        <v>54</v>
      </c>
      <c r="I9" s="110">
        <v>45083</v>
      </c>
      <c r="J9">
        <v>31.1</v>
      </c>
      <c r="K9">
        <v>1.85</v>
      </c>
      <c r="L9">
        <v>1.89</v>
      </c>
    </row>
    <row r="10" spans="1:12" x14ac:dyDescent="0.2">
      <c r="A10">
        <v>146</v>
      </c>
      <c r="B10" t="s">
        <v>29</v>
      </c>
      <c r="C10" t="str">
        <f t="shared" si="0"/>
        <v>146-A</v>
      </c>
      <c r="D10" t="s">
        <v>1634</v>
      </c>
      <c r="E10" t="s">
        <v>36</v>
      </c>
      <c r="F10" t="s">
        <v>39</v>
      </c>
      <c r="G10" t="s">
        <v>1986</v>
      </c>
      <c r="H10" t="s">
        <v>54</v>
      </c>
      <c r="I10" s="110">
        <v>45084</v>
      </c>
      <c r="J10">
        <v>28.2</v>
      </c>
      <c r="K10">
        <v>1.85</v>
      </c>
      <c r="L10">
        <v>2.0099999999999998</v>
      </c>
    </row>
    <row r="11" spans="1:12" x14ac:dyDescent="0.2">
      <c r="A11">
        <v>146</v>
      </c>
      <c r="B11" t="s">
        <v>39</v>
      </c>
      <c r="C11" t="str">
        <f t="shared" si="0"/>
        <v>146-B</v>
      </c>
      <c r="D11" t="s">
        <v>1649</v>
      </c>
      <c r="E11" t="s">
        <v>33</v>
      </c>
      <c r="F11" t="s">
        <v>49</v>
      </c>
      <c r="G11" t="s">
        <v>1987</v>
      </c>
      <c r="H11" t="s">
        <v>54</v>
      </c>
      <c r="I11" s="110">
        <v>45084</v>
      </c>
      <c r="J11">
        <v>14.6</v>
      </c>
      <c r="K11">
        <v>1.73</v>
      </c>
      <c r="L11">
        <v>1.25</v>
      </c>
    </row>
    <row r="12" spans="1:12" x14ac:dyDescent="0.2">
      <c r="A12">
        <v>146</v>
      </c>
      <c r="B12" t="s">
        <v>34</v>
      </c>
      <c r="C12" t="str">
        <f t="shared" si="0"/>
        <v>146-C</v>
      </c>
      <c r="D12" t="s">
        <v>1649</v>
      </c>
      <c r="E12" t="s">
        <v>27</v>
      </c>
      <c r="F12" t="s">
        <v>49</v>
      </c>
      <c r="G12" t="s">
        <v>1988</v>
      </c>
      <c r="H12" t="s">
        <v>54</v>
      </c>
      <c r="I12" s="110">
        <v>45084</v>
      </c>
      <c r="J12">
        <v>43.9</v>
      </c>
      <c r="K12">
        <v>1.77</v>
      </c>
      <c r="L12">
        <v>1.1100000000000001</v>
      </c>
    </row>
    <row r="13" spans="1:12" x14ac:dyDescent="0.2">
      <c r="A13">
        <v>146</v>
      </c>
      <c r="B13" t="s">
        <v>70</v>
      </c>
      <c r="C13" t="str">
        <f t="shared" si="0"/>
        <v>146-D</v>
      </c>
      <c r="D13" t="s">
        <v>1649</v>
      </c>
      <c r="E13" t="s">
        <v>36</v>
      </c>
      <c r="F13" t="s">
        <v>43</v>
      </c>
      <c r="G13" t="s">
        <v>1989</v>
      </c>
      <c r="H13" t="s">
        <v>54</v>
      </c>
      <c r="I13" s="110">
        <v>45084</v>
      </c>
      <c r="J13">
        <v>28.7</v>
      </c>
      <c r="K13">
        <v>1.87</v>
      </c>
      <c r="L13">
        <v>1.95</v>
      </c>
    </row>
    <row r="14" spans="1:12" x14ac:dyDescent="0.2">
      <c r="A14">
        <v>146</v>
      </c>
      <c r="B14" t="s">
        <v>49</v>
      </c>
      <c r="C14" t="str">
        <f t="shared" si="0"/>
        <v>146-F</v>
      </c>
      <c r="D14" t="s">
        <v>1649</v>
      </c>
      <c r="E14" t="s">
        <v>33</v>
      </c>
      <c r="F14" t="s">
        <v>39</v>
      </c>
      <c r="G14" t="s">
        <v>1990</v>
      </c>
      <c r="H14" t="s">
        <v>54</v>
      </c>
      <c r="I14" s="110">
        <v>45084</v>
      </c>
      <c r="J14">
        <v>31.9</v>
      </c>
      <c r="K14">
        <v>1.71</v>
      </c>
      <c r="L14">
        <v>0.9</v>
      </c>
    </row>
    <row r="15" spans="1:12" x14ac:dyDescent="0.2">
      <c r="A15">
        <v>146</v>
      </c>
      <c r="B15" t="s">
        <v>63</v>
      </c>
      <c r="C15" t="str">
        <f t="shared" si="0"/>
        <v>146-H</v>
      </c>
      <c r="D15" t="s">
        <v>1649</v>
      </c>
      <c r="E15" t="s">
        <v>27</v>
      </c>
      <c r="F15" t="s">
        <v>39</v>
      </c>
      <c r="G15" t="s">
        <v>1991</v>
      </c>
      <c r="H15" t="s">
        <v>54</v>
      </c>
      <c r="I15" s="110">
        <v>45084</v>
      </c>
      <c r="J15">
        <v>20</v>
      </c>
      <c r="K15">
        <v>1.79</v>
      </c>
      <c r="L15">
        <v>1.1200000000000001</v>
      </c>
    </row>
    <row r="16" spans="1:12" x14ac:dyDescent="0.2">
      <c r="A16">
        <v>146</v>
      </c>
      <c r="B16" t="s">
        <v>41</v>
      </c>
      <c r="C16" t="str">
        <f t="shared" si="0"/>
        <v>146-I</v>
      </c>
      <c r="D16" t="s">
        <v>1649</v>
      </c>
      <c r="E16" t="s">
        <v>36</v>
      </c>
      <c r="F16" t="s">
        <v>39</v>
      </c>
      <c r="G16" t="s">
        <v>1992</v>
      </c>
      <c r="H16" t="s">
        <v>54</v>
      </c>
      <c r="I16" s="110">
        <v>45084</v>
      </c>
      <c r="J16">
        <v>13.4</v>
      </c>
      <c r="K16">
        <v>1.82</v>
      </c>
      <c r="L16">
        <v>1.65</v>
      </c>
    </row>
    <row r="17" spans="1:12" x14ac:dyDescent="0.2">
      <c r="A17">
        <v>146</v>
      </c>
      <c r="B17" t="s">
        <v>68</v>
      </c>
      <c r="C17" t="str">
        <f t="shared" si="0"/>
        <v>146-J</v>
      </c>
      <c r="D17" t="s">
        <v>1634</v>
      </c>
      <c r="E17" t="s">
        <v>33</v>
      </c>
      <c r="F17" t="s">
        <v>39</v>
      </c>
      <c r="G17" t="s">
        <v>1993</v>
      </c>
      <c r="H17" t="s">
        <v>54</v>
      </c>
      <c r="I17" s="110">
        <v>45084</v>
      </c>
      <c r="J17">
        <v>12</v>
      </c>
      <c r="K17">
        <v>1.79</v>
      </c>
      <c r="L17">
        <v>1.5</v>
      </c>
    </row>
    <row r="18" spans="1:12" x14ac:dyDescent="0.2">
      <c r="A18">
        <v>147</v>
      </c>
      <c r="B18" t="s">
        <v>29</v>
      </c>
      <c r="C18" t="str">
        <f t="shared" si="0"/>
        <v>147-A</v>
      </c>
      <c r="D18" t="s">
        <v>1649</v>
      </c>
      <c r="E18" t="s">
        <v>33</v>
      </c>
      <c r="F18" t="s">
        <v>34</v>
      </c>
      <c r="G18" t="s">
        <v>1994</v>
      </c>
      <c r="H18" t="s">
        <v>54</v>
      </c>
      <c r="I18" s="110">
        <v>45084</v>
      </c>
      <c r="J18">
        <v>16</v>
      </c>
      <c r="K18">
        <v>1.8</v>
      </c>
      <c r="L18">
        <v>1.25</v>
      </c>
    </row>
    <row r="19" spans="1:12" x14ac:dyDescent="0.2">
      <c r="A19">
        <v>147</v>
      </c>
      <c r="B19" t="s">
        <v>39</v>
      </c>
      <c r="C19" t="str">
        <f t="shared" si="0"/>
        <v>147-B</v>
      </c>
      <c r="D19" t="s">
        <v>1649</v>
      </c>
      <c r="E19" t="s">
        <v>36</v>
      </c>
      <c r="F19" t="s">
        <v>34</v>
      </c>
      <c r="G19" t="s">
        <v>1995</v>
      </c>
      <c r="H19" t="s">
        <v>54</v>
      </c>
      <c r="I19" s="110">
        <v>45084</v>
      </c>
      <c r="J19">
        <v>43.6</v>
      </c>
      <c r="K19">
        <v>1.87</v>
      </c>
      <c r="L19">
        <v>2.0299999999999998</v>
      </c>
    </row>
    <row r="20" spans="1:12" x14ac:dyDescent="0.2">
      <c r="A20">
        <v>147</v>
      </c>
      <c r="B20" t="s">
        <v>49</v>
      </c>
      <c r="C20" t="str">
        <f t="shared" si="0"/>
        <v>147-F</v>
      </c>
      <c r="D20" t="s">
        <v>1634</v>
      </c>
      <c r="E20" t="s">
        <v>33</v>
      </c>
      <c r="F20" t="s">
        <v>34</v>
      </c>
      <c r="G20" t="s">
        <v>1996</v>
      </c>
      <c r="H20" t="s">
        <v>54</v>
      </c>
      <c r="I20" s="110">
        <v>45084</v>
      </c>
      <c r="J20">
        <v>25.8</v>
      </c>
      <c r="K20">
        <v>1.71</v>
      </c>
      <c r="L20">
        <v>0.95</v>
      </c>
    </row>
    <row r="21" spans="1:12" x14ac:dyDescent="0.2">
      <c r="A21">
        <v>147</v>
      </c>
      <c r="B21" t="s">
        <v>34</v>
      </c>
      <c r="C21" t="str">
        <f t="shared" si="0"/>
        <v>147-C</v>
      </c>
      <c r="D21" t="s">
        <v>1634</v>
      </c>
      <c r="E21" t="s">
        <v>36</v>
      </c>
      <c r="F21" t="s">
        <v>34</v>
      </c>
      <c r="G21" t="s">
        <v>1997</v>
      </c>
      <c r="H21" t="s">
        <v>54</v>
      </c>
      <c r="I21" s="110">
        <v>45084</v>
      </c>
      <c r="J21">
        <v>29.5</v>
      </c>
      <c r="K21">
        <v>1.84</v>
      </c>
      <c r="L21">
        <v>1.56</v>
      </c>
    </row>
    <row r="22" spans="1:12" x14ac:dyDescent="0.2">
      <c r="A22">
        <v>147</v>
      </c>
      <c r="B22" t="s">
        <v>63</v>
      </c>
      <c r="C22" t="str">
        <f t="shared" si="0"/>
        <v>147-H</v>
      </c>
      <c r="D22" t="s">
        <v>1649</v>
      </c>
      <c r="E22" t="s">
        <v>36</v>
      </c>
      <c r="F22" t="s">
        <v>49</v>
      </c>
      <c r="G22" t="s">
        <v>1998</v>
      </c>
      <c r="H22" t="s">
        <v>54</v>
      </c>
      <c r="I22" s="110">
        <v>45084</v>
      </c>
      <c r="J22">
        <v>6.7</v>
      </c>
      <c r="K22">
        <v>1.67</v>
      </c>
      <c r="L22">
        <v>0.84</v>
      </c>
    </row>
    <row r="23" spans="1:12" x14ac:dyDescent="0.2">
      <c r="A23">
        <v>147</v>
      </c>
      <c r="B23" t="s">
        <v>41</v>
      </c>
      <c r="C23" t="str">
        <f t="shared" si="0"/>
        <v>147-I</v>
      </c>
      <c r="D23" t="s">
        <v>1634</v>
      </c>
      <c r="E23" t="s">
        <v>33</v>
      </c>
      <c r="F23" t="s">
        <v>82</v>
      </c>
      <c r="G23" t="s">
        <v>1999</v>
      </c>
      <c r="H23" t="s">
        <v>54</v>
      </c>
      <c r="I23" s="110">
        <v>45084</v>
      </c>
      <c r="J23">
        <v>15.8</v>
      </c>
      <c r="K23">
        <v>1.84</v>
      </c>
      <c r="L23">
        <v>1.84</v>
      </c>
    </row>
    <row r="24" spans="1:12" x14ac:dyDescent="0.2">
      <c r="A24">
        <v>148</v>
      </c>
      <c r="B24" t="s">
        <v>29</v>
      </c>
      <c r="C24" t="str">
        <f t="shared" si="0"/>
        <v>148-A</v>
      </c>
      <c r="D24" t="s">
        <v>1649</v>
      </c>
      <c r="E24" t="s">
        <v>27</v>
      </c>
      <c r="F24" t="s">
        <v>70</v>
      </c>
      <c r="G24" t="s">
        <v>2000</v>
      </c>
      <c r="H24" t="s">
        <v>54</v>
      </c>
      <c r="I24" s="110">
        <v>45084</v>
      </c>
      <c r="J24">
        <v>29.9</v>
      </c>
      <c r="K24">
        <v>1.81</v>
      </c>
      <c r="L24">
        <v>1.2</v>
      </c>
    </row>
    <row r="25" spans="1:12" x14ac:dyDescent="0.2">
      <c r="A25">
        <v>148</v>
      </c>
      <c r="B25" t="s">
        <v>39</v>
      </c>
      <c r="C25" t="str">
        <f t="shared" si="0"/>
        <v>148-B</v>
      </c>
      <c r="D25" t="s">
        <v>1649</v>
      </c>
      <c r="E25" t="s">
        <v>36</v>
      </c>
      <c r="F25" t="s">
        <v>70</v>
      </c>
      <c r="G25" t="s">
        <v>2001</v>
      </c>
      <c r="H25" t="s">
        <v>54</v>
      </c>
      <c r="I25" s="110">
        <v>45084</v>
      </c>
      <c r="J25">
        <v>25.3</v>
      </c>
      <c r="K25">
        <v>1.84</v>
      </c>
      <c r="L25">
        <v>1.33</v>
      </c>
    </row>
    <row r="26" spans="1:12" x14ac:dyDescent="0.2">
      <c r="A26">
        <v>148</v>
      </c>
      <c r="B26" t="s">
        <v>34</v>
      </c>
      <c r="C26" t="str">
        <f t="shared" si="0"/>
        <v>148-C</v>
      </c>
      <c r="D26" t="s">
        <v>1634</v>
      </c>
      <c r="E26" t="s">
        <v>33</v>
      </c>
      <c r="F26" t="s">
        <v>70</v>
      </c>
      <c r="G26" t="s">
        <v>2002</v>
      </c>
      <c r="H26" t="s">
        <v>54</v>
      </c>
      <c r="I26" s="110">
        <v>45084</v>
      </c>
      <c r="J26">
        <v>15</v>
      </c>
      <c r="K26">
        <v>1.62</v>
      </c>
      <c r="L26">
        <v>1.08</v>
      </c>
    </row>
    <row r="27" spans="1:12" x14ac:dyDescent="0.2">
      <c r="A27">
        <v>148</v>
      </c>
      <c r="B27" t="s">
        <v>43</v>
      </c>
      <c r="C27" t="str">
        <f t="shared" si="0"/>
        <v>148-E</v>
      </c>
      <c r="D27" t="s">
        <v>1649</v>
      </c>
      <c r="E27" t="s">
        <v>36</v>
      </c>
      <c r="F27" t="s">
        <v>63</v>
      </c>
      <c r="G27" t="s">
        <v>2003</v>
      </c>
      <c r="H27" t="s">
        <v>54</v>
      </c>
      <c r="I27" s="110">
        <v>45084</v>
      </c>
      <c r="J27">
        <v>100.5</v>
      </c>
      <c r="K27">
        <v>1.99</v>
      </c>
      <c r="L27">
        <v>2.1800000000000002</v>
      </c>
    </row>
    <row r="28" spans="1:12" x14ac:dyDescent="0.2">
      <c r="A28">
        <v>148</v>
      </c>
      <c r="B28" t="s">
        <v>82</v>
      </c>
      <c r="C28" t="str">
        <f t="shared" si="0"/>
        <v>148-G</v>
      </c>
      <c r="D28" t="s">
        <v>1649</v>
      </c>
      <c r="E28" t="s">
        <v>27</v>
      </c>
      <c r="F28" t="s">
        <v>34</v>
      </c>
      <c r="G28" t="s">
        <v>2004</v>
      </c>
      <c r="H28" t="s">
        <v>54</v>
      </c>
      <c r="I28" s="110">
        <v>45084</v>
      </c>
      <c r="J28">
        <v>33.4</v>
      </c>
      <c r="K28">
        <v>1.84</v>
      </c>
      <c r="L28">
        <v>1.4</v>
      </c>
    </row>
    <row r="29" spans="1:12" x14ac:dyDescent="0.2">
      <c r="A29">
        <v>148</v>
      </c>
      <c r="B29" t="s">
        <v>63</v>
      </c>
      <c r="C29" t="str">
        <f t="shared" si="0"/>
        <v>148-H</v>
      </c>
      <c r="D29" t="s">
        <v>1649</v>
      </c>
      <c r="E29" t="s">
        <v>33</v>
      </c>
      <c r="F29" t="s">
        <v>70</v>
      </c>
      <c r="G29" t="s">
        <v>2005</v>
      </c>
      <c r="H29" t="s">
        <v>54</v>
      </c>
      <c r="I29" s="110">
        <v>45084</v>
      </c>
      <c r="J29">
        <v>6.4</v>
      </c>
      <c r="K29">
        <v>1.8</v>
      </c>
      <c r="L29">
        <v>1.05</v>
      </c>
    </row>
    <row r="30" spans="1:12" x14ac:dyDescent="0.2">
      <c r="A30">
        <v>148</v>
      </c>
      <c r="B30" t="s">
        <v>41</v>
      </c>
      <c r="C30" t="str">
        <f t="shared" si="0"/>
        <v>148-I</v>
      </c>
      <c r="D30" t="s">
        <v>1634</v>
      </c>
      <c r="E30" t="s">
        <v>36</v>
      </c>
      <c r="F30" t="s">
        <v>70</v>
      </c>
      <c r="G30" t="s">
        <v>2006</v>
      </c>
      <c r="H30" t="s">
        <v>54</v>
      </c>
      <c r="I30" s="110">
        <v>45084</v>
      </c>
      <c r="J30">
        <v>21.8</v>
      </c>
      <c r="K30">
        <v>1.92</v>
      </c>
      <c r="L30">
        <v>1.98</v>
      </c>
    </row>
    <row r="31" spans="1:12" x14ac:dyDescent="0.2">
      <c r="A31" t="s">
        <v>57</v>
      </c>
      <c r="B31" t="s">
        <v>57</v>
      </c>
      <c r="C31" t="s">
        <v>57</v>
      </c>
      <c r="D31" t="s">
        <v>57</v>
      </c>
      <c r="E31" t="s">
        <v>57</v>
      </c>
      <c r="F31" t="s">
        <v>57</v>
      </c>
      <c r="G31" t="s">
        <v>2007</v>
      </c>
      <c r="H31" t="s">
        <v>54</v>
      </c>
      <c r="I31" s="110">
        <v>45350</v>
      </c>
      <c r="J31">
        <v>25.6</v>
      </c>
      <c r="K31">
        <v>1.66</v>
      </c>
      <c r="L31">
        <v>0.77</v>
      </c>
    </row>
    <row r="32" spans="1:12" x14ac:dyDescent="0.2">
      <c r="A32" t="s">
        <v>57</v>
      </c>
      <c r="B32" t="s">
        <v>57</v>
      </c>
      <c r="C32" t="s">
        <v>57</v>
      </c>
      <c r="D32" t="s">
        <v>57</v>
      </c>
      <c r="E32" t="s">
        <v>57</v>
      </c>
      <c r="F32" t="s">
        <v>57</v>
      </c>
      <c r="G32" t="s">
        <v>2008</v>
      </c>
      <c r="H32" t="s">
        <v>54</v>
      </c>
      <c r="I32" s="110">
        <v>45350</v>
      </c>
      <c r="J32">
        <v>97.9</v>
      </c>
      <c r="K32">
        <v>1.55</v>
      </c>
      <c r="L32">
        <v>0.63</v>
      </c>
    </row>
    <row r="33" spans="1:12" x14ac:dyDescent="0.2">
      <c r="A33" t="s">
        <v>57</v>
      </c>
      <c r="B33" t="s">
        <v>57</v>
      </c>
      <c r="C33" t="s">
        <v>57</v>
      </c>
      <c r="D33" t="s">
        <v>57</v>
      </c>
      <c r="E33" t="s">
        <v>57</v>
      </c>
      <c r="F33" t="s">
        <v>57</v>
      </c>
      <c r="G33" t="s">
        <v>2009</v>
      </c>
      <c r="H33" t="s">
        <v>54</v>
      </c>
      <c r="I33" s="110">
        <v>45350</v>
      </c>
      <c r="J33">
        <v>34.299999999999997</v>
      </c>
      <c r="K33">
        <v>1.66</v>
      </c>
      <c r="L33">
        <v>0.72</v>
      </c>
    </row>
    <row r="34" spans="1:12" x14ac:dyDescent="0.2">
      <c r="A34" t="s">
        <v>57</v>
      </c>
      <c r="B34" t="s">
        <v>57</v>
      </c>
      <c r="C34" t="s">
        <v>57</v>
      </c>
      <c r="D34" t="s">
        <v>57</v>
      </c>
      <c r="E34" t="s">
        <v>57</v>
      </c>
      <c r="F34" t="s">
        <v>57</v>
      </c>
      <c r="G34" t="s">
        <v>2010</v>
      </c>
      <c r="H34" t="s">
        <v>54</v>
      </c>
      <c r="I34" s="110">
        <v>45350</v>
      </c>
      <c r="J34">
        <v>74.599999999999994</v>
      </c>
      <c r="K34">
        <v>1.52</v>
      </c>
      <c r="L34">
        <v>0.64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"/>
  <sheetViews>
    <sheetView topLeftCell="A23" workbookViewId="0">
      <selection activeCell="B35" sqref="B35"/>
    </sheetView>
  </sheetViews>
  <sheetFormatPr baseColWidth="10" defaultColWidth="8.83203125" defaultRowHeight="19" x14ac:dyDescent="0.25"/>
  <cols>
    <col min="1" max="1" width="23.1640625" style="8" customWidth="1"/>
    <col min="2" max="2" width="15.83203125" style="9" customWidth="1"/>
    <col min="3" max="3" width="5.83203125" style="8" customWidth="1"/>
    <col min="4" max="5" width="9" style="8" bestFit="1" customWidth="1"/>
    <col min="6" max="6" width="34.33203125" style="8" customWidth="1"/>
    <col min="7" max="7" width="9.33203125" style="8" bestFit="1" customWidth="1"/>
    <col min="8" max="16384" width="8.83203125" style="8"/>
  </cols>
  <sheetData>
    <row r="1" spans="1:7" x14ac:dyDescent="0.25">
      <c r="A1" s="13" t="s">
        <v>2011</v>
      </c>
      <c r="B1" s="12" t="s">
        <v>2012</v>
      </c>
      <c r="C1" s="13" t="s">
        <v>2013</v>
      </c>
      <c r="D1" s="13" t="s">
        <v>2014</v>
      </c>
      <c r="E1" s="13" t="s">
        <v>2015</v>
      </c>
    </row>
    <row r="2" spans="1:7" ht="15" customHeight="1" x14ac:dyDescent="0.25">
      <c r="A2" s="11" t="s">
        <v>2016</v>
      </c>
      <c r="B2" s="14" t="s">
        <v>26</v>
      </c>
      <c r="C2" s="13">
        <v>4</v>
      </c>
      <c r="D2" s="13">
        <v>3</v>
      </c>
      <c r="E2" s="13">
        <f t="shared" ref="E2:E33" si="0">C2*D2</f>
        <v>12</v>
      </c>
      <c r="G2" s="8" t="e" cm="1">
        <f t="array" ref="G2">Coun</f>
        <v>#NAME?</v>
      </c>
    </row>
    <row r="3" spans="1:7" x14ac:dyDescent="0.25">
      <c r="A3" s="11" t="s">
        <v>2017</v>
      </c>
      <c r="B3" s="14" t="s">
        <v>59</v>
      </c>
      <c r="C3" s="13">
        <v>4</v>
      </c>
      <c r="D3" s="13">
        <v>3</v>
      </c>
      <c r="E3" s="13">
        <f t="shared" si="0"/>
        <v>12</v>
      </c>
    </row>
    <row r="4" spans="1:7" x14ac:dyDescent="0.25">
      <c r="A4" s="11" t="s">
        <v>2018</v>
      </c>
      <c r="B4" s="14" t="s">
        <v>79</v>
      </c>
      <c r="C4" s="13">
        <v>4</v>
      </c>
      <c r="D4" s="13">
        <v>3</v>
      </c>
      <c r="E4" s="13">
        <f t="shared" si="0"/>
        <v>12</v>
      </c>
    </row>
    <row r="5" spans="1:7" x14ac:dyDescent="0.25">
      <c r="A5" s="11" t="s">
        <v>2019</v>
      </c>
      <c r="B5" s="14" t="s">
        <v>94</v>
      </c>
      <c r="C5" s="13">
        <v>4</v>
      </c>
      <c r="D5" s="13">
        <v>3</v>
      </c>
      <c r="E5" s="13">
        <f t="shared" si="0"/>
        <v>12</v>
      </c>
    </row>
    <row r="6" spans="1:7" x14ac:dyDescent="0.25">
      <c r="A6" s="11" t="s">
        <v>2020</v>
      </c>
      <c r="B6" s="14" t="s">
        <v>107</v>
      </c>
      <c r="C6" s="13">
        <v>4</v>
      </c>
      <c r="D6" s="13">
        <v>3</v>
      </c>
      <c r="E6" s="13">
        <f t="shared" si="0"/>
        <v>12</v>
      </c>
    </row>
    <row r="7" spans="1:7" x14ac:dyDescent="0.25">
      <c r="A7" s="11" t="s">
        <v>2021</v>
      </c>
      <c r="B7" s="14" t="s">
        <v>120</v>
      </c>
      <c r="C7" s="13">
        <v>4</v>
      </c>
      <c r="D7" s="13">
        <v>3</v>
      </c>
      <c r="E7" s="13">
        <f t="shared" si="0"/>
        <v>12</v>
      </c>
    </row>
    <row r="8" spans="1:7" x14ac:dyDescent="0.25">
      <c r="A8" s="11" t="s">
        <v>2022</v>
      </c>
      <c r="B8" s="14" t="s">
        <v>134</v>
      </c>
      <c r="C8" s="13">
        <v>4</v>
      </c>
      <c r="D8" s="13">
        <v>3</v>
      </c>
      <c r="E8" s="13">
        <f t="shared" si="0"/>
        <v>12</v>
      </c>
    </row>
    <row r="9" spans="1:7" x14ac:dyDescent="0.25">
      <c r="A9" s="11" t="s">
        <v>2023</v>
      </c>
      <c r="B9" s="14" t="s">
        <v>150</v>
      </c>
      <c r="C9" s="13">
        <v>4</v>
      </c>
      <c r="D9" s="13">
        <v>3</v>
      </c>
      <c r="E9" s="13">
        <f t="shared" si="0"/>
        <v>12</v>
      </c>
    </row>
    <row r="10" spans="1:7" x14ac:dyDescent="0.25">
      <c r="A10" s="11" t="s">
        <v>2024</v>
      </c>
      <c r="B10" s="14" t="s">
        <v>164</v>
      </c>
      <c r="C10" s="13">
        <v>4</v>
      </c>
      <c r="D10" s="13">
        <v>3</v>
      </c>
      <c r="E10" s="13">
        <f t="shared" si="0"/>
        <v>12</v>
      </c>
    </row>
    <row r="11" spans="1:7" x14ac:dyDescent="0.25">
      <c r="A11" s="11" t="s">
        <v>2025</v>
      </c>
      <c r="B11" s="14" t="s">
        <v>178</v>
      </c>
      <c r="C11" s="13">
        <v>4</v>
      </c>
      <c r="D11" s="13">
        <v>3</v>
      </c>
      <c r="E11" s="13">
        <f t="shared" si="0"/>
        <v>12</v>
      </c>
    </row>
    <row r="12" spans="1:7" x14ac:dyDescent="0.25">
      <c r="A12" s="11" t="s">
        <v>2026</v>
      </c>
      <c r="B12" s="14" t="s">
        <v>191</v>
      </c>
      <c r="C12" s="13">
        <v>4</v>
      </c>
      <c r="D12" s="13">
        <v>3</v>
      </c>
      <c r="E12" s="13">
        <f t="shared" si="0"/>
        <v>12</v>
      </c>
    </row>
    <row r="13" spans="1:7" x14ac:dyDescent="0.25">
      <c r="A13" s="11" t="s">
        <v>2027</v>
      </c>
      <c r="B13" s="14" t="s">
        <v>204</v>
      </c>
      <c r="C13" s="13">
        <v>4</v>
      </c>
      <c r="D13" s="13">
        <v>3</v>
      </c>
      <c r="E13" s="13">
        <f t="shared" si="0"/>
        <v>12</v>
      </c>
    </row>
    <row r="14" spans="1:7" x14ac:dyDescent="0.25">
      <c r="A14" s="11" t="s">
        <v>2028</v>
      </c>
      <c r="B14" s="14" t="s">
        <v>219</v>
      </c>
      <c r="C14" s="13">
        <v>4</v>
      </c>
      <c r="D14" s="13">
        <v>3</v>
      </c>
      <c r="E14" s="13">
        <f t="shared" si="0"/>
        <v>12</v>
      </c>
    </row>
    <row r="15" spans="1:7" x14ac:dyDescent="0.25">
      <c r="A15" s="11" t="s">
        <v>2029</v>
      </c>
      <c r="B15" s="14" t="s">
        <v>232</v>
      </c>
      <c r="C15" s="13">
        <v>4</v>
      </c>
      <c r="D15" s="13">
        <v>3</v>
      </c>
      <c r="E15" s="13">
        <f t="shared" si="0"/>
        <v>12</v>
      </c>
    </row>
    <row r="16" spans="1:7" x14ac:dyDescent="0.25">
      <c r="A16" s="11" t="s">
        <v>2030</v>
      </c>
      <c r="B16" s="14" t="s">
        <v>245</v>
      </c>
      <c r="C16" s="13">
        <v>4</v>
      </c>
      <c r="D16" s="13">
        <v>3</v>
      </c>
      <c r="E16" s="13">
        <f t="shared" si="0"/>
        <v>12</v>
      </c>
    </row>
    <row r="17" spans="1:7" x14ac:dyDescent="0.25">
      <c r="A17" s="11" t="s">
        <v>2031</v>
      </c>
      <c r="B17" s="14" t="s">
        <v>258</v>
      </c>
      <c r="C17" s="13">
        <v>4</v>
      </c>
      <c r="D17" s="13">
        <v>3</v>
      </c>
      <c r="E17" s="13">
        <f t="shared" si="0"/>
        <v>12</v>
      </c>
    </row>
    <row r="18" spans="1:7" x14ac:dyDescent="0.25">
      <c r="A18" s="11" t="s">
        <v>2032</v>
      </c>
      <c r="B18" s="14" t="s">
        <v>272</v>
      </c>
      <c r="C18" s="13">
        <v>4</v>
      </c>
      <c r="D18" s="13">
        <v>3</v>
      </c>
      <c r="E18" s="13">
        <f t="shared" si="0"/>
        <v>12</v>
      </c>
    </row>
    <row r="19" spans="1:7" x14ac:dyDescent="0.25">
      <c r="A19" s="11" t="s">
        <v>2033</v>
      </c>
      <c r="B19" s="14" t="s">
        <v>287</v>
      </c>
      <c r="C19" s="13">
        <v>4</v>
      </c>
      <c r="D19" s="13">
        <v>3</v>
      </c>
      <c r="E19" s="13">
        <f t="shared" si="0"/>
        <v>12</v>
      </c>
    </row>
    <row r="20" spans="1:7" x14ac:dyDescent="0.25">
      <c r="A20" s="11" t="s">
        <v>2034</v>
      </c>
      <c r="B20" s="14" t="s">
        <v>300</v>
      </c>
      <c r="C20" s="13">
        <v>4</v>
      </c>
      <c r="D20" s="13">
        <v>3</v>
      </c>
      <c r="E20" s="13">
        <f t="shared" si="0"/>
        <v>12</v>
      </c>
    </row>
    <row r="21" spans="1:7" x14ac:dyDescent="0.25">
      <c r="A21" s="11" t="s">
        <v>2035</v>
      </c>
      <c r="B21" s="14" t="s">
        <v>313</v>
      </c>
      <c r="C21" s="13">
        <v>4</v>
      </c>
      <c r="D21" s="13">
        <v>3</v>
      </c>
      <c r="E21" s="13">
        <f t="shared" si="0"/>
        <v>12</v>
      </c>
    </row>
    <row r="22" spans="1:7" x14ac:dyDescent="0.25">
      <c r="A22" s="11" t="s">
        <v>2036</v>
      </c>
      <c r="B22" s="14" t="s">
        <v>326</v>
      </c>
      <c r="C22" s="13">
        <v>4</v>
      </c>
      <c r="D22" s="13">
        <v>3</v>
      </c>
      <c r="E22" s="13">
        <f t="shared" si="0"/>
        <v>12</v>
      </c>
    </row>
    <row r="23" spans="1:7" x14ac:dyDescent="0.25">
      <c r="A23" s="11" t="s">
        <v>2037</v>
      </c>
      <c r="B23" s="14" t="s">
        <v>339</v>
      </c>
      <c r="C23" s="13">
        <v>4</v>
      </c>
      <c r="D23" s="13">
        <v>3</v>
      </c>
      <c r="E23" s="13">
        <f t="shared" si="0"/>
        <v>12</v>
      </c>
    </row>
    <row r="24" spans="1:7" x14ac:dyDescent="0.25">
      <c r="A24" s="11" t="s">
        <v>2038</v>
      </c>
      <c r="B24" s="14" t="s">
        <v>352</v>
      </c>
      <c r="C24" s="13">
        <v>4</v>
      </c>
      <c r="D24" s="13">
        <v>3</v>
      </c>
      <c r="E24" s="13">
        <f t="shared" si="0"/>
        <v>12</v>
      </c>
    </row>
    <row r="25" spans="1:7" x14ac:dyDescent="0.25">
      <c r="A25" s="11" t="s">
        <v>2039</v>
      </c>
      <c r="B25" s="14" t="s">
        <v>365</v>
      </c>
      <c r="C25" s="13">
        <v>4</v>
      </c>
      <c r="D25" s="13">
        <v>3</v>
      </c>
      <c r="E25" s="13">
        <f t="shared" si="0"/>
        <v>12</v>
      </c>
    </row>
    <row r="26" spans="1:7" x14ac:dyDescent="0.25">
      <c r="A26" s="11" t="s">
        <v>2040</v>
      </c>
      <c r="B26" s="14" t="s">
        <v>378</v>
      </c>
      <c r="C26" s="13">
        <v>4</v>
      </c>
      <c r="D26" s="13">
        <v>3</v>
      </c>
      <c r="E26" s="13">
        <f t="shared" si="0"/>
        <v>12</v>
      </c>
    </row>
    <row r="27" spans="1:7" x14ac:dyDescent="0.25">
      <c r="A27" s="11" t="s">
        <v>2041</v>
      </c>
      <c r="B27" s="14" t="s">
        <v>391</v>
      </c>
      <c r="C27" s="13">
        <v>4</v>
      </c>
      <c r="D27" s="13">
        <v>3</v>
      </c>
      <c r="E27" s="13">
        <f t="shared" si="0"/>
        <v>12</v>
      </c>
      <c r="G27" s="8">
        <v>27</v>
      </c>
    </row>
    <row r="28" spans="1:7" x14ac:dyDescent="0.25">
      <c r="A28" s="11" t="s">
        <v>2042</v>
      </c>
      <c r="B28" s="14" t="s">
        <v>404</v>
      </c>
      <c r="C28" s="13">
        <v>4</v>
      </c>
      <c r="D28" s="13">
        <v>3</v>
      </c>
      <c r="E28" s="13">
        <f t="shared" si="0"/>
        <v>12</v>
      </c>
    </row>
    <row r="29" spans="1:7" x14ac:dyDescent="0.25">
      <c r="A29" s="11" t="s">
        <v>2043</v>
      </c>
      <c r="B29" s="14" t="s">
        <v>417</v>
      </c>
      <c r="C29" s="13">
        <v>4</v>
      </c>
      <c r="D29" s="13">
        <v>3</v>
      </c>
      <c r="E29" s="13">
        <f t="shared" si="0"/>
        <v>12</v>
      </c>
    </row>
    <row r="30" spans="1:7" x14ac:dyDescent="0.25">
      <c r="A30" s="11" t="s">
        <v>2044</v>
      </c>
      <c r="B30" s="14" t="s">
        <v>430</v>
      </c>
      <c r="C30" s="13">
        <v>4</v>
      </c>
      <c r="D30" s="13">
        <v>3</v>
      </c>
      <c r="E30" s="13">
        <f t="shared" si="0"/>
        <v>12</v>
      </c>
    </row>
    <row r="31" spans="1:7" x14ac:dyDescent="0.25">
      <c r="A31" s="11" t="s">
        <v>2045</v>
      </c>
      <c r="B31" s="12" t="s">
        <v>443</v>
      </c>
      <c r="C31" s="13">
        <v>4</v>
      </c>
      <c r="D31" s="13">
        <v>3</v>
      </c>
      <c r="E31" s="13">
        <f t="shared" si="0"/>
        <v>12</v>
      </c>
    </row>
    <row r="32" spans="1:7" x14ac:dyDescent="0.25">
      <c r="A32" s="11" t="s">
        <v>2046</v>
      </c>
      <c r="B32" s="12" t="s">
        <v>456</v>
      </c>
      <c r="C32" s="13">
        <v>4</v>
      </c>
      <c r="D32" s="13">
        <v>3</v>
      </c>
      <c r="E32" s="13">
        <f t="shared" si="0"/>
        <v>12</v>
      </c>
    </row>
    <row r="33" spans="1:7" x14ac:dyDescent="0.25">
      <c r="A33" s="11" t="s">
        <v>2047</v>
      </c>
      <c r="B33" s="12" t="s">
        <v>469</v>
      </c>
      <c r="C33" s="13">
        <v>4</v>
      </c>
      <c r="D33" s="13">
        <v>3</v>
      </c>
      <c r="E33" s="13">
        <f t="shared" si="0"/>
        <v>12</v>
      </c>
    </row>
    <row r="34" spans="1:7" x14ac:dyDescent="0.25">
      <c r="A34" s="11" t="s">
        <v>2048</v>
      </c>
      <c r="B34" s="12" t="s">
        <v>482</v>
      </c>
      <c r="C34" s="13">
        <v>4</v>
      </c>
      <c r="D34" s="13">
        <v>3</v>
      </c>
      <c r="E34" s="13">
        <f t="shared" ref="E34:E65" si="1">C34*D34</f>
        <v>12</v>
      </c>
    </row>
    <row r="35" spans="1:7" x14ac:dyDescent="0.25">
      <c r="A35" s="11" t="s">
        <v>2049</v>
      </c>
      <c r="B35" s="12" t="s">
        <v>495</v>
      </c>
      <c r="C35" s="13">
        <v>4</v>
      </c>
      <c r="D35" s="13">
        <v>3</v>
      </c>
      <c r="E35" s="13">
        <f t="shared" si="1"/>
        <v>12</v>
      </c>
    </row>
    <row r="36" spans="1:7" x14ac:dyDescent="0.25">
      <c r="A36" s="11" t="s">
        <v>2050</v>
      </c>
      <c r="B36" s="12" t="s">
        <v>508</v>
      </c>
      <c r="C36" s="13">
        <v>4</v>
      </c>
      <c r="D36" s="13">
        <v>3</v>
      </c>
      <c r="E36" s="13">
        <f t="shared" si="1"/>
        <v>12</v>
      </c>
    </row>
    <row r="37" spans="1:7" x14ac:dyDescent="0.25">
      <c r="A37" s="11" t="s">
        <v>2051</v>
      </c>
      <c r="B37" s="12" t="s">
        <v>523</v>
      </c>
      <c r="C37" s="13">
        <v>4</v>
      </c>
      <c r="D37" s="13">
        <v>3</v>
      </c>
      <c r="E37" s="13">
        <f t="shared" si="1"/>
        <v>12</v>
      </c>
    </row>
    <row r="38" spans="1:7" x14ac:dyDescent="0.25">
      <c r="A38" s="11" t="s">
        <v>2052</v>
      </c>
      <c r="B38" s="12" t="s">
        <v>536</v>
      </c>
      <c r="C38" s="13">
        <v>4</v>
      </c>
      <c r="D38" s="13">
        <v>3</v>
      </c>
      <c r="E38" s="13">
        <f t="shared" si="1"/>
        <v>12</v>
      </c>
    </row>
    <row r="39" spans="1:7" x14ac:dyDescent="0.25">
      <c r="A39" s="11" t="s">
        <v>2053</v>
      </c>
      <c r="B39" s="12" t="s">
        <v>550</v>
      </c>
      <c r="C39" s="13">
        <v>4</v>
      </c>
      <c r="D39" s="13">
        <v>3</v>
      </c>
      <c r="E39" s="13">
        <f t="shared" si="1"/>
        <v>12</v>
      </c>
    </row>
    <row r="40" spans="1:7" x14ac:dyDescent="0.25">
      <c r="A40" s="11" t="s">
        <v>2054</v>
      </c>
      <c r="B40" s="12" t="s">
        <v>564</v>
      </c>
      <c r="C40" s="13">
        <v>4</v>
      </c>
      <c r="D40" s="13">
        <v>3</v>
      </c>
      <c r="E40" s="13">
        <f t="shared" si="1"/>
        <v>12</v>
      </c>
    </row>
    <row r="41" spans="1:7" x14ac:dyDescent="0.25">
      <c r="A41" s="11" t="s">
        <v>2055</v>
      </c>
      <c r="B41" s="12" t="s">
        <v>577</v>
      </c>
      <c r="C41" s="13">
        <v>4</v>
      </c>
      <c r="D41" s="13">
        <v>3</v>
      </c>
      <c r="E41" s="13">
        <f t="shared" si="1"/>
        <v>12</v>
      </c>
    </row>
    <row r="42" spans="1:7" x14ac:dyDescent="0.25">
      <c r="A42" s="11" t="s">
        <v>2056</v>
      </c>
      <c r="B42" s="12" t="s">
        <v>590</v>
      </c>
      <c r="C42" s="13">
        <v>4</v>
      </c>
      <c r="D42" s="13">
        <v>3</v>
      </c>
      <c r="E42" s="13">
        <f t="shared" si="1"/>
        <v>12</v>
      </c>
    </row>
    <row r="43" spans="1:7" x14ac:dyDescent="0.25">
      <c r="A43" s="11" t="s">
        <v>2057</v>
      </c>
      <c r="B43" s="12" t="s">
        <v>603</v>
      </c>
      <c r="C43" s="13">
        <v>4</v>
      </c>
      <c r="D43" s="13">
        <v>3</v>
      </c>
      <c r="E43" s="13">
        <f t="shared" si="1"/>
        <v>12</v>
      </c>
    </row>
    <row r="44" spans="1:7" x14ac:dyDescent="0.25">
      <c r="A44" s="11" t="s">
        <v>2058</v>
      </c>
      <c r="B44" s="12" t="s">
        <v>616</v>
      </c>
      <c r="C44" s="13">
        <v>4</v>
      </c>
      <c r="D44" s="13">
        <v>3</v>
      </c>
      <c r="E44" s="13">
        <f t="shared" si="1"/>
        <v>12</v>
      </c>
    </row>
    <row r="45" spans="1:7" x14ac:dyDescent="0.25">
      <c r="A45" s="11" t="s">
        <v>2059</v>
      </c>
      <c r="B45" s="12" t="s">
        <v>629</v>
      </c>
      <c r="C45" s="13">
        <v>4</v>
      </c>
      <c r="D45" s="13">
        <v>3</v>
      </c>
      <c r="E45" s="13">
        <f t="shared" si="1"/>
        <v>12</v>
      </c>
    </row>
    <row r="46" spans="1:7" x14ac:dyDescent="0.25">
      <c r="A46" s="11" t="s">
        <v>2060</v>
      </c>
      <c r="B46" s="12" t="s">
        <v>642</v>
      </c>
      <c r="C46" s="13">
        <v>4</v>
      </c>
      <c r="D46" s="13">
        <v>3</v>
      </c>
      <c r="E46" s="13">
        <f t="shared" si="1"/>
        <v>12</v>
      </c>
    </row>
    <row r="47" spans="1:7" x14ac:dyDescent="0.25">
      <c r="A47" s="11" t="s">
        <v>2061</v>
      </c>
      <c r="B47" s="12" t="s">
        <v>655</v>
      </c>
      <c r="C47" s="13">
        <v>4</v>
      </c>
      <c r="D47" s="13">
        <v>3</v>
      </c>
      <c r="E47" s="13">
        <f t="shared" si="1"/>
        <v>12</v>
      </c>
    </row>
    <row r="48" spans="1:7" x14ac:dyDescent="0.25">
      <c r="A48" s="11" t="s">
        <v>2062</v>
      </c>
      <c r="B48" s="12" t="s">
        <v>668</v>
      </c>
      <c r="C48" s="13">
        <v>4</v>
      </c>
      <c r="D48" s="13">
        <v>3</v>
      </c>
      <c r="E48" s="13">
        <f t="shared" si="1"/>
        <v>12</v>
      </c>
      <c r="G48" s="8">
        <v>51</v>
      </c>
    </row>
    <row r="49" spans="1:5" x14ac:dyDescent="0.25">
      <c r="A49" s="11" t="s">
        <v>2063</v>
      </c>
      <c r="B49" s="12" t="s">
        <v>681</v>
      </c>
      <c r="C49" s="13">
        <v>4</v>
      </c>
      <c r="D49" s="13">
        <v>3</v>
      </c>
      <c r="E49" s="13">
        <f t="shared" si="1"/>
        <v>12</v>
      </c>
    </row>
    <row r="50" spans="1:5" x14ac:dyDescent="0.25">
      <c r="A50" s="11" t="s">
        <v>2064</v>
      </c>
      <c r="B50" s="12" t="s">
        <v>694</v>
      </c>
      <c r="C50" s="13">
        <v>4</v>
      </c>
      <c r="D50" s="13">
        <v>3</v>
      </c>
      <c r="E50" s="13">
        <f t="shared" si="1"/>
        <v>12</v>
      </c>
    </row>
    <row r="51" spans="1:5" x14ac:dyDescent="0.25">
      <c r="A51" s="11" t="s">
        <v>2065</v>
      </c>
      <c r="B51" s="12" t="s">
        <v>709</v>
      </c>
      <c r="C51" s="13">
        <v>4</v>
      </c>
      <c r="D51" s="13">
        <v>3</v>
      </c>
      <c r="E51" s="13">
        <f t="shared" si="1"/>
        <v>12</v>
      </c>
    </row>
    <row r="52" spans="1:5" x14ac:dyDescent="0.25">
      <c r="A52" s="11" t="s">
        <v>2066</v>
      </c>
      <c r="B52" s="12" t="s">
        <v>722</v>
      </c>
      <c r="C52" s="13">
        <v>4</v>
      </c>
      <c r="D52" s="13">
        <v>3</v>
      </c>
      <c r="E52" s="13">
        <f t="shared" si="1"/>
        <v>12</v>
      </c>
    </row>
    <row r="53" spans="1:5" x14ac:dyDescent="0.25">
      <c r="A53" s="11" t="s">
        <v>2067</v>
      </c>
      <c r="B53" s="12" t="s">
        <v>736</v>
      </c>
      <c r="C53" s="13">
        <v>4</v>
      </c>
      <c r="D53" s="13">
        <v>3</v>
      </c>
      <c r="E53" s="13">
        <f t="shared" si="1"/>
        <v>12</v>
      </c>
    </row>
    <row r="54" spans="1:5" x14ac:dyDescent="0.25">
      <c r="A54" s="11" t="s">
        <v>2068</v>
      </c>
      <c r="B54" s="12" t="s">
        <v>749</v>
      </c>
      <c r="C54" s="13">
        <v>4</v>
      </c>
      <c r="D54" s="13">
        <v>3</v>
      </c>
      <c r="E54" s="13">
        <f t="shared" si="1"/>
        <v>12</v>
      </c>
    </row>
    <row r="55" spans="1:5" x14ac:dyDescent="0.25">
      <c r="A55" s="11" t="s">
        <v>2069</v>
      </c>
      <c r="B55" s="12" t="s">
        <v>762</v>
      </c>
      <c r="C55" s="13">
        <v>4</v>
      </c>
      <c r="D55" s="13">
        <v>3</v>
      </c>
      <c r="E55" s="13">
        <f t="shared" si="1"/>
        <v>12</v>
      </c>
    </row>
    <row r="56" spans="1:5" x14ac:dyDescent="0.25">
      <c r="A56" s="11" t="s">
        <v>2070</v>
      </c>
      <c r="B56" s="12" t="s">
        <v>775</v>
      </c>
      <c r="C56" s="13">
        <v>4</v>
      </c>
      <c r="D56" s="13">
        <v>3</v>
      </c>
      <c r="E56" s="13">
        <f t="shared" si="1"/>
        <v>12</v>
      </c>
    </row>
    <row r="57" spans="1:5" x14ac:dyDescent="0.25">
      <c r="A57" s="11" t="s">
        <v>2071</v>
      </c>
      <c r="B57" s="12" t="s">
        <v>788</v>
      </c>
      <c r="C57" s="13">
        <v>4</v>
      </c>
      <c r="D57" s="13">
        <v>3</v>
      </c>
      <c r="E57" s="13">
        <f t="shared" si="1"/>
        <v>12</v>
      </c>
    </row>
    <row r="58" spans="1:5" x14ac:dyDescent="0.25">
      <c r="A58" s="11" t="s">
        <v>2072</v>
      </c>
      <c r="B58" s="12" t="s">
        <v>801</v>
      </c>
      <c r="C58" s="13">
        <v>4</v>
      </c>
      <c r="D58" s="13">
        <v>3</v>
      </c>
      <c r="E58" s="13">
        <f t="shared" si="1"/>
        <v>12</v>
      </c>
    </row>
    <row r="59" spans="1:5" x14ac:dyDescent="0.25">
      <c r="A59" s="11" t="s">
        <v>2073</v>
      </c>
      <c r="B59" s="12" t="s">
        <v>814</v>
      </c>
      <c r="C59" s="13">
        <v>4</v>
      </c>
      <c r="D59" s="13">
        <v>3</v>
      </c>
      <c r="E59" s="13">
        <f t="shared" si="1"/>
        <v>12</v>
      </c>
    </row>
    <row r="60" spans="1:5" x14ac:dyDescent="0.25">
      <c r="A60" s="11" t="s">
        <v>2074</v>
      </c>
      <c r="B60" s="12" t="s">
        <v>827</v>
      </c>
      <c r="C60" s="13">
        <v>4</v>
      </c>
      <c r="D60" s="13">
        <v>3</v>
      </c>
      <c r="E60" s="13">
        <f t="shared" si="1"/>
        <v>12</v>
      </c>
    </row>
    <row r="61" spans="1:5" x14ac:dyDescent="0.25">
      <c r="A61" s="11" t="s">
        <v>2075</v>
      </c>
      <c r="B61" s="12" t="s">
        <v>840</v>
      </c>
      <c r="C61" s="13">
        <v>4</v>
      </c>
      <c r="D61" s="13">
        <v>3</v>
      </c>
      <c r="E61" s="13">
        <f t="shared" si="1"/>
        <v>12</v>
      </c>
    </row>
    <row r="62" spans="1:5" x14ac:dyDescent="0.25">
      <c r="A62" s="11" t="s">
        <v>2076</v>
      </c>
      <c r="B62" s="12" t="s">
        <v>853</v>
      </c>
      <c r="C62" s="13">
        <v>4</v>
      </c>
      <c r="D62" s="13">
        <v>3</v>
      </c>
      <c r="E62" s="13">
        <f t="shared" si="1"/>
        <v>12</v>
      </c>
    </row>
    <row r="63" spans="1:5" x14ac:dyDescent="0.25">
      <c r="A63" s="11" t="s">
        <v>2077</v>
      </c>
      <c r="B63" s="12" t="s">
        <v>866</v>
      </c>
      <c r="C63" s="13">
        <v>4</v>
      </c>
      <c r="D63" s="13">
        <v>3</v>
      </c>
      <c r="E63" s="13">
        <f t="shared" si="1"/>
        <v>12</v>
      </c>
    </row>
    <row r="64" spans="1:5" x14ac:dyDescent="0.25">
      <c r="A64" s="11" t="s">
        <v>2078</v>
      </c>
      <c r="B64" s="12" t="s">
        <v>880</v>
      </c>
      <c r="C64" s="13">
        <v>4</v>
      </c>
      <c r="D64" s="13">
        <v>3</v>
      </c>
      <c r="E64" s="13">
        <f t="shared" si="1"/>
        <v>12</v>
      </c>
    </row>
    <row r="65" spans="1:5" x14ac:dyDescent="0.25">
      <c r="A65" s="11" t="s">
        <v>2079</v>
      </c>
      <c r="B65" s="12" t="s">
        <v>893</v>
      </c>
      <c r="C65" s="13">
        <v>4</v>
      </c>
      <c r="D65" s="13">
        <v>3</v>
      </c>
      <c r="E65" s="13">
        <f t="shared" si="1"/>
        <v>12</v>
      </c>
    </row>
    <row r="66" spans="1:5" x14ac:dyDescent="0.25">
      <c r="A66" s="11" t="s">
        <v>2080</v>
      </c>
      <c r="B66" s="12" t="s">
        <v>907</v>
      </c>
      <c r="C66" s="13">
        <v>4</v>
      </c>
      <c r="D66" s="13">
        <v>3</v>
      </c>
      <c r="E66" s="13">
        <f t="shared" ref="E66:E97" si="2">C66*D66</f>
        <v>12</v>
      </c>
    </row>
    <row r="67" spans="1:5" x14ac:dyDescent="0.25">
      <c r="A67" s="11" t="s">
        <v>2081</v>
      </c>
      <c r="B67" s="12" t="s">
        <v>920</v>
      </c>
      <c r="C67" s="13">
        <v>4</v>
      </c>
      <c r="D67" s="13">
        <v>3</v>
      </c>
      <c r="E67" s="13">
        <f t="shared" si="2"/>
        <v>12</v>
      </c>
    </row>
    <row r="68" spans="1:5" x14ac:dyDescent="0.25">
      <c r="A68" s="11" t="s">
        <v>2082</v>
      </c>
      <c r="B68" s="12" t="s">
        <v>933</v>
      </c>
      <c r="C68" s="13">
        <v>4</v>
      </c>
      <c r="D68" s="13">
        <v>3</v>
      </c>
      <c r="E68" s="13">
        <f t="shared" si="2"/>
        <v>12</v>
      </c>
    </row>
    <row r="69" spans="1:5" x14ac:dyDescent="0.25">
      <c r="A69" s="11" t="s">
        <v>2083</v>
      </c>
      <c r="B69" s="12" t="s">
        <v>946</v>
      </c>
      <c r="C69" s="13">
        <v>4</v>
      </c>
      <c r="D69" s="13">
        <v>3</v>
      </c>
      <c r="E69" s="13">
        <f t="shared" si="2"/>
        <v>12</v>
      </c>
    </row>
    <row r="70" spans="1:5" x14ac:dyDescent="0.25">
      <c r="A70" s="11" t="s">
        <v>2084</v>
      </c>
      <c r="B70" s="12" t="s">
        <v>959</v>
      </c>
      <c r="C70" s="13">
        <v>4</v>
      </c>
      <c r="D70" s="13">
        <v>3</v>
      </c>
      <c r="E70" s="13">
        <f t="shared" si="2"/>
        <v>12</v>
      </c>
    </row>
    <row r="71" spans="1:5" x14ac:dyDescent="0.25">
      <c r="A71" s="11" t="s">
        <v>2085</v>
      </c>
      <c r="B71" s="12" t="s">
        <v>972</v>
      </c>
      <c r="C71" s="13">
        <v>4</v>
      </c>
      <c r="D71" s="13">
        <v>3</v>
      </c>
      <c r="E71" s="13">
        <f t="shared" si="2"/>
        <v>12</v>
      </c>
    </row>
    <row r="72" spans="1:5" x14ac:dyDescent="0.25">
      <c r="A72" s="11" t="s">
        <v>2086</v>
      </c>
      <c r="B72" s="12" t="s">
        <v>985</v>
      </c>
      <c r="C72" s="13">
        <v>4</v>
      </c>
      <c r="D72" s="13">
        <v>3</v>
      </c>
      <c r="E72" s="13">
        <f t="shared" si="2"/>
        <v>12</v>
      </c>
    </row>
    <row r="73" spans="1:5" x14ac:dyDescent="0.25">
      <c r="A73" s="11" t="s">
        <v>2087</v>
      </c>
      <c r="B73" s="12" t="s">
        <v>998</v>
      </c>
      <c r="C73" s="13">
        <v>4</v>
      </c>
      <c r="D73" s="13">
        <v>3</v>
      </c>
      <c r="E73" s="13">
        <f t="shared" si="2"/>
        <v>12</v>
      </c>
    </row>
    <row r="74" spans="1:5" x14ac:dyDescent="0.25">
      <c r="A74" s="11" t="s">
        <v>2088</v>
      </c>
      <c r="B74" s="12" t="s">
        <v>1013</v>
      </c>
      <c r="C74" s="13">
        <v>4</v>
      </c>
      <c r="D74" s="13">
        <v>3</v>
      </c>
      <c r="E74" s="13">
        <f t="shared" si="2"/>
        <v>12</v>
      </c>
    </row>
    <row r="75" spans="1:5" x14ac:dyDescent="0.25">
      <c r="A75" s="11" t="s">
        <v>2089</v>
      </c>
      <c r="B75" s="12" t="s">
        <v>1027</v>
      </c>
      <c r="C75" s="13">
        <v>4</v>
      </c>
      <c r="D75" s="13">
        <v>3</v>
      </c>
      <c r="E75" s="13">
        <f t="shared" si="2"/>
        <v>12</v>
      </c>
    </row>
    <row r="76" spans="1:5" x14ac:dyDescent="0.25">
      <c r="A76" s="11" t="s">
        <v>2090</v>
      </c>
      <c r="B76" s="12" t="s">
        <v>1042</v>
      </c>
      <c r="C76" s="13">
        <v>4</v>
      </c>
      <c r="D76" s="13">
        <v>3</v>
      </c>
      <c r="E76" s="13">
        <f t="shared" si="2"/>
        <v>12</v>
      </c>
    </row>
    <row r="77" spans="1:5" x14ac:dyDescent="0.25">
      <c r="A77" s="11" t="s">
        <v>2091</v>
      </c>
      <c r="B77" s="12" t="s">
        <v>1056</v>
      </c>
      <c r="C77" s="13">
        <v>4</v>
      </c>
      <c r="D77" s="13">
        <v>3</v>
      </c>
      <c r="E77" s="13">
        <f t="shared" si="2"/>
        <v>12</v>
      </c>
    </row>
    <row r="78" spans="1:5" x14ac:dyDescent="0.25">
      <c r="A78" s="11" t="s">
        <v>2092</v>
      </c>
      <c r="B78" s="12" t="s">
        <v>1069</v>
      </c>
      <c r="C78" s="13">
        <v>4</v>
      </c>
      <c r="D78" s="13">
        <v>3</v>
      </c>
      <c r="E78" s="13">
        <f t="shared" si="2"/>
        <v>12</v>
      </c>
    </row>
    <row r="79" spans="1:5" x14ac:dyDescent="0.25">
      <c r="A79" s="11" t="s">
        <v>2093</v>
      </c>
      <c r="B79" s="12" t="s">
        <v>1082</v>
      </c>
      <c r="C79" s="13">
        <v>4</v>
      </c>
      <c r="D79" s="13">
        <v>3</v>
      </c>
      <c r="E79" s="13">
        <f t="shared" si="2"/>
        <v>12</v>
      </c>
    </row>
    <row r="80" spans="1:5" x14ac:dyDescent="0.25">
      <c r="A80" s="11" t="s">
        <v>2094</v>
      </c>
      <c r="B80" s="12" t="s">
        <v>1095</v>
      </c>
      <c r="C80" s="13">
        <v>4</v>
      </c>
      <c r="D80" s="13">
        <v>3</v>
      </c>
      <c r="E80" s="13">
        <f t="shared" si="2"/>
        <v>12</v>
      </c>
    </row>
    <row r="81" spans="1:5" x14ac:dyDescent="0.25">
      <c r="A81" s="11" t="s">
        <v>2095</v>
      </c>
      <c r="B81" s="12" t="s">
        <v>1108</v>
      </c>
      <c r="C81" s="13">
        <v>4</v>
      </c>
      <c r="D81" s="13">
        <v>3</v>
      </c>
      <c r="E81" s="13">
        <f t="shared" si="2"/>
        <v>12</v>
      </c>
    </row>
    <row r="82" spans="1:5" x14ac:dyDescent="0.25">
      <c r="A82" s="11" t="s">
        <v>2096</v>
      </c>
      <c r="B82" s="12" t="s">
        <v>1121</v>
      </c>
      <c r="C82" s="13">
        <v>4</v>
      </c>
      <c r="D82" s="13">
        <v>3</v>
      </c>
      <c r="E82" s="13">
        <f t="shared" si="2"/>
        <v>12</v>
      </c>
    </row>
    <row r="83" spans="1:5" x14ac:dyDescent="0.25">
      <c r="A83" s="11" t="s">
        <v>2097</v>
      </c>
      <c r="B83" s="12" t="s">
        <v>1135</v>
      </c>
      <c r="C83" s="13">
        <v>4</v>
      </c>
      <c r="D83" s="13">
        <v>3</v>
      </c>
      <c r="E83" s="13">
        <f t="shared" si="2"/>
        <v>12</v>
      </c>
    </row>
    <row r="84" spans="1:5" x14ac:dyDescent="0.25">
      <c r="A84" s="11" t="s">
        <v>2098</v>
      </c>
      <c r="B84" s="12" t="s">
        <v>1148</v>
      </c>
      <c r="C84" s="13">
        <v>4</v>
      </c>
      <c r="D84" s="13">
        <v>3</v>
      </c>
      <c r="E84" s="13">
        <f t="shared" si="2"/>
        <v>12</v>
      </c>
    </row>
    <row r="85" spans="1:5" x14ac:dyDescent="0.25">
      <c r="A85" s="11" t="s">
        <v>2099</v>
      </c>
      <c r="B85" s="12" t="s">
        <v>1161</v>
      </c>
      <c r="C85" s="13">
        <v>4</v>
      </c>
      <c r="D85" s="13">
        <v>3</v>
      </c>
      <c r="E85" s="13">
        <f t="shared" si="2"/>
        <v>12</v>
      </c>
    </row>
    <row r="86" spans="1:5" x14ac:dyDescent="0.25">
      <c r="A86" s="11" t="s">
        <v>2100</v>
      </c>
      <c r="B86" s="14" t="s">
        <v>1174</v>
      </c>
      <c r="C86" s="13">
        <v>4</v>
      </c>
      <c r="D86" s="13">
        <v>3</v>
      </c>
      <c r="E86" s="13">
        <f t="shared" si="2"/>
        <v>12</v>
      </c>
    </row>
    <row r="87" spans="1:5" x14ac:dyDescent="0.25">
      <c r="A87" s="11" t="s">
        <v>2101</v>
      </c>
      <c r="B87" s="12" t="s">
        <v>1187</v>
      </c>
      <c r="C87" s="13">
        <v>4</v>
      </c>
      <c r="D87" s="13">
        <v>3</v>
      </c>
      <c r="E87" s="13">
        <f t="shared" si="2"/>
        <v>12</v>
      </c>
    </row>
    <row r="88" spans="1:5" x14ac:dyDescent="0.25">
      <c r="A88" s="11" t="s">
        <v>2102</v>
      </c>
      <c r="B88" s="12" t="s">
        <v>1200</v>
      </c>
      <c r="C88" s="13">
        <v>4</v>
      </c>
      <c r="D88" s="13">
        <v>3</v>
      </c>
      <c r="E88" s="13">
        <f t="shared" si="2"/>
        <v>12</v>
      </c>
    </row>
    <row r="89" spans="1:5" x14ac:dyDescent="0.25">
      <c r="A89" s="11" t="s">
        <v>2103</v>
      </c>
      <c r="B89" s="12" t="s">
        <v>1213</v>
      </c>
      <c r="C89" s="13">
        <v>4</v>
      </c>
      <c r="D89" s="13">
        <v>3</v>
      </c>
      <c r="E89" s="13">
        <f t="shared" si="2"/>
        <v>12</v>
      </c>
    </row>
    <row r="90" spans="1:5" x14ac:dyDescent="0.25">
      <c r="A90" s="11" t="s">
        <v>2104</v>
      </c>
      <c r="B90" s="12" t="s">
        <v>1226</v>
      </c>
      <c r="C90" s="13">
        <v>4</v>
      </c>
      <c r="D90" s="13">
        <v>3</v>
      </c>
      <c r="E90" s="13">
        <f t="shared" si="2"/>
        <v>12</v>
      </c>
    </row>
    <row r="91" spans="1:5" x14ac:dyDescent="0.25">
      <c r="A91" s="11" t="s">
        <v>2105</v>
      </c>
      <c r="B91" s="12" t="s">
        <v>1239</v>
      </c>
      <c r="C91" s="13">
        <v>4</v>
      </c>
      <c r="D91" s="13">
        <v>3</v>
      </c>
      <c r="E91" s="13">
        <f t="shared" si="2"/>
        <v>12</v>
      </c>
    </row>
    <row r="92" spans="1:5" x14ac:dyDescent="0.25">
      <c r="A92" s="11" t="s">
        <v>2106</v>
      </c>
      <c r="B92" s="14" t="s">
        <v>1252</v>
      </c>
      <c r="C92" s="13">
        <v>4</v>
      </c>
      <c r="D92" s="13">
        <v>3</v>
      </c>
      <c r="E92" s="13">
        <f t="shared" si="2"/>
        <v>12</v>
      </c>
    </row>
    <row r="93" spans="1:5" x14ac:dyDescent="0.25">
      <c r="A93" s="11" t="s">
        <v>2107</v>
      </c>
      <c r="B93" s="14" t="s">
        <v>1266</v>
      </c>
      <c r="C93" s="13">
        <v>4</v>
      </c>
      <c r="D93" s="13">
        <v>3</v>
      </c>
      <c r="E93" s="13">
        <f t="shared" si="2"/>
        <v>12</v>
      </c>
    </row>
    <row r="94" spans="1:5" x14ac:dyDescent="0.25">
      <c r="A94" s="11" t="s">
        <v>2108</v>
      </c>
      <c r="B94" s="14" t="s">
        <v>1279</v>
      </c>
      <c r="C94" s="13">
        <v>4</v>
      </c>
      <c r="D94" s="13">
        <v>3</v>
      </c>
      <c r="E94" s="13">
        <f t="shared" si="2"/>
        <v>12</v>
      </c>
    </row>
    <row r="95" spans="1:5" x14ac:dyDescent="0.25">
      <c r="A95" s="11" t="s">
        <v>2109</v>
      </c>
      <c r="B95" s="15" t="s">
        <v>1292</v>
      </c>
      <c r="C95" s="13">
        <v>4</v>
      </c>
      <c r="D95" s="13">
        <v>3</v>
      </c>
      <c r="E95" s="13">
        <f t="shared" si="2"/>
        <v>12</v>
      </c>
    </row>
    <row r="96" spans="1:5" x14ac:dyDescent="0.25">
      <c r="A96" s="11" t="s">
        <v>2110</v>
      </c>
      <c r="B96" s="15" t="s">
        <v>1305</v>
      </c>
      <c r="C96" s="13">
        <v>4</v>
      </c>
      <c r="D96" s="13">
        <v>3</v>
      </c>
      <c r="E96" s="13">
        <f t="shared" si="2"/>
        <v>12</v>
      </c>
    </row>
    <row r="97" spans="1:5" x14ac:dyDescent="0.25">
      <c r="A97" s="11" t="s">
        <v>2111</v>
      </c>
      <c r="B97" s="16" t="s">
        <v>1318</v>
      </c>
      <c r="C97" s="13">
        <v>4</v>
      </c>
      <c r="D97" s="13">
        <v>3</v>
      </c>
      <c r="E97" s="13">
        <f t="shared" si="2"/>
        <v>12</v>
      </c>
    </row>
    <row r="98" spans="1:5" x14ac:dyDescent="0.25">
      <c r="A98" s="11" t="s">
        <v>2112</v>
      </c>
      <c r="B98" s="15" t="s">
        <v>1332</v>
      </c>
      <c r="C98" s="13">
        <v>4</v>
      </c>
      <c r="D98" s="13">
        <v>3</v>
      </c>
      <c r="E98" s="13">
        <f t="shared" ref="E98:E118" si="3">C98*D98</f>
        <v>12</v>
      </c>
    </row>
    <row r="99" spans="1:5" x14ac:dyDescent="0.25">
      <c r="A99" s="11" t="s">
        <v>2113</v>
      </c>
      <c r="B99" s="16" t="s">
        <v>1345</v>
      </c>
      <c r="C99" s="13">
        <v>4</v>
      </c>
      <c r="D99" s="13">
        <v>3</v>
      </c>
      <c r="E99" s="13">
        <f t="shared" si="3"/>
        <v>12</v>
      </c>
    </row>
    <row r="100" spans="1:5" x14ac:dyDescent="0.25">
      <c r="A100" s="11" t="s">
        <v>2114</v>
      </c>
      <c r="B100" s="15" t="s">
        <v>1358</v>
      </c>
      <c r="C100" s="13">
        <v>4</v>
      </c>
      <c r="D100" s="13">
        <v>3</v>
      </c>
      <c r="E100" s="13">
        <f t="shared" si="3"/>
        <v>12</v>
      </c>
    </row>
    <row r="101" spans="1:5" x14ac:dyDescent="0.25">
      <c r="A101" s="11" t="s">
        <v>2115</v>
      </c>
      <c r="B101" s="12" t="s">
        <v>1371</v>
      </c>
      <c r="C101" s="13">
        <v>4</v>
      </c>
      <c r="D101" s="13">
        <v>3</v>
      </c>
      <c r="E101" s="13">
        <f t="shared" si="3"/>
        <v>12</v>
      </c>
    </row>
    <row r="102" spans="1:5" x14ac:dyDescent="0.25">
      <c r="A102" s="11" t="s">
        <v>2116</v>
      </c>
      <c r="B102" s="12" t="s">
        <v>1384</v>
      </c>
      <c r="C102" s="13">
        <v>4</v>
      </c>
      <c r="D102" s="13">
        <v>3</v>
      </c>
      <c r="E102" s="13">
        <f t="shared" si="3"/>
        <v>12</v>
      </c>
    </row>
    <row r="103" spans="1:5" x14ac:dyDescent="0.25">
      <c r="A103" s="11" t="s">
        <v>2117</v>
      </c>
      <c r="B103" s="12" t="s">
        <v>1398</v>
      </c>
      <c r="C103" s="13">
        <v>4</v>
      </c>
      <c r="D103" s="13">
        <v>3</v>
      </c>
      <c r="E103" s="13">
        <f t="shared" si="3"/>
        <v>12</v>
      </c>
    </row>
    <row r="104" spans="1:5" x14ac:dyDescent="0.25">
      <c r="A104" s="11" t="s">
        <v>2118</v>
      </c>
      <c r="B104" s="12" t="s">
        <v>1411</v>
      </c>
      <c r="C104" s="13">
        <v>4</v>
      </c>
      <c r="D104" s="13">
        <v>3</v>
      </c>
      <c r="E104" s="13">
        <f t="shared" si="3"/>
        <v>12</v>
      </c>
    </row>
    <row r="105" spans="1:5" x14ac:dyDescent="0.25">
      <c r="A105" s="11" t="s">
        <v>2119</v>
      </c>
      <c r="B105" s="12" t="s">
        <v>1424</v>
      </c>
      <c r="C105" s="13">
        <v>4</v>
      </c>
      <c r="D105" s="13">
        <v>3</v>
      </c>
      <c r="E105" s="13">
        <f t="shared" si="3"/>
        <v>12</v>
      </c>
    </row>
    <row r="106" spans="1:5" x14ac:dyDescent="0.25">
      <c r="A106" s="11" t="s">
        <v>2120</v>
      </c>
      <c r="B106" s="12" t="s">
        <v>1439</v>
      </c>
      <c r="C106" s="13">
        <v>4</v>
      </c>
      <c r="D106" s="13">
        <v>3</v>
      </c>
      <c r="E106" s="13">
        <f t="shared" si="3"/>
        <v>12</v>
      </c>
    </row>
    <row r="107" spans="1:5" x14ac:dyDescent="0.25">
      <c r="A107" s="11" t="s">
        <v>2121</v>
      </c>
      <c r="B107" s="12" t="s">
        <v>1452</v>
      </c>
      <c r="C107" s="13">
        <v>4</v>
      </c>
      <c r="D107" s="13">
        <v>3</v>
      </c>
      <c r="E107" s="13">
        <f t="shared" si="3"/>
        <v>12</v>
      </c>
    </row>
    <row r="108" spans="1:5" x14ac:dyDescent="0.25">
      <c r="A108" s="11" t="s">
        <v>2122</v>
      </c>
      <c r="B108" s="12" t="s">
        <v>1466</v>
      </c>
      <c r="C108" s="13">
        <v>4</v>
      </c>
      <c r="D108" s="13">
        <v>3</v>
      </c>
      <c r="E108" s="13">
        <f t="shared" si="3"/>
        <v>12</v>
      </c>
    </row>
    <row r="109" spans="1:5" x14ac:dyDescent="0.25">
      <c r="A109" s="13" t="s">
        <v>2123</v>
      </c>
      <c r="B109" s="12" t="s">
        <v>1479</v>
      </c>
      <c r="C109" s="13">
        <v>4</v>
      </c>
      <c r="D109" s="13">
        <v>3</v>
      </c>
      <c r="E109" s="13">
        <f t="shared" si="3"/>
        <v>12</v>
      </c>
    </row>
    <row r="110" spans="1:5" x14ac:dyDescent="0.25">
      <c r="A110" s="11" t="s">
        <v>2124</v>
      </c>
      <c r="B110" s="12" t="s">
        <v>1493</v>
      </c>
      <c r="C110" s="13">
        <v>4</v>
      </c>
      <c r="D110" s="13">
        <v>3</v>
      </c>
      <c r="E110" s="13">
        <f t="shared" si="3"/>
        <v>12</v>
      </c>
    </row>
    <row r="111" spans="1:5" x14ac:dyDescent="0.25">
      <c r="A111" s="11" t="s">
        <v>2125</v>
      </c>
      <c r="B111" s="12" t="s">
        <v>1506</v>
      </c>
      <c r="C111" s="13">
        <v>4</v>
      </c>
      <c r="D111" s="13">
        <v>3</v>
      </c>
      <c r="E111" s="13">
        <f t="shared" si="3"/>
        <v>12</v>
      </c>
    </row>
    <row r="112" spans="1:5" x14ac:dyDescent="0.25">
      <c r="A112" s="11" t="s">
        <v>2126</v>
      </c>
      <c r="B112" s="12" t="s">
        <v>1519</v>
      </c>
      <c r="C112" s="13">
        <v>4</v>
      </c>
      <c r="D112" s="13">
        <v>3</v>
      </c>
      <c r="E112" s="13">
        <f t="shared" si="3"/>
        <v>12</v>
      </c>
    </row>
    <row r="113" spans="1:5" x14ac:dyDescent="0.25">
      <c r="A113" s="11" t="s">
        <v>2127</v>
      </c>
      <c r="B113" s="12" t="s">
        <v>1532</v>
      </c>
      <c r="C113" s="13">
        <v>4</v>
      </c>
      <c r="D113" s="13">
        <v>3</v>
      </c>
      <c r="E113" s="13">
        <f t="shared" si="3"/>
        <v>12</v>
      </c>
    </row>
    <row r="114" spans="1:5" x14ac:dyDescent="0.25">
      <c r="A114" s="11" t="s">
        <v>2128</v>
      </c>
      <c r="B114" s="12" t="s">
        <v>1551</v>
      </c>
      <c r="C114" s="13">
        <v>4</v>
      </c>
      <c r="D114" s="13">
        <v>3</v>
      </c>
      <c r="E114" s="13">
        <f t="shared" si="3"/>
        <v>12</v>
      </c>
    </row>
    <row r="115" spans="1:5" x14ac:dyDescent="0.25">
      <c r="A115" s="11" t="s">
        <v>2129</v>
      </c>
      <c r="B115" s="12" t="s">
        <v>1564</v>
      </c>
      <c r="C115" s="13">
        <v>4</v>
      </c>
      <c r="D115" s="13">
        <v>3</v>
      </c>
      <c r="E115" s="13">
        <f t="shared" si="3"/>
        <v>12</v>
      </c>
    </row>
    <row r="116" spans="1:5" x14ac:dyDescent="0.25">
      <c r="A116" s="11" t="s">
        <v>2130</v>
      </c>
      <c r="B116" s="12" t="s">
        <v>1577</v>
      </c>
      <c r="C116" s="13">
        <v>4</v>
      </c>
      <c r="D116" s="13">
        <v>3</v>
      </c>
      <c r="E116" s="13">
        <f t="shared" si="3"/>
        <v>12</v>
      </c>
    </row>
    <row r="117" spans="1:5" x14ac:dyDescent="0.25">
      <c r="A117" s="11" t="s">
        <v>2131</v>
      </c>
      <c r="B117" s="12" t="s">
        <v>1593</v>
      </c>
      <c r="C117" s="13">
        <v>4</v>
      </c>
      <c r="D117" s="13">
        <v>3</v>
      </c>
      <c r="E117" s="13">
        <f t="shared" si="3"/>
        <v>12</v>
      </c>
    </row>
    <row r="118" spans="1:5" x14ac:dyDescent="0.25">
      <c r="A118" s="11" t="s">
        <v>2132</v>
      </c>
      <c r="B118" s="12" t="s">
        <v>1606</v>
      </c>
      <c r="C118" s="13">
        <v>4</v>
      </c>
      <c r="D118" s="13">
        <v>3</v>
      </c>
      <c r="E118" s="13">
        <f t="shared" si="3"/>
        <v>12</v>
      </c>
    </row>
    <row r="119" spans="1:5" x14ac:dyDescent="0.25">
      <c r="A119" s="13" t="s">
        <v>2133</v>
      </c>
      <c r="B119" s="12" t="s">
        <v>1619</v>
      </c>
      <c r="C119" s="13">
        <v>4</v>
      </c>
      <c r="D119" s="13">
        <v>3</v>
      </c>
      <c r="E119" s="13">
        <f t="shared" ref="E119:E123" si="4">C119*D119</f>
        <v>12</v>
      </c>
    </row>
    <row r="120" spans="1:5" x14ac:dyDescent="0.25">
      <c r="A120" s="13" t="s">
        <v>2134</v>
      </c>
      <c r="B120" s="12" t="s">
        <v>2135</v>
      </c>
      <c r="C120" s="13">
        <v>4</v>
      </c>
      <c r="D120" s="13">
        <v>3</v>
      </c>
      <c r="E120" s="13">
        <f t="shared" si="4"/>
        <v>12</v>
      </c>
    </row>
    <row r="121" spans="1:5" x14ac:dyDescent="0.25">
      <c r="A121" s="13" t="s">
        <v>2136</v>
      </c>
      <c r="B121" s="12" t="s">
        <v>1675</v>
      </c>
      <c r="C121" s="13">
        <v>4</v>
      </c>
      <c r="D121" s="13">
        <v>3</v>
      </c>
      <c r="E121" s="13">
        <f t="shared" si="4"/>
        <v>12</v>
      </c>
    </row>
    <row r="122" spans="1:5" x14ac:dyDescent="0.25">
      <c r="A122" s="13" t="s">
        <v>2137</v>
      </c>
      <c r="B122" s="12" t="s">
        <v>1649</v>
      </c>
      <c r="C122" s="13">
        <v>8</v>
      </c>
      <c r="D122" s="13">
        <v>3</v>
      </c>
      <c r="E122" s="13">
        <f t="shared" si="4"/>
        <v>24</v>
      </c>
    </row>
    <row r="123" spans="1:5" x14ac:dyDescent="0.25">
      <c r="A123" s="13" t="s">
        <v>2138</v>
      </c>
      <c r="B123" s="12" t="s">
        <v>1688</v>
      </c>
      <c r="C123" s="13">
        <v>4</v>
      </c>
      <c r="D123" s="13">
        <v>3</v>
      </c>
      <c r="E123" s="13">
        <f t="shared" si="4"/>
        <v>12</v>
      </c>
    </row>
    <row r="124" spans="1:5" x14ac:dyDescent="0.25">
      <c r="A124" s="13"/>
      <c r="B124" s="12"/>
      <c r="C124" s="13"/>
      <c r="D124" s="13"/>
      <c r="E124" s="13">
        <f>SUM(E1:E123)</f>
        <v>1476</v>
      </c>
    </row>
    <row r="125" spans="1:5" x14ac:dyDescent="0.25">
      <c r="A125" s="11"/>
      <c r="B125" s="12"/>
      <c r="C125" s="11"/>
      <c r="D125" s="13"/>
      <c r="E125" s="13"/>
    </row>
    <row r="126" spans="1:5" x14ac:dyDescent="0.25">
      <c r="A126" s="10"/>
      <c r="C126" s="10"/>
    </row>
    <row r="127" spans="1:5" x14ac:dyDescent="0.25">
      <c r="A127" s="10"/>
      <c r="C127" s="10"/>
    </row>
    <row r="128" spans="1:5" x14ac:dyDescent="0.25">
      <c r="A128" s="10"/>
      <c r="C128" s="10"/>
    </row>
    <row r="129" spans="1:3" x14ac:dyDescent="0.25">
      <c r="A129" s="10"/>
      <c r="C129" s="10"/>
    </row>
    <row r="130" spans="1:3" x14ac:dyDescent="0.25">
      <c r="A130" s="10"/>
      <c r="C130" s="10"/>
    </row>
    <row r="131" spans="1:3" x14ac:dyDescent="0.25">
      <c r="A131" s="10"/>
      <c r="C131" s="10"/>
    </row>
    <row r="132" spans="1:3" x14ac:dyDescent="0.25">
      <c r="A132" s="10"/>
      <c r="C132" s="10"/>
    </row>
    <row r="133" spans="1:3" x14ac:dyDescent="0.25">
      <c r="A133" s="10"/>
      <c r="C133" s="10"/>
    </row>
    <row r="134" spans="1:3" x14ac:dyDescent="0.25">
      <c r="A134" s="10"/>
      <c r="C134" s="10"/>
    </row>
    <row r="135" spans="1:3" x14ac:dyDescent="0.25">
      <c r="A135" s="10"/>
      <c r="C135" s="10"/>
    </row>
    <row r="136" spans="1:3" x14ac:dyDescent="0.25">
      <c r="A136" s="10"/>
      <c r="C136" s="10"/>
    </row>
    <row r="137" spans="1:3" x14ac:dyDescent="0.25">
      <c r="A137" s="10"/>
      <c r="C137" s="10"/>
    </row>
    <row r="138" spans="1:3" x14ac:dyDescent="0.25">
      <c r="A138" s="10"/>
      <c r="C138" s="10"/>
    </row>
    <row r="139" spans="1:3" x14ac:dyDescent="0.25">
      <c r="A139" s="10"/>
      <c r="C139" s="10"/>
    </row>
    <row r="140" spans="1:3" x14ac:dyDescent="0.25">
      <c r="A140" s="10"/>
      <c r="C140" s="10"/>
    </row>
    <row r="141" spans="1:3" x14ac:dyDescent="0.25">
      <c r="A141" s="10"/>
      <c r="C141" s="10"/>
    </row>
    <row r="142" spans="1:3" x14ac:dyDescent="0.25">
      <c r="A142" s="10"/>
      <c r="C142" s="10"/>
    </row>
    <row r="143" spans="1:3" x14ac:dyDescent="0.25">
      <c r="A143" s="10"/>
      <c r="C143" s="10"/>
    </row>
    <row r="144" spans="1:3" x14ac:dyDescent="0.25">
      <c r="A144" s="10"/>
      <c r="C144" s="10"/>
    </row>
    <row r="145" spans="1:3" x14ac:dyDescent="0.25">
      <c r="A145" s="10"/>
      <c r="C145" s="10"/>
    </row>
    <row r="146" spans="1:3" x14ac:dyDescent="0.25">
      <c r="A146" s="10"/>
      <c r="C146" s="10"/>
    </row>
    <row r="147" spans="1:3" x14ac:dyDescent="0.25">
      <c r="A147" s="10"/>
      <c r="C147" s="10"/>
    </row>
    <row r="148" spans="1:3" x14ac:dyDescent="0.25">
      <c r="A148" s="10"/>
      <c r="C148" s="10"/>
    </row>
    <row r="149" spans="1:3" x14ac:dyDescent="0.25">
      <c r="A149" s="10"/>
      <c r="C149" s="10"/>
    </row>
    <row r="150" spans="1:3" x14ac:dyDescent="0.25">
      <c r="A150" s="10"/>
      <c r="C150" s="10"/>
    </row>
    <row r="151" spans="1:3" x14ac:dyDescent="0.25">
      <c r="A151" s="10"/>
      <c r="C151" s="10"/>
    </row>
    <row r="152" spans="1:3" x14ac:dyDescent="0.25">
      <c r="A152" s="10"/>
      <c r="C152" s="10"/>
    </row>
    <row r="153" spans="1:3" x14ac:dyDescent="0.25">
      <c r="A153" s="10"/>
      <c r="C153" s="10"/>
    </row>
    <row r="154" spans="1:3" x14ac:dyDescent="0.25">
      <c r="A154" s="10"/>
      <c r="C154" s="10"/>
    </row>
    <row r="155" spans="1:3" x14ac:dyDescent="0.25">
      <c r="A155" s="10"/>
      <c r="C155" s="10"/>
    </row>
    <row r="156" spans="1:3" x14ac:dyDescent="0.25">
      <c r="A156" s="10"/>
      <c r="C156" s="10"/>
    </row>
    <row r="157" spans="1:3" x14ac:dyDescent="0.25">
      <c r="A157" s="10"/>
      <c r="C157" s="10"/>
    </row>
    <row r="158" spans="1:3" x14ac:dyDescent="0.25">
      <c r="A158" s="10"/>
      <c r="C158" s="10"/>
    </row>
    <row r="159" spans="1:3" x14ac:dyDescent="0.25">
      <c r="A159" s="10"/>
      <c r="C159" s="10"/>
    </row>
    <row r="160" spans="1:3" x14ac:dyDescent="0.25">
      <c r="A160" s="10"/>
      <c r="C160" s="10"/>
    </row>
    <row r="161" spans="1:3" x14ac:dyDescent="0.25">
      <c r="A161" s="10"/>
      <c r="C161" s="10"/>
    </row>
    <row r="162" spans="1:3" x14ac:dyDescent="0.25">
      <c r="A162" s="10"/>
      <c r="C162" s="10"/>
    </row>
    <row r="163" spans="1:3" x14ac:dyDescent="0.25">
      <c r="A163" s="10"/>
      <c r="C163" s="10"/>
    </row>
    <row r="164" spans="1:3" x14ac:dyDescent="0.25">
      <c r="A164" s="10"/>
      <c r="C164" s="10"/>
    </row>
    <row r="165" spans="1:3" x14ac:dyDescent="0.25">
      <c r="A165" s="10"/>
      <c r="C165" s="10"/>
    </row>
    <row r="166" spans="1:3" x14ac:dyDescent="0.25">
      <c r="A166" s="10"/>
      <c r="C166" s="10"/>
    </row>
    <row r="167" spans="1:3" x14ac:dyDescent="0.25">
      <c r="A167" s="10"/>
      <c r="C167" s="10"/>
    </row>
    <row r="168" spans="1:3" x14ac:dyDescent="0.25">
      <c r="A168" s="10"/>
      <c r="C168" s="10"/>
    </row>
    <row r="169" spans="1:3" x14ac:dyDescent="0.25">
      <c r="A169" s="10"/>
      <c r="C169" s="10"/>
    </row>
    <row r="170" spans="1:3" x14ac:dyDescent="0.25">
      <c r="A170" s="10"/>
      <c r="C170" s="10"/>
    </row>
  </sheetData>
  <sortState xmlns:xlrd2="http://schemas.microsoft.com/office/spreadsheetml/2017/richdata2" ref="A2:E118">
    <sortCondition ref="B2:B118"/>
  </sortState>
  <pageMargins left="0.7" right="0.7" top="0.75" bottom="0.75" header="0.3" footer="0.3"/>
  <pageSetup scale="94" orientation="portrait" r:id="rId1"/>
  <rowBreaks count="3" manualBreakCount="3">
    <brk id="30" max="16383" man="1"/>
    <brk id="57" max="16383" man="1"/>
    <brk id="8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92AD-D57D-1247-A96B-C53ACC5808D6}">
  <dimension ref="A1:C73"/>
  <sheetViews>
    <sheetView workbookViewId="0"/>
  </sheetViews>
  <sheetFormatPr baseColWidth="10" defaultColWidth="11.33203125" defaultRowHeight="15" x14ac:dyDescent="0.2"/>
  <cols>
    <col min="1" max="1" width="17.33203125" customWidth="1"/>
  </cols>
  <sheetData>
    <row r="1" spans="1:3" x14ac:dyDescent="0.2">
      <c r="A1" s="28" t="s">
        <v>1719</v>
      </c>
      <c r="B1" s="28" t="s">
        <v>10</v>
      </c>
      <c r="C1" s="28" t="s">
        <v>2139</v>
      </c>
    </row>
    <row r="2" spans="1:3" x14ac:dyDescent="0.2">
      <c r="A2" s="32" t="s">
        <v>2140</v>
      </c>
      <c r="B2" s="32" t="s">
        <v>784</v>
      </c>
    </row>
    <row r="3" spans="1:3" x14ac:dyDescent="0.2">
      <c r="A3" s="33" t="s">
        <v>2141</v>
      </c>
      <c r="B3" s="33" t="s">
        <v>901</v>
      </c>
    </row>
    <row r="4" spans="1:3" x14ac:dyDescent="0.2">
      <c r="A4" s="29" t="s">
        <v>2142</v>
      </c>
      <c r="B4" s="29" t="s">
        <v>48</v>
      </c>
    </row>
    <row r="5" spans="1:3" x14ac:dyDescent="0.2">
      <c r="A5" s="35" t="s">
        <v>2143</v>
      </c>
      <c r="B5" s="35" t="s">
        <v>1460</v>
      </c>
    </row>
    <row r="6" spans="1:3" x14ac:dyDescent="0.2">
      <c r="A6" s="30" t="s">
        <v>2144</v>
      </c>
      <c r="B6" s="30" t="s">
        <v>214</v>
      </c>
    </row>
    <row r="7" spans="1:3" x14ac:dyDescent="0.2">
      <c r="A7" s="35" t="s">
        <v>2145</v>
      </c>
      <c r="B7" s="35" t="s">
        <v>1461</v>
      </c>
    </row>
    <row r="8" spans="1:3" x14ac:dyDescent="0.2">
      <c r="A8" s="29" t="s">
        <v>2146</v>
      </c>
      <c r="B8" s="29" t="s">
        <v>50</v>
      </c>
    </row>
    <row r="9" spans="1:3" x14ac:dyDescent="0.2">
      <c r="A9" s="34" t="s">
        <v>2147</v>
      </c>
      <c r="B9" s="34" t="s">
        <v>994</v>
      </c>
    </row>
    <row r="10" spans="1:3" x14ac:dyDescent="0.2">
      <c r="A10" s="33" t="s">
        <v>2148</v>
      </c>
      <c r="B10" s="33" t="s">
        <v>902</v>
      </c>
    </row>
    <row r="11" spans="1:3" x14ac:dyDescent="0.2">
      <c r="A11" s="35" t="s">
        <v>2149</v>
      </c>
      <c r="B11" s="35" t="s">
        <v>1453</v>
      </c>
      <c r="C11" t="s">
        <v>2150</v>
      </c>
    </row>
    <row r="12" spans="1:3" x14ac:dyDescent="0.2">
      <c r="A12" s="32" t="s">
        <v>2151</v>
      </c>
      <c r="B12" s="32" t="s">
        <v>894</v>
      </c>
      <c r="C12" t="s">
        <v>2150</v>
      </c>
    </row>
    <row r="13" spans="1:3" x14ac:dyDescent="0.2">
      <c r="A13" s="36" t="s">
        <v>2152</v>
      </c>
      <c r="B13" s="36" t="s">
        <v>1531</v>
      </c>
      <c r="C13" t="s">
        <v>2153</v>
      </c>
    </row>
    <row r="14" spans="1:3" x14ac:dyDescent="0.2">
      <c r="A14" s="37" t="s">
        <v>2154</v>
      </c>
      <c r="B14" s="37" t="s">
        <v>1454</v>
      </c>
      <c r="C14" t="s">
        <v>2150</v>
      </c>
    </row>
    <row r="15" spans="1:3" x14ac:dyDescent="0.2">
      <c r="A15" s="29" t="s">
        <v>2155</v>
      </c>
      <c r="B15" s="29" t="s">
        <v>30</v>
      </c>
    </row>
    <row r="16" spans="1:3" x14ac:dyDescent="0.2">
      <c r="A16" s="32" t="s">
        <v>2156</v>
      </c>
      <c r="B16" s="32" t="s">
        <v>777</v>
      </c>
    </row>
    <row r="17" spans="1:2" x14ac:dyDescent="0.2">
      <c r="A17" s="32" t="s">
        <v>2157</v>
      </c>
      <c r="B17" s="32" t="s">
        <v>778</v>
      </c>
    </row>
    <row r="18" spans="1:2" x14ac:dyDescent="0.2">
      <c r="A18" s="31" t="s">
        <v>2158</v>
      </c>
      <c r="B18" s="31" t="s">
        <v>591</v>
      </c>
    </row>
    <row r="19" spans="1:2" x14ac:dyDescent="0.2">
      <c r="A19" s="31" t="s">
        <v>2159</v>
      </c>
      <c r="B19" s="31" t="s">
        <v>592</v>
      </c>
    </row>
    <row r="20" spans="1:2" x14ac:dyDescent="0.2">
      <c r="A20" s="29" t="s">
        <v>2160</v>
      </c>
      <c r="B20" s="29" t="s">
        <v>35</v>
      </c>
    </row>
    <row r="21" spans="1:2" x14ac:dyDescent="0.2">
      <c r="A21" s="29" t="s">
        <v>2161</v>
      </c>
      <c r="B21" s="29" t="s">
        <v>37</v>
      </c>
    </row>
    <row r="22" spans="1:2" x14ac:dyDescent="0.2">
      <c r="A22" s="31" t="s">
        <v>2162</v>
      </c>
      <c r="B22" s="31" t="s">
        <v>593</v>
      </c>
    </row>
    <row r="23" spans="1:2" x14ac:dyDescent="0.2">
      <c r="A23" s="34" t="s">
        <v>2163</v>
      </c>
      <c r="B23" s="34" t="s">
        <v>986</v>
      </c>
    </row>
    <row r="24" spans="1:2" x14ac:dyDescent="0.2">
      <c r="A24" s="35" t="s">
        <v>2164</v>
      </c>
      <c r="B24" s="35" t="s">
        <v>1455</v>
      </c>
    </row>
    <row r="25" spans="1:2" x14ac:dyDescent="0.2">
      <c r="A25" s="30" t="s">
        <v>2165</v>
      </c>
      <c r="B25" s="30" t="s">
        <v>206</v>
      </c>
    </row>
    <row r="26" spans="1:2" x14ac:dyDescent="0.2">
      <c r="A26" s="36" t="s">
        <v>2166</v>
      </c>
      <c r="B26" s="36" t="s">
        <v>1520</v>
      </c>
    </row>
    <row r="27" spans="1:2" x14ac:dyDescent="0.2">
      <c r="A27" s="34" t="s">
        <v>2167</v>
      </c>
      <c r="B27" s="34" t="s">
        <v>987</v>
      </c>
    </row>
    <row r="28" spans="1:2" x14ac:dyDescent="0.2">
      <c r="A28" s="33" t="s">
        <v>2168</v>
      </c>
      <c r="B28" s="33" t="s">
        <v>895</v>
      </c>
    </row>
    <row r="29" spans="1:2" x14ac:dyDescent="0.2">
      <c r="A29" s="36" t="s">
        <v>2169</v>
      </c>
      <c r="B29" s="36" t="s">
        <v>1521</v>
      </c>
    </row>
    <row r="30" spans="1:2" x14ac:dyDescent="0.2">
      <c r="A30" s="33" t="s">
        <v>2170</v>
      </c>
      <c r="B30" s="33" t="s">
        <v>896</v>
      </c>
    </row>
    <row r="31" spans="1:2" x14ac:dyDescent="0.2">
      <c r="A31" s="36" t="s">
        <v>2171</v>
      </c>
      <c r="B31" s="36" t="s">
        <v>1522</v>
      </c>
    </row>
    <row r="32" spans="1:2" x14ac:dyDescent="0.2">
      <c r="A32" s="34" t="s">
        <v>2172</v>
      </c>
      <c r="B32" s="34" t="s">
        <v>988</v>
      </c>
    </row>
    <row r="33" spans="1:2" x14ac:dyDescent="0.2">
      <c r="A33" s="30" t="s">
        <v>2173</v>
      </c>
      <c r="B33" s="30" t="s">
        <v>207</v>
      </c>
    </row>
    <row r="34" spans="1:2" x14ac:dyDescent="0.2">
      <c r="A34" s="29" t="s">
        <v>2174</v>
      </c>
      <c r="B34" s="29" t="s">
        <v>40</v>
      </c>
    </row>
    <row r="35" spans="1:2" x14ac:dyDescent="0.2">
      <c r="A35" s="35" t="s">
        <v>2175</v>
      </c>
      <c r="B35" s="35" t="s">
        <v>1456</v>
      </c>
    </row>
    <row r="36" spans="1:2" x14ac:dyDescent="0.2">
      <c r="A36" s="31" t="s">
        <v>2176</v>
      </c>
      <c r="B36" s="31" t="s">
        <v>594</v>
      </c>
    </row>
    <row r="37" spans="1:2" x14ac:dyDescent="0.2">
      <c r="A37" s="31" t="s">
        <v>2177</v>
      </c>
      <c r="B37" s="31" t="s">
        <v>595</v>
      </c>
    </row>
    <row r="38" spans="1:2" x14ac:dyDescent="0.2">
      <c r="A38" s="31" t="s">
        <v>2178</v>
      </c>
      <c r="B38" s="31" t="s">
        <v>596</v>
      </c>
    </row>
    <row r="39" spans="1:2" x14ac:dyDescent="0.2">
      <c r="A39" s="30" t="s">
        <v>2179</v>
      </c>
      <c r="B39" s="30" t="s">
        <v>209</v>
      </c>
    </row>
    <row r="40" spans="1:2" x14ac:dyDescent="0.2">
      <c r="A40" s="36" t="s">
        <v>2180</v>
      </c>
      <c r="B40" s="36" t="s">
        <v>1523</v>
      </c>
    </row>
    <row r="41" spans="1:2" x14ac:dyDescent="0.2">
      <c r="A41" s="32" t="s">
        <v>2181</v>
      </c>
      <c r="B41" s="32" t="s">
        <v>779</v>
      </c>
    </row>
    <row r="42" spans="1:2" x14ac:dyDescent="0.2">
      <c r="A42" s="29" t="s">
        <v>2182</v>
      </c>
      <c r="B42" s="29" t="s">
        <v>42</v>
      </c>
    </row>
    <row r="43" spans="1:2" x14ac:dyDescent="0.2">
      <c r="A43" s="30" t="s">
        <v>2183</v>
      </c>
      <c r="B43" s="30" t="s">
        <v>210</v>
      </c>
    </row>
    <row r="44" spans="1:2" x14ac:dyDescent="0.2">
      <c r="A44" s="35" t="s">
        <v>2184</v>
      </c>
      <c r="B44" s="35" t="s">
        <v>1457</v>
      </c>
    </row>
    <row r="45" spans="1:2" x14ac:dyDescent="0.2">
      <c r="A45" s="33" t="s">
        <v>2185</v>
      </c>
      <c r="B45" s="33" t="s">
        <v>897</v>
      </c>
    </row>
    <row r="46" spans="1:2" x14ac:dyDescent="0.2">
      <c r="A46" s="33" t="s">
        <v>2186</v>
      </c>
      <c r="B46" s="33" t="s">
        <v>898</v>
      </c>
    </row>
    <row r="47" spans="1:2" x14ac:dyDescent="0.2">
      <c r="A47" s="34" t="s">
        <v>2187</v>
      </c>
      <c r="B47" s="34" t="s">
        <v>989</v>
      </c>
    </row>
    <row r="48" spans="1:2" x14ac:dyDescent="0.2">
      <c r="A48" s="34" t="s">
        <v>2188</v>
      </c>
      <c r="B48" s="34" t="s">
        <v>990</v>
      </c>
    </row>
    <row r="49" spans="1:2" x14ac:dyDescent="0.2">
      <c r="A49" s="30" t="s">
        <v>2189</v>
      </c>
      <c r="B49" s="30" t="s">
        <v>211</v>
      </c>
    </row>
    <row r="50" spans="1:2" x14ac:dyDescent="0.2">
      <c r="A50" s="34" t="s">
        <v>2190</v>
      </c>
      <c r="B50" s="34" t="s">
        <v>991</v>
      </c>
    </row>
    <row r="51" spans="1:2" x14ac:dyDescent="0.2">
      <c r="A51" s="36" t="s">
        <v>2191</v>
      </c>
      <c r="B51" s="36" t="s">
        <v>1524</v>
      </c>
    </row>
    <row r="52" spans="1:2" x14ac:dyDescent="0.2">
      <c r="A52" s="29" t="s">
        <v>2192</v>
      </c>
      <c r="B52" s="29" t="s">
        <v>44</v>
      </c>
    </row>
    <row r="53" spans="1:2" x14ac:dyDescent="0.2">
      <c r="A53" s="33" t="s">
        <v>2193</v>
      </c>
      <c r="B53" s="33" t="s">
        <v>899</v>
      </c>
    </row>
    <row r="54" spans="1:2" x14ac:dyDescent="0.2">
      <c r="A54" s="36" t="s">
        <v>2194</v>
      </c>
      <c r="B54" s="36" t="s">
        <v>1525</v>
      </c>
    </row>
    <row r="55" spans="1:2" x14ac:dyDescent="0.2">
      <c r="A55" s="32" t="s">
        <v>2195</v>
      </c>
      <c r="B55" s="32" t="s">
        <v>780</v>
      </c>
    </row>
    <row r="56" spans="1:2" x14ac:dyDescent="0.2">
      <c r="A56" s="35" t="s">
        <v>2196</v>
      </c>
      <c r="B56" s="35" t="s">
        <v>1458</v>
      </c>
    </row>
    <row r="57" spans="1:2" x14ac:dyDescent="0.2">
      <c r="A57" s="32" t="s">
        <v>2197</v>
      </c>
      <c r="B57" s="32" t="s">
        <v>776</v>
      </c>
    </row>
    <row r="58" spans="1:2" x14ac:dyDescent="0.2">
      <c r="A58" s="32" t="s">
        <v>2198</v>
      </c>
      <c r="B58" s="32" t="s">
        <v>781</v>
      </c>
    </row>
    <row r="59" spans="1:2" x14ac:dyDescent="0.2">
      <c r="A59" s="32" t="s">
        <v>2199</v>
      </c>
      <c r="B59" s="32" t="s">
        <v>782</v>
      </c>
    </row>
    <row r="60" spans="1:2" x14ac:dyDescent="0.2">
      <c r="A60" s="32" t="s">
        <v>2200</v>
      </c>
      <c r="B60" s="32" t="s">
        <v>783</v>
      </c>
    </row>
    <row r="61" spans="1:2" x14ac:dyDescent="0.2">
      <c r="A61" s="30" t="s">
        <v>2201</v>
      </c>
      <c r="B61" s="30" t="s">
        <v>212</v>
      </c>
    </row>
    <row r="62" spans="1:2" x14ac:dyDescent="0.2">
      <c r="A62" s="31" t="s">
        <v>2202</v>
      </c>
      <c r="B62" s="31" t="s">
        <v>597</v>
      </c>
    </row>
    <row r="63" spans="1:2" x14ac:dyDescent="0.2">
      <c r="A63" s="30" t="s">
        <v>2203</v>
      </c>
      <c r="B63" s="30" t="s">
        <v>213</v>
      </c>
    </row>
    <row r="64" spans="1:2" x14ac:dyDescent="0.2">
      <c r="A64" s="30" t="s">
        <v>2204</v>
      </c>
      <c r="B64" s="30" t="s">
        <v>205</v>
      </c>
    </row>
    <row r="65" spans="1:2" x14ac:dyDescent="0.2">
      <c r="A65" s="31" t="s">
        <v>2205</v>
      </c>
      <c r="B65" s="31" t="s">
        <v>598</v>
      </c>
    </row>
    <row r="66" spans="1:2" x14ac:dyDescent="0.2">
      <c r="A66" s="33" t="s">
        <v>2206</v>
      </c>
      <c r="B66" s="33" t="s">
        <v>900</v>
      </c>
    </row>
    <row r="67" spans="1:2" x14ac:dyDescent="0.2">
      <c r="A67" s="29" t="s">
        <v>2207</v>
      </c>
      <c r="B67" s="29" t="s">
        <v>46</v>
      </c>
    </row>
    <row r="68" spans="1:2" x14ac:dyDescent="0.2">
      <c r="A68" s="36" t="s">
        <v>2208</v>
      </c>
      <c r="B68" s="36" t="s">
        <v>1527</v>
      </c>
    </row>
    <row r="69" spans="1:2" x14ac:dyDescent="0.2">
      <c r="A69" s="34" t="s">
        <v>2209</v>
      </c>
      <c r="B69" s="34" t="s">
        <v>992</v>
      </c>
    </row>
    <row r="70" spans="1:2" x14ac:dyDescent="0.2">
      <c r="A70" s="34" t="s">
        <v>2210</v>
      </c>
      <c r="B70" s="34" t="s">
        <v>993</v>
      </c>
    </row>
    <row r="71" spans="1:2" x14ac:dyDescent="0.2">
      <c r="A71" s="31" t="s">
        <v>2211</v>
      </c>
      <c r="B71" s="31" t="s">
        <v>599</v>
      </c>
    </row>
    <row r="72" spans="1:2" x14ac:dyDescent="0.2">
      <c r="A72" s="35" t="s">
        <v>2212</v>
      </c>
      <c r="B72" s="35" t="s">
        <v>1459</v>
      </c>
    </row>
    <row r="73" spans="1:2" x14ac:dyDescent="0.2">
      <c r="A73" s="36" t="s">
        <v>2213</v>
      </c>
      <c r="B73" s="36" t="s">
        <v>1528</v>
      </c>
    </row>
  </sheetData>
  <autoFilter ref="A1:C73" xr:uid="{160292AD-D57D-1247-A96B-C53ACC5808D6}">
    <sortState xmlns:xlrd2="http://schemas.microsoft.com/office/spreadsheetml/2017/richdata2" ref="A2:C73">
      <sortCondition ref="B1:B73"/>
    </sortState>
  </autoFilter>
  <sortState xmlns:xlrd2="http://schemas.microsoft.com/office/spreadsheetml/2017/richdata2" ref="A2:C1048576">
    <sortCondition ref="A2:A1048576"/>
  </sortState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1E4B-A838-0E4D-96D4-18FCF1F1D81E}">
  <dimension ref="A1:A1477"/>
  <sheetViews>
    <sheetView workbookViewId="0"/>
  </sheetViews>
  <sheetFormatPr baseColWidth="10" defaultColWidth="11.33203125" defaultRowHeight="15" x14ac:dyDescent="0.2"/>
  <sheetData>
    <row r="1" spans="1:1" x14ac:dyDescent="0.2">
      <c r="A1" t="s">
        <v>7</v>
      </c>
    </row>
    <row r="2" spans="1:1" x14ac:dyDescent="0.2">
      <c r="A2" t="s">
        <v>2161</v>
      </c>
    </row>
    <row r="3" spans="1:1" x14ac:dyDescent="0.2">
      <c r="A3" t="s">
        <v>2174</v>
      </c>
    </row>
    <row r="4" spans="1:1" x14ac:dyDescent="0.2">
      <c r="A4" t="s">
        <v>2207</v>
      </c>
    </row>
    <row r="5" spans="1:1" x14ac:dyDescent="0.2">
      <c r="A5" t="s">
        <v>2214</v>
      </c>
    </row>
    <row r="6" spans="1:1" x14ac:dyDescent="0.2">
      <c r="A6" t="s">
        <v>2155</v>
      </c>
    </row>
    <row r="7" spans="1:1" x14ac:dyDescent="0.2">
      <c r="A7" t="s">
        <v>2192</v>
      </c>
    </row>
    <row r="8" spans="1:1" x14ac:dyDescent="0.2">
      <c r="A8" t="s">
        <v>2142</v>
      </c>
    </row>
    <row r="9" spans="1:1" x14ac:dyDescent="0.2">
      <c r="A9" t="s">
        <v>2215</v>
      </c>
    </row>
    <row r="10" spans="1:1" x14ac:dyDescent="0.2">
      <c r="A10" t="s">
        <v>2160</v>
      </c>
    </row>
    <row r="11" spans="1:1" x14ac:dyDescent="0.2">
      <c r="A11" t="s">
        <v>2182</v>
      </c>
    </row>
    <row r="12" spans="1:1" x14ac:dyDescent="0.2">
      <c r="A12" t="s">
        <v>2146</v>
      </c>
    </row>
    <row r="13" spans="1:1" x14ac:dyDescent="0.2">
      <c r="A13" t="s">
        <v>2216</v>
      </c>
    </row>
    <row r="14" spans="1:1" x14ac:dyDescent="0.2">
      <c r="A14" t="s">
        <v>2217</v>
      </c>
    </row>
    <row r="15" spans="1:1" x14ac:dyDescent="0.2">
      <c r="A15" t="s">
        <v>2218</v>
      </c>
    </row>
    <row r="16" spans="1:1" x14ac:dyDescent="0.2">
      <c r="A16" t="s">
        <v>2219</v>
      </c>
    </row>
    <row r="17" spans="1:1" x14ac:dyDescent="0.2">
      <c r="A17" t="s">
        <v>2220</v>
      </c>
    </row>
    <row r="18" spans="1:1" x14ac:dyDescent="0.2">
      <c r="A18" t="s">
        <v>2221</v>
      </c>
    </row>
    <row r="19" spans="1:1" x14ac:dyDescent="0.2">
      <c r="A19" t="s">
        <v>2222</v>
      </c>
    </row>
    <row r="20" spans="1:1" x14ac:dyDescent="0.2">
      <c r="A20" t="s">
        <v>2223</v>
      </c>
    </row>
    <row r="21" spans="1:1" x14ac:dyDescent="0.2">
      <c r="A21" t="s">
        <v>2224</v>
      </c>
    </row>
    <row r="22" spans="1:1" x14ac:dyDescent="0.2">
      <c r="A22" t="s">
        <v>2225</v>
      </c>
    </row>
    <row r="23" spans="1:1" x14ac:dyDescent="0.2">
      <c r="A23" t="s">
        <v>2226</v>
      </c>
    </row>
    <row r="24" spans="1:1" x14ac:dyDescent="0.2">
      <c r="A24" t="s">
        <v>2227</v>
      </c>
    </row>
    <row r="25" spans="1:1" x14ac:dyDescent="0.2">
      <c r="A25" t="s">
        <v>2228</v>
      </c>
    </row>
    <row r="26" spans="1:1" x14ac:dyDescent="0.2">
      <c r="A26" t="s">
        <v>2229</v>
      </c>
    </row>
    <row r="27" spans="1:1" x14ac:dyDescent="0.2">
      <c r="A27" t="s">
        <v>2230</v>
      </c>
    </row>
    <row r="28" spans="1:1" x14ac:dyDescent="0.2">
      <c r="A28" t="s">
        <v>2231</v>
      </c>
    </row>
    <row r="29" spans="1:1" x14ac:dyDescent="0.2">
      <c r="A29" t="s">
        <v>2232</v>
      </c>
    </row>
    <row r="30" spans="1:1" x14ac:dyDescent="0.2">
      <c r="A30" t="s">
        <v>2233</v>
      </c>
    </row>
    <row r="31" spans="1:1" x14ac:dyDescent="0.2">
      <c r="A31" t="s">
        <v>2234</v>
      </c>
    </row>
    <row r="32" spans="1:1" x14ac:dyDescent="0.2">
      <c r="A32" t="s">
        <v>2235</v>
      </c>
    </row>
    <row r="33" spans="1:1" x14ac:dyDescent="0.2">
      <c r="A33" t="s">
        <v>2236</v>
      </c>
    </row>
    <row r="34" spans="1:1" x14ac:dyDescent="0.2">
      <c r="A34" t="s">
        <v>2237</v>
      </c>
    </row>
    <row r="35" spans="1:1" x14ac:dyDescent="0.2">
      <c r="A35" t="s">
        <v>2238</v>
      </c>
    </row>
    <row r="36" spans="1:1" x14ac:dyDescent="0.2">
      <c r="A36" t="s">
        <v>2239</v>
      </c>
    </row>
    <row r="37" spans="1:1" x14ac:dyDescent="0.2">
      <c r="A37" t="s">
        <v>2240</v>
      </c>
    </row>
    <row r="38" spans="1:1" x14ac:dyDescent="0.2">
      <c r="A38" t="s">
        <v>2241</v>
      </c>
    </row>
    <row r="39" spans="1:1" x14ac:dyDescent="0.2">
      <c r="A39" t="s">
        <v>2242</v>
      </c>
    </row>
    <row r="40" spans="1:1" x14ac:dyDescent="0.2">
      <c r="A40" t="s">
        <v>2243</v>
      </c>
    </row>
    <row r="41" spans="1:1" x14ac:dyDescent="0.2">
      <c r="A41" t="s">
        <v>2244</v>
      </c>
    </row>
    <row r="42" spans="1:1" x14ac:dyDescent="0.2">
      <c r="A42" t="s">
        <v>2245</v>
      </c>
    </row>
    <row r="43" spans="1:1" x14ac:dyDescent="0.2">
      <c r="A43" t="s">
        <v>2246</v>
      </c>
    </row>
    <row r="44" spans="1:1" x14ac:dyDescent="0.2">
      <c r="A44" t="s">
        <v>2247</v>
      </c>
    </row>
    <row r="45" spans="1:1" x14ac:dyDescent="0.2">
      <c r="A45" t="s">
        <v>2248</v>
      </c>
    </row>
    <row r="46" spans="1:1" x14ac:dyDescent="0.2">
      <c r="A46" t="s">
        <v>2249</v>
      </c>
    </row>
    <row r="47" spans="1:1" x14ac:dyDescent="0.2">
      <c r="A47" t="s">
        <v>2250</v>
      </c>
    </row>
    <row r="48" spans="1:1" x14ac:dyDescent="0.2">
      <c r="A48" t="s">
        <v>2251</v>
      </c>
    </row>
    <row r="49" spans="1:1" x14ac:dyDescent="0.2">
      <c r="A49" t="s">
        <v>2252</v>
      </c>
    </row>
    <row r="50" spans="1:1" x14ac:dyDescent="0.2">
      <c r="A50" t="s">
        <v>2253</v>
      </c>
    </row>
    <row r="51" spans="1:1" x14ac:dyDescent="0.2">
      <c r="A51" t="s">
        <v>2254</v>
      </c>
    </row>
    <row r="52" spans="1:1" x14ac:dyDescent="0.2">
      <c r="A52" t="s">
        <v>2255</v>
      </c>
    </row>
    <row r="53" spans="1:1" x14ac:dyDescent="0.2">
      <c r="A53" t="s">
        <v>2256</v>
      </c>
    </row>
    <row r="54" spans="1:1" x14ac:dyDescent="0.2">
      <c r="A54" t="s">
        <v>2257</v>
      </c>
    </row>
    <row r="55" spans="1:1" x14ac:dyDescent="0.2">
      <c r="A55" t="s">
        <v>2258</v>
      </c>
    </row>
    <row r="56" spans="1:1" x14ac:dyDescent="0.2">
      <c r="A56" t="s">
        <v>2259</v>
      </c>
    </row>
    <row r="57" spans="1:1" x14ac:dyDescent="0.2">
      <c r="A57" t="s">
        <v>2260</v>
      </c>
    </row>
    <row r="58" spans="1:1" x14ac:dyDescent="0.2">
      <c r="A58" t="s">
        <v>2261</v>
      </c>
    </row>
    <row r="59" spans="1:1" x14ac:dyDescent="0.2">
      <c r="A59" t="s">
        <v>2262</v>
      </c>
    </row>
    <row r="60" spans="1:1" x14ac:dyDescent="0.2">
      <c r="A60" t="s">
        <v>2263</v>
      </c>
    </row>
    <row r="61" spans="1:1" x14ac:dyDescent="0.2">
      <c r="A61" t="s">
        <v>2264</v>
      </c>
    </row>
    <row r="62" spans="1:1" x14ac:dyDescent="0.2">
      <c r="A62" t="s">
        <v>2265</v>
      </c>
    </row>
    <row r="63" spans="1:1" x14ac:dyDescent="0.2">
      <c r="A63" t="s">
        <v>2266</v>
      </c>
    </row>
    <row r="64" spans="1:1" x14ac:dyDescent="0.2">
      <c r="A64" t="s">
        <v>2267</v>
      </c>
    </row>
    <row r="65" spans="1:1" x14ac:dyDescent="0.2">
      <c r="A65" t="s">
        <v>2268</v>
      </c>
    </row>
    <row r="66" spans="1:1" x14ac:dyDescent="0.2">
      <c r="A66" t="s">
        <v>2269</v>
      </c>
    </row>
    <row r="67" spans="1:1" x14ac:dyDescent="0.2">
      <c r="A67" t="s">
        <v>2270</v>
      </c>
    </row>
    <row r="68" spans="1:1" x14ac:dyDescent="0.2">
      <c r="A68" t="s">
        <v>2271</v>
      </c>
    </row>
    <row r="69" spans="1:1" x14ac:dyDescent="0.2">
      <c r="A69" t="s">
        <v>2272</v>
      </c>
    </row>
    <row r="70" spans="1:1" x14ac:dyDescent="0.2">
      <c r="A70" t="s">
        <v>2273</v>
      </c>
    </row>
    <row r="71" spans="1:1" x14ac:dyDescent="0.2">
      <c r="A71" t="s">
        <v>2274</v>
      </c>
    </row>
    <row r="72" spans="1:1" x14ac:dyDescent="0.2">
      <c r="A72" t="s">
        <v>2275</v>
      </c>
    </row>
    <row r="73" spans="1:1" x14ac:dyDescent="0.2">
      <c r="A73" t="s">
        <v>2276</v>
      </c>
    </row>
    <row r="74" spans="1:1" x14ac:dyDescent="0.2">
      <c r="A74" t="s">
        <v>2277</v>
      </c>
    </row>
    <row r="75" spans="1:1" x14ac:dyDescent="0.2">
      <c r="A75" t="s">
        <v>2278</v>
      </c>
    </row>
    <row r="76" spans="1:1" x14ac:dyDescent="0.2">
      <c r="A76" t="s">
        <v>2279</v>
      </c>
    </row>
    <row r="77" spans="1:1" x14ac:dyDescent="0.2">
      <c r="A77" t="s">
        <v>2280</v>
      </c>
    </row>
    <row r="78" spans="1:1" x14ac:dyDescent="0.2">
      <c r="A78" t="s">
        <v>2281</v>
      </c>
    </row>
    <row r="79" spans="1:1" x14ac:dyDescent="0.2">
      <c r="A79" t="s">
        <v>2282</v>
      </c>
    </row>
    <row r="80" spans="1:1" x14ac:dyDescent="0.2">
      <c r="A80" t="s">
        <v>2283</v>
      </c>
    </row>
    <row r="81" spans="1:1" x14ac:dyDescent="0.2">
      <c r="A81" t="s">
        <v>2284</v>
      </c>
    </row>
    <row r="82" spans="1:1" x14ac:dyDescent="0.2">
      <c r="A82" t="s">
        <v>2285</v>
      </c>
    </row>
    <row r="83" spans="1:1" x14ac:dyDescent="0.2">
      <c r="A83" t="s">
        <v>2286</v>
      </c>
    </row>
    <row r="84" spans="1:1" x14ac:dyDescent="0.2">
      <c r="A84" t="s">
        <v>2287</v>
      </c>
    </row>
    <row r="85" spans="1:1" x14ac:dyDescent="0.2">
      <c r="A85" t="s">
        <v>2288</v>
      </c>
    </row>
    <row r="86" spans="1:1" x14ac:dyDescent="0.2">
      <c r="A86" t="s">
        <v>2289</v>
      </c>
    </row>
    <row r="87" spans="1:1" x14ac:dyDescent="0.2">
      <c r="A87" t="s">
        <v>2290</v>
      </c>
    </row>
    <row r="88" spans="1:1" x14ac:dyDescent="0.2">
      <c r="A88" t="s">
        <v>2291</v>
      </c>
    </row>
    <row r="89" spans="1:1" x14ac:dyDescent="0.2">
      <c r="A89" t="s">
        <v>2292</v>
      </c>
    </row>
    <row r="90" spans="1:1" x14ac:dyDescent="0.2">
      <c r="A90" t="s">
        <v>2293</v>
      </c>
    </row>
    <row r="91" spans="1:1" x14ac:dyDescent="0.2">
      <c r="A91" t="s">
        <v>2294</v>
      </c>
    </row>
    <row r="92" spans="1:1" x14ac:dyDescent="0.2">
      <c r="A92" t="s">
        <v>2295</v>
      </c>
    </row>
    <row r="93" spans="1:1" x14ac:dyDescent="0.2">
      <c r="A93" t="s">
        <v>2296</v>
      </c>
    </row>
    <row r="94" spans="1:1" x14ac:dyDescent="0.2">
      <c r="A94" t="s">
        <v>2297</v>
      </c>
    </row>
    <row r="95" spans="1:1" x14ac:dyDescent="0.2">
      <c r="A95" t="s">
        <v>2298</v>
      </c>
    </row>
    <row r="96" spans="1:1" x14ac:dyDescent="0.2">
      <c r="A96" t="s">
        <v>2299</v>
      </c>
    </row>
    <row r="97" spans="1:1" x14ac:dyDescent="0.2">
      <c r="A97" t="s">
        <v>2300</v>
      </c>
    </row>
    <row r="98" spans="1:1" x14ac:dyDescent="0.2">
      <c r="A98" t="s">
        <v>2301</v>
      </c>
    </row>
    <row r="99" spans="1:1" x14ac:dyDescent="0.2">
      <c r="A99" t="s">
        <v>2302</v>
      </c>
    </row>
    <row r="100" spans="1:1" x14ac:dyDescent="0.2">
      <c r="A100" t="s">
        <v>2303</v>
      </c>
    </row>
    <row r="101" spans="1:1" x14ac:dyDescent="0.2">
      <c r="A101" t="s">
        <v>2304</v>
      </c>
    </row>
    <row r="102" spans="1:1" x14ac:dyDescent="0.2">
      <c r="A102" t="s">
        <v>2305</v>
      </c>
    </row>
    <row r="103" spans="1:1" x14ac:dyDescent="0.2">
      <c r="A103" t="s">
        <v>2306</v>
      </c>
    </row>
    <row r="104" spans="1:1" x14ac:dyDescent="0.2">
      <c r="A104" t="s">
        <v>2307</v>
      </c>
    </row>
    <row r="105" spans="1:1" x14ac:dyDescent="0.2">
      <c r="A105" t="s">
        <v>2308</v>
      </c>
    </row>
    <row r="106" spans="1:1" x14ac:dyDescent="0.2">
      <c r="A106" t="s">
        <v>2309</v>
      </c>
    </row>
    <row r="107" spans="1:1" x14ac:dyDescent="0.2">
      <c r="A107" t="s">
        <v>2310</v>
      </c>
    </row>
    <row r="108" spans="1:1" x14ac:dyDescent="0.2">
      <c r="A108" t="s">
        <v>2311</v>
      </c>
    </row>
    <row r="109" spans="1:1" x14ac:dyDescent="0.2">
      <c r="A109" t="s">
        <v>2312</v>
      </c>
    </row>
    <row r="110" spans="1:1" x14ac:dyDescent="0.2">
      <c r="A110" t="s">
        <v>2313</v>
      </c>
    </row>
    <row r="111" spans="1:1" x14ac:dyDescent="0.2">
      <c r="A111" t="s">
        <v>2314</v>
      </c>
    </row>
    <row r="112" spans="1:1" x14ac:dyDescent="0.2">
      <c r="A112" t="s">
        <v>2315</v>
      </c>
    </row>
    <row r="113" spans="1:1" x14ac:dyDescent="0.2">
      <c r="A113" t="s">
        <v>2316</v>
      </c>
    </row>
    <row r="114" spans="1:1" x14ac:dyDescent="0.2">
      <c r="A114" t="s">
        <v>2317</v>
      </c>
    </row>
    <row r="115" spans="1:1" x14ac:dyDescent="0.2">
      <c r="A115" t="s">
        <v>2318</v>
      </c>
    </row>
    <row r="116" spans="1:1" x14ac:dyDescent="0.2">
      <c r="A116" t="s">
        <v>2319</v>
      </c>
    </row>
    <row r="117" spans="1:1" x14ac:dyDescent="0.2">
      <c r="A117" t="s">
        <v>2320</v>
      </c>
    </row>
    <row r="118" spans="1:1" x14ac:dyDescent="0.2">
      <c r="A118" t="s">
        <v>2321</v>
      </c>
    </row>
    <row r="119" spans="1:1" x14ac:dyDescent="0.2">
      <c r="A119" t="s">
        <v>2322</v>
      </c>
    </row>
    <row r="120" spans="1:1" x14ac:dyDescent="0.2">
      <c r="A120" t="s">
        <v>2323</v>
      </c>
    </row>
    <row r="121" spans="1:1" x14ac:dyDescent="0.2">
      <c r="A121" t="s">
        <v>2324</v>
      </c>
    </row>
    <row r="122" spans="1:1" x14ac:dyDescent="0.2">
      <c r="A122" t="s">
        <v>2325</v>
      </c>
    </row>
    <row r="123" spans="1:1" x14ac:dyDescent="0.2">
      <c r="A123" t="s">
        <v>2326</v>
      </c>
    </row>
    <row r="124" spans="1:1" x14ac:dyDescent="0.2">
      <c r="A124" t="s">
        <v>2327</v>
      </c>
    </row>
    <row r="125" spans="1:1" x14ac:dyDescent="0.2">
      <c r="A125" t="s">
        <v>2328</v>
      </c>
    </row>
    <row r="126" spans="1:1" x14ac:dyDescent="0.2">
      <c r="A126" t="s">
        <v>2329</v>
      </c>
    </row>
    <row r="127" spans="1:1" x14ac:dyDescent="0.2">
      <c r="A127" t="s">
        <v>2330</v>
      </c>
    </row>
    <row r="128" spans="1:1" x14ac:dyDescent="0.2">
      <c r="A128" t="s">
        <v>2331</v>
      </c>
    </row>
    <row r="129" spans="1:1" x14ac:dyDescent="0.2">
      <c r="A129" t="s">
        <v>2332</v>
      </c>
    </row>
    <row r="130" spans="1:1" x14ac:dyDescent="0.2">
      <c r="A130" t="s">
        <v>2333</v>
      </c>
    </row>
    <row r="131" spans="1:1" x14ac:dyDescent="0.2">
      <c r="A131" t="s">
        <v>2334</v>
      </c>
    </row>
    <row r="132" spans="1:1" x14ac:dyDescent="0.2">
      <c r="A132" t="s">
        <v>2335</v>
      </c>
    </row>
    <row r="133" spans="1:1" x14ac:dyDescent="0.2">
      <c r="A133" t="s">
        <v>2336</v>
      </c>
    </row>
    <row r="134" spans="1:1" x14ac:dyDescent="0.2">
      <c r="A134" t="s">
        <v>2204</v>
      </c>
    </row>
    <row r="135" spans="1:1" x14ac:dyDescent="0.2">
      <c r="A135" t="s">
        <v>2183</v>
      </c>
    </row>
    <row r="136" spans="1:1" x14ac:dyDescent="0.2">
      <c r="A136" t="s">
        <v>2144</v>
      </c>
    </row>
    <row r="137" spans="1:1" x14ac:dyDescent="0.2">
      <c r="A137" t="s">
        <v>2337</v>
      </c>
    </row>
    <row r="138" spans="1:1" x14ac:dyDescent="0.2">
      <c r="A138" t="s">
        <v>2173</v>
      </c>
    </row>
    <row r="139" spans="1:1" x14ac:dyDescent="0.2">
      <c r="A139" t="s">
        <v>2189</v>
      </c>
    </row>
    <row r="140" spans="1:1" x14ac:dyDescent="0.2">
      <c r="A140" t="s">
        <v>2201</v>
      </c>
    </row>
    <row r="141" spans="1:1" x14ac:dyDescent="0.2">
      <c r="A141" t="s">
        <v>2338</v>
      </c>
    </row>
    <row r="142" spans="1:1" x14ac:dyDescent="0.2">
      <c r="A142" t="s">
        <v>2165</v>
      </c>
    </row>
    <row r="143" spans="1:1" x14ac:dyDescent="0.2">
      <c r="A143" t="s">
        <v>2179</v>
      </c>
    </row>
    <row r="144" spans="1:1" x14ac:dyDescent="0.2">
      <c r="A144" t="s">
        <v>2203</v>
      </c>
    </row>
    <row r="145" spans="1:1" x14ac:dyDescent="0.2">
      <c r="A145" t="s">
        <v>2339</v>
      </c>
    </row>
    <row r="146" spans="1:1" x14ac:dyDescent="0.2">
      <c r="A146" t="s">
        <v>2340</v>
      </c>
    </row>
    <row r="147" spans="1:1" x14ac:dyDescent="0.2">
      <c r="A147" t="s">
        <v>2341</v>
      </c>
    </row>
    <row r="148" spans="1:1" x14ac:dyDescent="0.2">
      <c r="A148" t="s">
        <v>2342</v>
      </c>
    </row>
    <row r="149" spans="1:1" x14ac:dyDescent="0.2">
      <c r="A149" t="s">
        <v>2343</v>
      </c>
    </row>
    <row r="150" spans="1:1" x14ac:dyDescent="0.2">
      <c r="A150" t="s">
        <v>2344</v>
      </c>
    </row>
    <row r="151" spans="1:1" x14ac:dyDescent="0.2">
      <c r="A151" t="s">
        <v>2345</v>
      </c>
    </row>
    <row r="152" spans="1:1" x14ac:dyDescent="0.2">
      <c r="A152" t="s">
        <v>2346</v>
      </c>
    </row>
    <row r="153" spans="1:1" x14ac:dyDescent="0.2">
      <c r="A153" t="s">
        <v>2347</v>
      </c>
    </row>
    <row r="154" spans="1:1" x14ac:dyDescent="0.2">
      <c r="A154" t="s">
        <v>2348</v>
      </c>
    </row>
    <row r="155" spans="1:1" x14ac:dyDescent="0.2">
      <c r="A155" t="s">
        <v>2349</v>
      </c>
    </row>
    <row r="156" spans="1:1" x14ac:dyDescent="0.2">
      <c r="A156" t="s">
        <v>2350</v>
      </c>
    </row>
    <row r="157" spans="1:1" x14ac:dyDescent="0.2">
      <c r="A157" t="s">
        <v>2351</v>
      </c>
    </row>
    <row r="158" spans="1:1" x14ac:dyDescent="0.2">
      <c r="A158" t="s">
        <v>2352</v>
      </c>
    </row>
    <row r="159" spans="1:1" x14ac:dyDescent="0.2">
      <c r="A159" t="s">
        <v>2353</v>
      </c>
    </row>
    <row r="160" spans="1:1" x14ac:dyDescent="0.2">
      <c r="A160" t="s">
        <v>2354</v>
      </c>
    </row>
    <row r="161" spans="1:1" x14ac:dyDescent="0.2">
      <c r="A161" t="s">
        <v>2355</v>
      </c>
    </row>
    <row r="162" spans="1:1" x14ac:dyDescent="0.2">
      <c r="A162" t="s">
        <v>2356</v>
      </c>
    </row>
    <row r="163" spans="1:1" x14ac:dyDescent="0.2">
      <c r="A163" t="s">
        <v>2357</v>
      </c>
    </row>
    <row r="164" spans="1:1" x14ac:dyDescent="0.2">
      <c r="A164" t="s">
        <v>2358</v>
      </c>
    </row>
    <row r="165" spans="1:1" x14ac:dyDescent="0.2">
      <c r="A165" t="s">
        <v>2359</v>
      </c>
    </row>
    <row r="166" spans="1:1" x14ac:dyDescent="0.2">
      <c r="A166" t="s">
        <v>2360</v>
      </c>
    </row>
    <row r="167" spans="1:1" x14ac:dyDescent="0.2">
      <c r="A167" t="s">
        <v>2361</v>
      </c>
    </row>
    <row r="168" spans="1:1" x14ac:dyDescent="0.2">
      <c r="A168" t="s">
        <v>2362</v>
      </c>
    </row>
    <row r="169" spans="1:1" x14ac:dyDescent="0.2">
      <c r="A169" t="s">
        <v>2363</v>
      </c>
    </row>
    <row r="170" spans="1:1" x14ac:dyDescent="0.2">
      <c r="A170" t="s">
        <v>2364</v>
      </c>
    </row>
    <row r="171" spans="1:1" x14ac:dyDescent="0.2">
      <c r="A171" t="s">
        <v>2365</v>
      </c>
    </row>
    <row r="172" spans="1:1" x14ac:dyDescent="0.2">
      <c r="A172" t="s">
        <v>2366</v>
      </c>
    </row>
    <row r="173" spans="1:1" x14ac:dyDescent="0.2">
      <c r="A173" t="s">
        <v>2367</v>
      </c>
    </row>
    <row r="174" spans="1:1" x14ac:dyDescent="0.2">
      <c r="A174" t="s">
        <v>2368</v>
      </c>
    </row>
    <row r="175" spans="1:1" x14ac:dyDescent="0.2">
      <c r="A175" t="s">
        <v>2369</v>
      </c>
    </row>
    <row r="176" spans="1:1" x14ac:dyDescent="0.2">
      <c r="A176" t="s">
        <v>2370</v>
      </c>
    </row>
    <row r="177" spans="1:1" x14ac:dyDescent="0.2">
      <c r="A177" t="s">
        <v>2371</v>
      </c>
    </row>
    <row r="178" spans="1:1" x14ac:dyDescent="0.2">
      <c r="A178" t="s">
        <v>2372</v>
      </c>
    </row>
    <row r="179" spans="1:1" x14ac:dyDescent="0.2">
      <c r="A179" t="s">
        <v>2373</v>
      </c>
    </row>
    <row r="180" spans="1:1" x14ac:dyDescent="0.2">
      <c r="A180" t="s">
        <v>2374</v>
      </c>
    </row>
    <row r="181" spans="1:1" x14ac:dyDescent="0.2">
      <c r="A181" t="s">
        <v>2375</v>
      </c>
    </row>
    <row r="182" spans="1:1" x14ac:dyDescent="0.2">
      <c r="A182" t="s">
        <v>2376</v>
      </c>
    </row>
    <row r="183" spans="1:1" x14ac:dyDescent="0.2">
      <c r="A183" t="s">
        <v>2377</v>
      </c>
    </row>
    <row r="184" spans="1:1" x14ac:dyDescent="0.2">
      <c r="A184" t="s">
        <v>2378</v>
      </c>
    </row>
    <row r="185" spans="1:1" x14ac:dyDescent="0.2">
      <c r="A185" t="s">
        <v>2379</v>
      </c>
    </row>
    <row r="186" spans="1:1" x14ac:dyDescent="0.2">
      <c r="A186" t="s">
        <v>2380</v>
      </c>
    </row>
    <row r="187" spans="1:1" x14ac:dyDescent="0.2">
      <c r="A187" t="s">
        <v>2381</v>
      </c>
    </row>
    <row r="188" spans="1:1" x14ac:dyDescent="0.2">
      <c r="A188" t="s">
        <v>2382</v>
      </c>
    </row>
    <row r="189" spans="1:1" x14ac:dyDescent="0.2">
      <c r="A189" t="s">
        <v>2383</v>
      </c>
    </row>
    <row r="190" spans="1:1" x14ac:dyDescent="0.2">
      <c r="A190" t="s">
        <v>2384</v>
      </c>
    </row>
    <row r="191" spans="1:1" x14ac:dyDescent="0.2">
      <c r="A191" t="s">
        <v>2385</v>
      </c>
    </row>
    <row r="192" spans="1:1" x14ac:dyDescent="0.2">
      <c r="A192" t="s">
        <v>2386</v>
      </c>
    </row>
    <row r="193" spans="1:1" x14ac:dyDescent="0.2">
      <c r="A193" t="s">
        <v>2387</v>
      </c>
    </row>
    <row r="194" spans="1:1" x14ac:dyDescent="0.2">
      <c r="A194" t="s">
        <v>2388</v>
      </c>
    </row>
    <row r="195" spans="1:1" x14ac:dyDescent="0.2">
      <c r="A195" t="s">
        <v>2389</v>
      </c>
    </row>
    <row r="196" spans="1:1" x14ac:dyDescent="0.2">
      <c r="A196" t="s">
        <v>2390</v>
      </c>
    </row>
    <row r="197" spans="1:1" x14ac:dyDescent="0.2">
      <c r="A197" t="s">
        <v>2391</v>
      </c>
    </row>
    <row r="198" spans="1:1" x14ac:dyDescent="0.2">
      <c r="A198" t="s">
        <v>2392</v>
      </c>
    </row>
    <row r="199" spans="1:1" x14ac:dyDescent="0.2">
      <c r="A199" t="s">
        <v>2393</v>
      </c>
    </row>
    <row r="200" spans="1:1" x14ac:dyDescent="0.2">
      <c r="A200" t="s">
        <v>2394</v>
      </c>
    </row>
    <row r="201" spans="1:1" x14ac:dyDescent="0.2">
      <c r="A201" t="s">
        <v>2395</v>
      </c>
    </row>
    <row r="202" spans="1:1" x14ac:dyDescent="0.2">
      <c r="A202" t="s">
        <v>2396</v>
      </c>
    </row>
    <row r="203" spans="1:1" x14ac:dyDescent="0.2">
      <c r="A203" t="s">
        <v>2397</v>
      </c>
    </row>
    <row r="204" spans="1:1" x14ac:dyDescent="0.2">
      <c r="A204" t="s">
        <v>2398</v>
      </c>
    </row>
    <row r="205" spans="1:1" x14ac:dyDescent="0.2">
      <c r="A205" t="s">
        <v>2399</v>
      </c>
    </row>
    <row r="206" spans="1:1" x14ac:dyDescent="0.2">
      <c r="A206" t="s">
        <v>2400</v>
      </c>
    </row>
    <row r="207" spans="1:1" x14ac:dyDescent="0.2">
      <c r="A207" t="s">
        <v>2401</v>
      </c>
    </row>
    <row r="208" spans="1:1" x14ac:dyDescent="0.2">
      <c r="A208" t="s">
        <v>2402</v>
      </c>
    </row>
    <row r="209" spans="1:1" x14ac:dyDescent="0.2">
      <c r="A209" t="s">
        <v>2403</v>
      </c>
    </row>
    <row r="210" spans="1:1" x14ac:dyDescent="0.2">
      <c r="A210" t="s">
        <v>2404</v>
      </c>
    </row>
    <row r="211" spans="1:1" x14ac:dyDescent="0.2">
      <c r="A211" t="s">
        <v>2405</v>
      </c>
    </row>
    <row r="212" spans="1:1" x14ac:dyDescent="0.2">
      <c r="A212" t="s">
        <v>2406</v>
      </c>
    </row>
    <row r="213" spans="1:1" x14ac:dyDescent="0.2">
      <c r="A213" t="s">
        <v>2407</v>
      </c>
    </row>
    <row r="214" spans="1:1" x14ac:dyDescent="0.2">
      <c r="A214" t="s">
        <v>2408</v>
      </c>
    </row>
    <row r="215" spans="1:1" x14ac:dyDescent="0.2">
      <c r="A215" t="s">
        <v>2409</v>
      </c>
    </row>
    <row r="216" spans="1:1" x14ac:dyDescent="0.2">
      <c r="A216" t="s">
        <v>2410</v>
      </c>
    </row>
    <row r="217" spans="1:1" x14ac:dyDescent="0.2">
      <c r="A217" t="s">
        <v>2411</v>
      </c>
    </row>
    <row r="218" spans="1:1" x14ac:dyDescent="0.2">
      <c r="A218" t="s">
        <v>2412</v>
      </c>
    </row>
    <row r="219" spans="1:1" x14ac:dyDescent="0.2">
      <c r="A219" t="s">
        <v>2413</v>
      </c>
    </row>
    <row r="220" spans="1:1" x14ac:dyDescent="0.2">
      <c r="A220" t="s">
        <v>2414</v>
      </c>
    </row>
    <row r="221" spans="1:1" x14ac:dyDescent="0.2">
      <c r="A221" t="s">
        <v>2415</v>
      </c>
    </row>
    <row r="222" spans="1:1" x14ac:dyDescent="0.2">
      <c r="A222" t="s">
        <v>2416</v>
      </c>
    </row>
    <row r="223" spans="1:1" x14ac:dyDescent="0.2">
      <c r="A223" t="s">
        <v>2417</v>
      </c>
    </row>
    <row r="224" spans="1:1" x14ac:dyDescent="0.2">
      <c r="A224" t="s">
        <v>2418</v>
      </c>
    </row>
    <row r="225" spans="1:1" x14ac:dyDescent="0.2">
      <c r="A225" t="s">
        <v>2419</v>
      </c>
    </row>
    <row r="226" spans="1:1" x14ac:dyDescent="0.2">
      <c r="A226" t="s">
        <v>2420</v>
      </c>
    </row>
    <row r="227" spans="1:1" x14ac:dyDescent="0.2">
      <c r="A227" t="s">
        <v>2421</v>
      </c>
    </row>
    <row r="228" spans="1:1" x14ac:dyDescent="0.2">
      <c r="A228" t="s">
        <v>2422</v>
      </c>
    </row>
    <row r="229" spans="1:1" x14ac:dyDescent="0.2">
      <c r="A229" t="s">
        <v>2423</v>
      </c>
    </row>
    <row r="230" spans="1:1" x14ac:dyDescent="0.2">
      <c r="A230" t="s">
        <v>2424</v>
      </c>
    </row>
    <row r="231" spans="1:1" x14ac:dyDescent="0.2">
      <c r="A231" t="s">
        <v>2425</v>
      </c>
    </row>
    <row r="232" spans="1:1" x14ac:dyDescent="0.2">
      <c r="A232" t="s">
        <v>2426</v>
      </c>
    </row>
    <row r="233" spans="1:1" x14ac:dyDescent="0.2">
      <c r="A233" t="s">
        <v>2427</v>
      </c>
    </row>
    <row r="234" spans="1:1" x14ac:dyDescent="0.2">
      <c r="A234" t="s">
        <v>2428</v>
      </c>
    </row>
    <row r="235" spans="1:1" x14ac:dyDescent="0.2">
      <c r="A235" t="s">
        <v>2429</v>
      </c>
    </row>
    <row r="236" spans="1:1" x14ac:dyDescent="0.2">
      <c r="A236" t="s">
        <v>2430</v>
      </c>
    </row>
    <row r="237" spans="1:1" x14ac:dyDescent="0.2">
      <c r="A237" t="s">
        <v>2431</v>
      </c>
    </row>
    <row r="238" spans="1:1" x14ac:dyDescent="0.2">
      <c r="A238" t="s">
        <v>2432</v>
      </c>
    </row>
    <row r="239" spans="1:1" x14ac:dyDescent="0.2">
      <c r="A239" t="s">
        <v>2433</v>
      </c>
    </row>
    <row r="240" spans="1:1" x14ac:dyDescent="0.2">
      <c r="A240" t="s">
        <v>2434</v>
      </c>
    </row>
    <row r="241" spans="1:1" x14ac:dyDescent="0.2">
      <c r="A241" t="s">
        <v>2435</v>
      </c>
    </row>
    <row r="242" spans="1:1" x14ac:dyDescent="0.2">
      <c r="A242" t="s">
        <v>2436</v>
      </c>
    </row>
    <row r="243" spans="1:1" x14ac:dyDescent="0.2">
      <c r="A243" t="s">
        <v>2437</v>
      </c>
    </row>
    <row r="244" spans="1:1" x14ac:dyDescent="0.2">
      <c r="A244" t="s">
        <v>2438</v>
      </c>
    </row>
    <row r="245" spans="1:1" x14ac:dyDescent="0.2">
      <c r="A245" t="s">
        <v>2439</v>
      </c>
    </row>
    <row r="246" spans="1:1" x14ac:dyDescent="0.2">
      <c r="A246" t="s">
        <v>2440</v>
      </c>
    </row>
    <row r="247" spans="1:1" x14ac:dyDescent="0.2">
      <c r="A247" t="s">
        <v>2441</v>
      </c>
    </row>
    <row r="248" spans="1:1" x14ac:dyDescent="0.2">
      <c r="A248" t="s">
        <v>2442</v>
      </c>
    </row>
    <row r="249" spans="1:1" x14ac:dyDescent="0.2">
      <c r="A249" t="s">
        <v>2443</v>
      </c>
    </row>
    <row r="250" spans="1:1" x14ac:dyDescent="0.2">
      <c r="A250" t="s">
        <v>2444</v>
      </c>
    </row>
    <row r="251" spans="1:1" x14ac:dyDescent="0.2">
      <c r="A251" t="s">
        <v>2445</v>
      </c>
    </row>
    <row r="252" spans="1:1" x14ac:dyDescent="0.2">
      <c r="A252" t="s">
        <v>2446</v>
      </c>
    </row>
    <row r="253" spans="1:1" x14ac:dyDescent="0.2">
      <c r="A253" t="s">
        <v>2447</v>
      </c>
    </row>
    <row r="254" spans="1:1" x14ac:dyDescent="0.2">
      <c r="A254" t="s">
        <v>2448</v>
      </c>
    </row>
    <row r="255" spans="1:1" x14ac:dyDescent="0.2">
      <c r="A255" t="s">
        <v>2449</v>
      </c>
    </row>
    <row r="256" spans="1:1" x14ac:dyDescent="0.2">
      <c r="A256" t="s">
        <v>2450</v>
      </c>
    </row>
    <row r="257" spans="1:1" x14ac:dyDescent="0.2">
      <c r="A257" t="s">
        <v>2451</v>
      </c>
    </row>
    <row r="258" spans="1:1" x14ac:dyDescent="0.2">
      <c r="A258" t="s">
        <v>2452</v>
      </c>
    </row>
    <row r="259" spans="1:1" x14ac:dyDescent="0.2">
      <c r="A259" t="s">
        <v>2453</v>
      </c>
    </row>
    <row r="260" spans="1:1" x14ac:dyDescent="0.2">
      <c r="A260" t="s">
        <v>2454</v>
      </c>
    </row>
    <row r="261" spans="1:1" x14ac:dyDescent="0.2">
      <c r="A261" t="s">
        <v>2455</v>
      </c>
    </row>
    <row r="262" spans="1:1" x14ac:dyDescent="0.2">
      <c r="A262" t="s">
        <v>2456</v>
      </c>
    </row>
    <row r="263" spans="1:1" x14ac:dyDescent="0.2">
      <c r="A263" t="s">
        <v>2457</v>
      </c>
    </row>
    <row r="264" spans="1:1" x14ac:dyDescent="0.2">
      <c r="A264" t="s">
        <v>2458</v>
      </c>
    </row>
    <row r="265" spans="1:1" x14ac:dyDescent="0.2">
      <c r="A265" t="s">
        <v>2459</v>
      </c>
    </row>
    <row r="266" spans="1:1" x14ac:dyDescent="0.2">
      <c r="A266" t="s">
        <v>2460</v>
      </c>
    </row>
    <row r="267" spans="1:1" x14ac:dyDescent="0.2">
      <c r="A267" t="s">
        <v>2461</v>
      </c>
    </row>
    <row r="268" spans="1:1" x14ac:dyDescent="0.2">
      <c r="A268" t="s">
        <v>2462</v>
      </c>
    </row>
    <row r="269" spans="1:1" x14ac:dyDescent="0.2">
      <c r="A269" t="s">
        <v>2463</v>
      </c>
    </row>
    <row r="270" spans="1:1" x14ac:dyDescent="0.2">
      <c r="A270" t="s">
        <v>2464</v>
      </c>
    </row>
    <row r="271" spans="1:1" x14ac:dyDescent="0.2">
      <c r="A271" t="s">
        <v>2465</v>
      </c>
    </row>
    <row r="272" spans="1:1" x14ac:dyDescent="0.2">
      <c r="A272" t="s">
        <v>2466</v>
      </c>
    </row>
    <row r="273" spans="1:1" x14ac:dyDescent="0.2">
      <c r="A273" t="s">
        <v>2467</v>
      </c>
    </row>
    <row r="274" spans="1:1" x14ac:dyDescent="0.2">
      <c r="A274" t="s">
        <v>2468</v>
      </c>
    </row>
    <row r="275" spans="1:1" x14ac:dyDescent="0.2">
      <c r="A275" t="s">
        <v>2469</v>
      </c>
    </row>
    <row r="276" spans="1:1" x14ac:dyDescent="0.2">
      <c r="A276" t="s">
        <v>2470</v>
      </c>
    </row>
    <row r="277" spans="1:1" x14ac:dyDescent="0.2">
      <c r="A277" t="s">
        <v>2471</v>
      </c>
    </row>
    <row r="278" spans="1:1" x14ac:dyDescent="0.2">
      <c r="A278" t="s">
        <v>2472</v>
      </c>
    </row>
    <row r="279" spans="1:1" x14ac:dyDescent="0.2">
      <c r="A279" t="s">
        <v>2473</v>
      </c>
    </row>
    <row r="280" spans="1:1" x14ac:dyDescent="0.2">
      <c r="A280" t="s">
        <v>2474</v>
      </c>
    </row>
    <row r="281" spans="1:1" x14ac:dyDescent="0.2">
      <c r="A281" t="s">
        <v>2475</v>
      </c>
    </row>
    <row r="282" spans="1:1" x14ac:dyDescent="0.2">
      <c r="A282" t="s">
        <v>2476</v>
      </c>
    </row>
    <row r="283" spans="1:1" x14ac:dyDescent="0.2">
      <c r="A283" t="s">
        <v>2477</v>
      </c>
    </row>
    <row r="284" spans="1:1" x14ac:dyDescent="0.2">
      <c r="A284" t="s">
        <v>2478</v>
      </c>
    </row>
    <row r="285" spans="1:1" x14ac:dyDescent="0.2">
      <c r="A285" t="s">
        <v>2479</v>
      </c>
    </row>
    <row r="286" spans="1:1" x14ac:dyDescent="0.2">
      <c r="A286" t="s">
        <v>2480</v>
      </c>
    </row>
    <row r="287" spans="1:1" x14ac:dyDescent="0.2">
      <c r="A287" t="s">
        <v>2481</v>
      </c>
    </row>
    <row r="288" spans="1:1" x14ac:dyDescent="0.2">
      <c r="A288" t="s">
        <v>2482</v>
      </c>
    </row>
    <row r="289" spans="1:1" x14ac:dyDescent="0.2">
      <c r="A289" t="s">
        <v>2483</v>
      </c>
    </row>
    <row r="290" spans="1:1" x14ac:dyDescent="0.2">
      <c r="A290" t="s">
        <v>2484</v>
      </c>
    </row>
    <row r="291" spans="1:1" x14ac:dyDescent="0.2">
      <c r="A291" t="s">
        <v>2485</v>
      </c>
    </row>
    <row r="292" spans="1:1" x14ac:dyDescent="0.2">
      <c r="A292" t="s">
        <v>2486</v>
      </c>
    </row>
    <row r="293" spans="1:1" x14ac:dyDescent="0.2">
      <c r="A293" t="s">
        <v>2487</v>
      </c>
    </row>
    <row r="294" spans="1:1" x14ac:dyDescent="0.2">
      <c r="A294" t="s">
        <v>2488</v>
      </c>
    </row>
    <row r="295" spans="1:1" x14ac:dyDescent="0.2">
      <c r="A295" t="s">
        <v>2489</v>
      </c>
    </row>
    <row r="296" spans="1:1" x14ac:dyDescent="0.2">
      <c r="A296" t="s">
        <v>2490</v>
      </c>
    </row>
    <row r="297" spans="1:1" x14ac:dyDescent="0.2">
      <c r="A297" t="s">
        <v>2491</v>
      </c>
    </row>
    <row r="298" spans="1:1" x14ac:dyDescent="0.2">
      <c r="A298" t="s">
        <v>2492</v>
      </c>
    </row>
    <row r="299" spans="1:1" x14ac:dyDescent="0.2">
      <c r="A299" t="s">
        <v>2493</v>
      </c>
    </row>
    <row r="300" spans="1:1" x14ac:dyDescent="0.2">
      <c r="A300" t="s">
        <v>2494</v>
      </c>
    </row>
    <row r="301" spans="1:1" x14ac:dyDescent="0.2">
      <c r="A301" t="s">
        <v>2495</v>
      </c>
    </row>
    <row r="302" spans="1:1" x14ac:dyDescent="0.2">
      <c r="A302" t="s">
        <v>2496</v>
      </c>
    </row>
    <row r="303" spans="1:1" x14ac:dyDescent="0.2">
      <c r="A303" t="s">
        <v>2497</v>
      </c>
    </row>
    <row r="304" spans="1:1" x14ac:dyDescent="0.2">
      <c r="A304" t="s">
        <v>2498</v>
      </c>
    </row>
    <row r="305" spans="1:1" x14ac:dyDescent="0.2">
      <c r="A305" t="s">
        <v>2499</v>
      </c>
    </row>
    <row r="306" spans="1:1" x14ac:dyDescent="0.2">
      <c r="A306" t="s">
        <v>2500</v>
      </c>
    </row>
    <row r="307" spans="1:1" x14ac:dyDescent="0.2">
      <c r="A307" t="s">
        <v>2501</v>
      </c>
    </row>
    <row r="308" spans="1:1" x14ac:dyDescent="0.2">
      <c r="A308" t="s">
        <v>2502</v>
      </c>
    </row>
    <row r="309" spans="1:1" x14ac:dyDescent="0.2">
      <c r="A309" t="s">
        <v>2503</v>
      </c>
    </row>
    <row r="310" spans="1:1" x14ac:dyDescent="0.2">
      <c r="A310" t="s">
        <v>2504</v>
      </c>
    </row>
    <row r="311" spans="1:1" x14ac:dyDescent="0.2">
      <c r="A311" t="s">
        <v>2505</v>
      </c>
    </row>
    <row r="312" spans="1:1" x14ac:dyDescent="0.2">
      <c r="A312" t="s">
        <v>2506</v>
      </c>
    </row>
    <row r="313" spans="1:1" x14ac:dyDescent="0.2">
      <c r="A313" t="s">
        <v>2507</v>
      </c>
    </row>
    <row r="314" spans="1:1" x14ac:dyDescent="0.2">
      <c r="A314" t="s">
        <v>2508</v>
      </c>
    </row>
    <row r="315" spans="1:1" x14ac:dyDescent="0.2">
      <c r="A315" t="s">
        <v>2509</v>
      </c>
    </row>
    <row r="316" spans="1:1" x14ac:dyDescent="0.2">
      <c r="A316" t="s">
        <v>2510</v>
      </c>
    </row>
    <row r="317" spans="1:1" x14ac:dyDescent="0.2">
      <c r="A317" t="s">
        <v>2511</v>
      </c>
    </row>
    <row r="318" spans="1:1" x14ac:dyDescent="0.2">
      <c r="A318" t="s">
        <v>2512</v>
      </c>
    </row>
    <row r="319" spans="1:1" x14ac:dyDescent="0.2">
      <c r="A319" t="s">
        <v>2513</v>
      </c>
    </row>
    <row r="320" spans="1:1" x14ac:dyDescent="0.2">
      <c r="A320" t="s">
        <v>2514</v>
      </c>
    </row>
    <row r="321" spans="1:1" x14ac:dyDescent="0.2">
      <c r="A321" t="s">
        <v>2515</v>
      </c>
    </row>
    <row r="322" spans="1:1" x14ac:dyDescent="0.2">
      <c r="A322" t="s">
        <v>2516</v>
      </c>
    </row>
    <row r="323" spans="1:1" x14ac:dyDescent="0.2">
      <c r="A323" t="s">
        <v>2517</v>
      </c>
    </row>
    <row r="324" spans="1:1" x14ac:dyDescent="0.2">
      <c r="A324" t="s">
        <v>2518</v>
      </c>
    </row>
    <row r="325" spans="1:1" x14ac:dyDescent="0.2">
      <c r="A325" t="s">
        <v>2519</v>
      </c>
    </row>
    <row r="326" spans="1:1" x14ac:dyDescent="0.2">
      <c r="A326" t="s">
        <v>2520</v>
      </c>
    </row>
    <row r="327" spans="1:1" x14ac:dyDescent="0.2">
      <c r="A327" t="s">
        <v>2521</v>
      </c>
    </row>
    <row r="328" spans="1:1" x14ac:dyDescent="0.2">
      <c r="A328" t="s">
        <v>2522</v>
      </c>
    </row>
    <row r="329" spans="1:1" x14ac:dyDescent="0.2">
      <c r="A329" t="s">
        <v>2523</v>
      </c>
    </row>
    <row r="330" spans="1:1" x14ac:dyDescent="0.2">
      <c r="A330" t="s">
        <v>2524</v>
      </c>
    </row>
    <row r="331" spans="1:1" x14ac:dyDescent="0.2">
      <c r="A331" t="s">
        <v>2525</v>
      </c>
    </row>
    <row r="332" spans="1:1" x14ac:dyDescent="0.2">
      <c r="A332" t="s">
        <v>2526</v>
      </c>
    </row>
    <row r="333" spans="1:1" x14ac:dyDescent="0.2">
      <c r="A333" t="s">
        <v>2527</v>
      </c>
    </row>
    <row r="334" spans="1:1" x14ac:dyDescent="0.2">
      <c r="A334" t="s">
        <v>2528</v>
      </c>
    </row>
    <row r="335" spans="1:1" x14ac:dyDescent="0.2">
      <c r="A335" t="s">
        <v>2529</v>
      </c>
    </row>
    <row r="336" spans="1:1" x14ac:dyDescent="0.2">
      <c r="A336" t="s">
        <v>2530</v>
      </c>
    </row>
    <row r="337" spans="1:1" x14ac:dyDescent="0.2">
      <c r="A337" t="s">
        <v>2531</v>
      </c>
    </row>
    <row r="338" spans="1:1" x14ac:dyDescent="0.2">
      <c r="A338" t="s">
        <v>2532</v>
      </c>
    </row>
    <row r="339" spans="1:1" x14ac:dyDescent="0.2">
      <c r="A339" t="s">
        <v>2533</v>
      </c>
    </row>
    <row r="340" spans="1:1" x14ac:dyDescent="0.2">
      <c r="A340" t="s">
        <v>2534</v>
      </c>
    </row>
    <row r="341" spans="1:1" x14ac:dyDescent="0.2">
      <c r="A341" t="s">
        <v>2535</v>
      </c>
    </row>
    <row r="342" spans="1:1" x14ac:dyDescent="0.2">
      <c r="A342" t="s">
        <v>2536</v>
      </c>
    </row>
    <row r="343" spans="1:1" x14ac:dyDescent="0.2">
      <c r="A343" t="s">
        <v>2537</v>
      </c>
    </row>
    <row r="344" spans="1:1" x14ac:dyDescent="0.2">
      <c r="A344" t="s">
        <v>2538</v>
      </c>
    </row>
    <row r="345" spans="1:1" x14ac:dyDescent="0.2">
      <c r="A345" t="s">
        <v>2539</v>
      </c>
    </row>
    <row r="346" spans="1:1" x14ac:dyDescent="0.2">
      <c r="A346" t="s">
        <v>2540</v>
      </c>
    </row>
    <row r="347" spans="1:1" x14ac:dyDescent="0.2">
      <c r="A347" t="s">
        <v>2541</v>
      </c>
    </row>
    <row r="348" spans="1:1" x14ac:dyDescent="0.2">
      <c r="A348" t="s">
        <v>2542</v>
      </c>
    </row>
    <row r="349" spans="1:1" x14ac:dyDescent="0.2">
      <c r="A349" t="s">
        <v>2543</v>
      </c>
    </row>
    <row r="350" spans="1:1" x14ac:dyDescent="0.2">
      <c r="A350" t="s">
        <v>2544</v>
      </c>
    </row>
    <row r="351" spans="1:1" x14ac:dyDescent="0.2">
      <c r="A351" t="s">
        <v>2545</v>
      </c>
    </row>
    <row r="352" spans="1:1" x14ac:dyDescent="0.2">
      <c r="A352" t="s">
        <v>2546</v>
      </c>
    </row>
    <row r="353" spans="1:1" x14ac:dyDescent="0.2">
      <c r="A353" t="s">
        <v>2547</v>
      </c>
    </row>
    <row r="354" spans="1:1" x14ac:dyDescent="0.2">
      <c r="A354" t="s">
        <v>2548</v>
      </c>
    </row>
    <row r="355" spans="1:1" x14ac:dyDescent="0.2">
      <c r="A355" t="s">
        <v>2549</v>
      </c>
    </row>
    <row r="356" spans="1:1" x14ac:dyDescent="0.2">
      <c r="A356" t="s">
        <v>2550</v>
      </c>
    </row>
    <row r="357" spans="1:1" x14ac:dyDescent="0.2">
      <c r="A357" t="s">
        <v>2551</v>
      </c>
    </row>
    <row r="358" spans="1:1" x14ac:dyDescent="0.2">
      <c r="A358" t="s">
        <v>2552</v>
      </c>
    </row>
    <row r="359" spans="1:1" x14ac:dyDescent="0.2">
      <c r="A359" t="s">
        <v>2553</v>
      </c>
    </row>
    <row r="360" spans="1:1" x14ac:dyDescent="0.2">
      <c r="A360" t="s">
        <v>2554</v>
      </c>
    </row>
    <row r="361" spans="1:1" x14ac:dyDescent="0.2">
      <c r="A361" t="s">
        <v>2555</v>
      </c>
    </row>
    <row r="362" spans="1:1" x14ac:dyDescent="0.2">
      <c r="A362" t="s">
        <v>2556</v>
      </c>
    </row>
    <row r="363" spans="1:1" x14ac:dyDescent="0.2">
      <c r="A363" t="s">
        <v>2557</v>
      </c>
    </row>
    <row r="364" spans="1:1" x14ac:dyDescent="0.2">
      <c r="A364" t="s">
        <v>2558</v>
      </c>
    </row>
    <row r="365" spans="1:1" x14ac:dyDescent="0.2">
      <c r="A365" t="s">
        <v>2559</v>
      </c>
    </row>
    <row r="366" spans="1:1" x14ac:dyDescent="0.2">
      <c r="A366" t="s">
        <v>2560</v>
      </c>
    </row>
    <row r="367" spans="1:1" x14ac:dyDescent="0.2">
      <c r="A367" t="s">
        <v>2561</v>
      </c>
    </row>
    <row r="368" spans="1:1" x14ac:dyDescent="0.2">
      <c r="A368" t="s">
        <v>2562</v>
      </c>
    </row>
    <row r="369" spans="1:1" x14ac:dyDescent="0.2">
      <c r="A369" t="s">
        <v>2563</v>
      </c>
    </row>
    <row r="370" spans="1:1" x14ac:dyDescent="0.2">
      <c r="A370" t="s">
        <v>2564</v>
      </c>
    </row>
    <row r="371" spans="1:1" x14ac:dyDescent="0.2">
      <c r="A371" t="s">
        <v>2565</v>
      </c>
    </row>
    <row r="372" spans="1:1" x14ac:dyDescent="0.2">
      <c r="A372" t="s">
        <v>2566</v>
      </c>
    </row>
    <row r="373" spans="1:1" x14ac:dyDescent="0.2">
      <c r="A373" t="s">
        <v>2567</v>
      </c>
    </row>
    <row r="374" spans="1:1" x14ac:dyDescent="0.2">
      <c r="A374" t="s">
        <v>2568</v>
      </c>
    </row>
    <row r="375" spans="1:1" x14ac:dyDescent="0.2">
      <c r="A375" t="s">
        <v>2569</v>
      </c>
    </row>
    <row r="376" spans="1:1" x14ac:dyDescent="0.2">
      <c r="A376" t="s">
        <v>2570</v>
      </c>
    </row>
    <row r="377" spans="1:1" x14ac:dyDescent="0.2">
      <c r="A377" t="s">
        <v>2571</v>
      </c>
    </row>
    <row r="378" spans="1:1" x14ac:dyDescent="0.2">
      <c r="A378" t="s">
        <v>2572</v>
      </c>
    </row>
    <row r="379" spans="1:1" x14ac:dyDescent="0.2">
      <c r="A379" t="s">
        <v>2573</v>
      </c>
    </row>
    <row r="380" spans="1:1" x14ac:dyDescent="0.2">
      <c r="A380" t="s">
        <v>2574</v>
      </c>
    </row>
    <row r="381" spans="1:1" x14ac:dyDescent="0.2">
      <c r="A381" t="s">
        <v>2575</v>
      </c>
    </row>
    <row r="382" spans="1:1" x14ac:dyDescent="0.2">
      <c r="A382" t="s">
        <v>2576</v>
      </c>
    </row>
    <row r="383" spans="1:1" x14ac:dyDescent="0.2">
      <c r="A383" t="s">
        <v>2577</v>
      </c>
    </row>
    <row r="384" spans="1:1" x14ac:dyDescent="0.2">
      <c r="A384" t="s">
        <v>2578</v>
      </c>
    </row>
    <row r="385" spans="1:1" x14ac:dyDescent="0.2">
      <c r="A385" t="s">
        <v>2579</v>
      </c>
    </row>
    <row r="386" spans="1:1" x14ac:dyDescent="0.2">
      <c r="A386" t="s">
        <v>2580</v>
      </c>
    </row>
    <row r="387" spans="1:1" x14ac:dyDescent="0.2">
      <c r="A387" t="s">
        <v>2581</v>
      </c>
    </row>
    <row r="388" spans="1:1" x14ac:dyDescent="0.2">
      <c r="A388" t="s">
        <v>2582</v>
      </c>
    </row>
    <row r="389" spans="1:1" x14ac:dyDescent="0.2">
      <c r="A389" t="s">
        <v>2583</v>
      </c>
    </row>
    <row r="390" spans="1:1" x14ac:dyDescent="0.2">
      <c r="A390" t="s">
        <v>2584</v>
      </c>
    </row>
    <row r="391" spans="1:1" x14ac:dyDescent="0.2">
      <c r="A391" t="s">
        <v>2585</v>
      </c>
    </row>
    <row r="392" spans="1:1" x14ac:dyDescent="0.2">
      <c r="A392" t="s">
        <v>2586</v>
      </c>
    </row>
    <row r="393" spans="1:1" x14ac:dyDescent="0.2">
      <c r="A393" t="s">
        <v>2587</v>
      </c>
    </row>
    <row r="394" spans="1:1" x14ac:dyDescent="0.2">
      <c r="A394" t="s">
        <v>2588</v>
      </c>
    </row>
    <row r="395" spans="1:1" x14ac:dyDescent="0.2">
      <c r="A395" t="s">
        <v>2589</v>
      </c>
    </row>
    <row r="396" spans="1:1" x14ac:dyDescent="0.2">
      <c r="A396" t="s">
        <v>2590</v>
      </c>
    </row>
    <row r="397" spans="1:1" x14ac:dyDescent="0.2">
      <c r="A397" t="s">
        <v>2591</v>
      </c>
    </row>
    <row r="398" spans="1:1" x14ac:dyDescent="0.2">
      <c r="A398" t="s">
        <v>2592</v>
      </c>
    </row>
    <row r="399" spans="1:1" x14ac:dyDescent="0.2">
      <c r="A399" t="s">
        <v>2593</v>
      </c>
    </row>
    <row r="400" spans="1:1" x14ac:dyDescent="0.2">
      <c r="A400" t="s">
        <v>2594</v>
      </c>
    </row>
    <row r="401" spans="1:1" x14ac:dyDescent="0.2">
      <c r="A401" t="s">
        <v>2595</v>
      </c>
    </row>
    <row r="402" spans="1:1" x14ac:dyDescent="0.2">
      <c r="A402" t="s">
        <v>2596</v>
      </c>
    </row>
    <row r="403" spans="1:1" x14ac:dyDescent="0.2">
      <c r="A403" t="s">
        <v>2597</v>
      </c>
    </row>
    <row r="404" spans="1:1" x14ac:dyDescent="0.2">
      <c r="A404" t="s">
        <v>2598</v>
      </c>
    </row>
    <row r="405" spans="1:1" x14ac:dyDescent="0.2">
      <c r="A405" t="s">
        <v>2599</v>
      </c>
    </row>
    <row r="406" spans="1:1" x14ac:dyDescent="0.2">
      <c r="A406" t="s">
        <v>2600</v>
      </c>
    </row>
    <row r="407" spans="1:1" x14ac:dyDescent="0.2">
      <c r="A407" t="s">
        <v>2601</v>
      </c>
    </row>
    <row r="408" spans="1:1" x14ac:dyDescent="0.2">
      <c r="A408" t="s">
        <v>2602</v>
      </c>
    </row>
    <row r="409" spans="1:1" x14ac:dyDescent="0.2">
      <c r="A409" t="s">
        <v>2603</v>
      </c>
    </row>
    <row r="410" spans="1:1" x14ac:dyDescent="0.2">
      <c r="A410" t="s">
        <v>2604</v>
      </c>
    </row>
    <row r="411" spans="1:1" x14ac:dyDescent="0.2">
      <c r="A411" t="s">
        <v>2605</v>
      </c>
    </row>
    <row r="412" spans="1:1" x14ac:dyDescent="0.2">
      <c r="A412" t="s">
        <v>2606</v>
      </c>
    </row>
    <row r="413" spans="1:1" x14ac:dyDescent="0.2">
      <c r="A413" t="s">
        <v>2607</v>
      </c>
    </row>
    <row r="414" spans="1:1" x14ac:dyDescent="0.2">
      <c r="A414" t="s">
        <v>2608</v>
      </c>
    </row>
    <row r="415" spans="1:1" x14ac:dyDescent="0.2">
      <c r="A415" t="s">
        <v>2609</v>
      </c>
    </row>
    <row r="416" spans="1:1" x14ac:dyDescent="0.2">
      <c r="A416" t="s">
        <v>2610</v>
      </c>
    </row>
    <row r="417" spans="1:1" x14ac:dyDescent="0.2">
      <c r="A417" t="s">
        <v>2611</v>
      </c>
    </row>
    <row r="418" spans="1:1" x14ac:dyDescent="0.2">
      <c r="A418" t="s">
        <v>2612</v>
      </c>
    </row>
    <row r="419" spans="1:1" x14ac:dyDescent="0.2">
      <c r="A419" t="s">
        <v>2613</v>
      </c>
    </row>
    <row r="420" spans="1:1" x14ac:dyDescent="0.2">
      <c r="A420" t="s">
        <v>2614</v>
      </c>
    </row>
    <row r="421" spans="1:1" x14ac:dyDescent="0.2">
      <c r="A421" t="s">
        <v>2615</v>
      </c>
    </row>
    <row r="422" spans="1:1" x14ac:dyDescent="0.2">
      <c r="A422" t="s">
        <v>2616</v>
      </c>
    </row>
    <row r="423" spans="1:1" x14ac:dyDescent="0.2">
      <c r="A423" t="s">
        <v>2617</v>
      </c>
    </row>
    <row r="424" spans="1:1" x14ac:dyDescent="0.2">
      <c r="A424" t="s">
        <v>2618</v>
      </c>
    </row>
    <row r="425" spans="1:1" x14ac:dyDescent="0.2">
      <c r="A425" t="s">
        <v>2619</v>
      </c>
    </row>
    <row r="426" spans="1:1" x14ac:dyDescent="0.2">
      <c r="A426" t="s">
        <v>2620</v>
      </c>
    </row>
    <row r="427" spans="1:1" x14ac:dyDescent="0.2">
      <c r="A427" t="s">
        <v>2621</v>
      </c>
    </row>
    <row r="428" spans="1:1" x14ac:dyDescent="0.2">
      <c r="A428" t="s">
        <v>2622</v>
      </c>
    </row>
    <row r="429" spans="1:1" x14ac:dyDescent="0.2">
      <c r="A429" t="s">
        <v>2623</v>
      </c>
    </row>
    <row r="430" spans="1:1" x14ac:dyDescent="0.2">
      <c r="A430" t="s">
        <v>2624</v>
      </c>
    </row>
    <row r="431" spans="1:1" x14ac:dyDescent="0.2">
      <c r="A431" t="s">
        <v>2625</v>
      </c>
    </row>
    <row r="432" spans="1:1" x14ac:dyDescent="0.2">
      <c r="A432" t="s">
        <v>2626</v>
      </c>
    </row>
    <row r="433" spans="1:1" x14ac:dyDescent="0.2">
      <c r="A433" t="s">
        <v>2627</v>
      </c>
    </row>
    <row r="434" spans="1:1" x14ac:dyDescent="0.2">
      <c r="A434" t="s">
        <v>2628</v>
      </c>
    </row>
    <row r="435" spans="1:1" x14ac:dyDescent="0.2">
      <c r="A435" t="s">
        <v>2629</v>
      </c>
    </row>
    <row r="436" spans="1:1" x14ac:dyDescent="0.2">
      <c r="A436" t="s">
        <v>2630</v>
      </c>
    </row>
    <row r="437" spans="1:1" x14ac:dyDescent="0.2">
      <c r="A437" t="s">
        <v>2631</v>
      </c>
    </row>
    <row r="438" spans="1:1" x14ac:dyDescent="0.2">
      <c r="A438" t="s">
        <v>2632</v>
      </c>
    </row>
    <row r="439" spans="1:1" x14ac:dyDescent="0.2">
      <c r="A439" t="s">
        <v>2633</v>
      </c>
    </row>
    <row r="440" spans="1:1" x14ac:dyDescent="0.2">
      <c r="A440" t="s">
        <v>2634</v>
      </c>
    </row>
    <row r="441" spans="1:1" x14ac:dyDescent="0.2">
      <c r="A441" t="s">
        <v>2635</v>
      </c>
    </row>
    <row r="442" spans="1:1" x14ac:dyDescent="0.2">
      <c r="A442" t="s">
        <v>2636</v>
      </c>
    </row>
    <row r="443" spans="1:1" x14ac:dyDescent="0.2">
      <c r="A443" t="s">
        <v>2637</v>
      </c>
    </row>
    <row r="444" spans="1:1" x14ac:dyDescent="0.2">
      <c r="A444" t="s">
        <v>2638</v>
      </c>
    </row>
    <row r="445" spans="1:1" x14ac:dyDescent="0.2">
      <c r="A445" t="s">
        <v>2639</v>
      </c>
    </row>
    <row r="446" spans="1:1" x14ac:dyDescent="0.2">
      <c r="A446" t="s">
        <v>2640</v>
      </c>
    </row>
    <row r="447" spans="1:1" x14ac:dyDescent="0.2">
      <c r="A447" t="s">
        <v>2641</v>
      </c>
    </row>
    <row r="448" spans="1:1" x14ac:dyDescent="0.2">
      <c r="A448" t="s">
        <v>2642</v>
      </c>
    </row>
    <row r="449" spans="1:1" x14ac:dyDescent="0.2">
      <c r="A449" t="s">
        <v>2643</v>
      </c>
    </row>
    <row r="450" spans="1:1" x14ac:dyDescent="0.2">
      <c r="A450" t="s">
        <v>2644</v>
      </c>
    </row>
    <row r="451" spans="1:1" x14ac:dyDescent="0.2">
      <c r="A451" t="s">
        <v>2645</v>
      </c>
    </row>
    <row r="452" spans="1:1" x14ac:dyDescent="0.2">
      <c r="A452" t="s">
        <v>2646</v>
      </c>
    </row>
    <row r="453" spans="1:1" x14ac:dyDescent="0.2">
      <c r="A453" t="s">
        <v>2647</v>
      </c>
    </row>
    <row r="454" spans="1:1" x14ac:dyDescent="0.2">
      <c r="A454" t="s">
        <v>2648</v>
      </c>
    </row>
    <row r="455" spans="1:1" x14ac:dyDescent="0.2">
      <c r="A455" t="s">
        <v>2649</v>
      </c>
    </row>
    <row r="456" spans="1:1" x14ac:dyDescent="0.2">
      <c r="A456" t="s">
        <v>2650</v>
      </c>
    </row>
    <row r="457" spans="1:1" x14ac:dyDescent="0.2">
      <c r="A457" t="s">
        <v>2651</v>
      </c>
    </row>
    <row r="458" spans="1:1" x14ac:dyDescent="0.2">
      <c r="A458" t="s">
        <v>2652</v>
      </c>
    </row>
    <row r="459" spans="1:1" x14ac:dyDescent="0.2">
      <c r="A459" t="s">
        <v>2653</v>
      </c>
    </row>
    <row r="460" spans="1:1" x14ac:dyDescent="0.2">
      <c r="A460" t="s">
        <v>2654</v>
      </c>
    </row>
    <row r="461" spans="1:1" x14ac:dyDescent="0.2">
      <c r="A461" t="s">
        <v>2655</v>
      </c>
    </row>
    <row r="462" spans="1:1" x14ac:dyDescent="0.2">
      <c r="A462" t="s">
        <v>2656</v>
      </c>
    </row>
    <row r="463" spans="1:1" x14ac:dyDescent="0.2">
      <c r="A463" t="s">
        <v>2657</v>
      </c>
    </row>
    <row r="464" spans="1:1" x14ac:dyDescent="0.2">
      <c r="A464" t="s">
        <v>2658</v>
      </c>
    </row>
    <row r="465" spans="1:1" x14ac:dyDescent="0.2">
      <c r="A465" t="s">
        <v>2659</v>
      </c>
    </row>
    <row r="466" spans="1:1" x14ac:dyDescent="0.2">
      <c r="A466" t="s">
        <v>2660</v>
      </c>
    </row>
    <row r="467" spans="1:1" x14ac:dyDescent="0.2">
      <c r="A467" t="s">
        <v>2661</v>
      </c>
    </row>
    <row r="468" spans="1:1" x14ac:dyDescent="0.2">
      <c r="A468" t="s">
        <v>2662</v>
      </c>
    </row>
    <row r="469" spans="1:1" x14ac:dyDescent="0.2">
      <c r="A469" t="s">
        <v>2663</v>
      </c>
    </row>
    <row r="470" spans="1:1" x14ac:dyDescent="0.2">
      <c r="A470" t="s">
        <v>2664</v>
      </c>
    </row>
    <row r="471" spans="1:1" x14ac:dyDescent="0.2">
      <c r="A471" t="s">
        <v>2665</v>
      </c>
    </row>
    <row r="472" spans="1:1" x14ac:dyDescent="0.2">
      <c r="A472" t="s">
        <v>2666</v>
      </c>
    </row>
    <row r="473" spans="1:1" x14ac:dyDescent="0.2">
      <c r="A473" t="s">
        <v>2667</v>
      </c>
    </row>
    <row r="474" spans="1:1" x14ac:dyDescent="0.2">
      <c r="A474" t="s">
        <v>2668</v>
      </c>
    </row>
    <row r="475" spans="1:1" x14ac:dyDescent="0.2">
      <c r="A475" t="s">
        <v>2669</v>
      </c>
    </row>
    <row r="476" spans="1:1" x14ac:dyDescent="0.2">
      <c r="A476" t="s">
        <v>2670</v>
      </c>
    </row>
    <row r="477" spans="1:1" x14ac:dyDescent="0.2">
      <c r="A477" t="s">
        <v>2671</v>
      </c>
    </row>
    <row r="478" spans="1:1" x14ac:dyDescent="0.2">
      <c r="A478" t="s">
        <v>2672</v>
      </c>
    </row>
    <row r="479" spans="1:1" x14ac:dyDescent="0.2">
      <c r="A479" t="s">
        <v>2673</v>
      </c>
    </row>
    <row r="480" spans="1:1" x14ac:dyDescent="0.2">
      <c r="A480" t="s">
        <v>2674</v>
      </c>
    </row>
    <row r="481" spans="1:1" x14ac:dyDescent="0.2">
      <c r="A481" t="s">
        <v>2675</v>
      </c>
    </row>
    <row r="482" spans="1:1" x14ac:dyDescent="0.2">
      <c r="A482" t="s">
        <v>2158</v>
      </c>
    </row>
    <row r="483" spans="1:1" x14ac:dyDescent="0.2">
      <c r="A483" t="s">
        <v>2176</v>
      </c>
    </row>
    <row r="484" spans="1:1" x14ac:dyDescent="0.2">
      <c r="A484" t="s">
        <v>2205</v>
      </c>
    </row>
    <row r="485" spans="1:1" x14ac:dyDescent="0.2">
      <c r="A485" t="s">
        <v>2676</v>
      </c>
    </row>
    <row r="486" spans="1:1" x14ac:dyDescent="0.2">
      <c r="A486" t="s">
        <v>2162</v>
      </c>
    </row>
    <row r="487" spans="1:1" x14ac:dyDescent="0.2">
      <c r="A487" t="s">
        <v>2178</v>
      </c>
    </row>
    <row r="488" spans="1:1" x14ac:dyDescent="0.2">
      <c r="A488" t="s">
        <v>2202</v>
      </c>
    </row>
    <row r="489" spans="1:1" x14ac:dyDescent="0.2">
      <c r="A489" t="s">
        <v>2677</v>
      </c>
    </row>
    <row r="490" spans="1:1" x14ac:dyDescent="0.2">
      <c r="A490" t="s">
        <v>2159</v>
      </c>
    </row>
    <row r="491" spans="1:1" x14ac:dyDescent="0.2">
      <c r="A491" t="s">
        <v>2177</v>
      </c>
    </row>
    <row r="492" spans="1:1" x14ac:dyDescent="0.2">
      <c r="A492" t="s">
        <v>2211</v>
      </c>
    </row>
    <row r="493" spans="1:1" x14ac:dyDescent="0.2">
      <c r="A493" t="s">
        <v>2678</v>
      </c>
    </row>
    <row r="494" spans="1:1" x14ac:dyDescent="0.2">
      <c r="A494" t="s">
        <v>2679</v>
      </c>
    </row>
    <row r="495" spans="1:1" x14ac:dyDescent="0.2">
      <c r="A495" t="s">
        <v>2680</v>
      </c>
    </row>
    <row r="496" spans="1:1" x14ac:dyDescent="0.2">
      <c r="A496" t="s">
        <v>2681</v>
      </c>
    </row>
    <row r="497" spans="1:1" x14ac:dyDescent="0.2">
      <c r="A497" t="s">
        <v>2682</v>
      </c>
    </row>
    <row r="498" spans="1:1" x14ac:dyDescent="0.2">
      <c r="A498" t="s">
        <v>2683</v>
      </c>
    </row>
    <row r="499" spans="1:1" x14ac:dyDescent="0.2">
      <c r="A499" t="s">
        <v>2684</v>
      </c>
    </row>
    <row r="500" spans="1:1" x14ac:dyDescent="0.2">
      <c r="A500" t="s">
        <v>2685</v>
      </c>
    </row>
    <row r="501" spans="1:1" x14ac:dyDescent="0.2">
      <c r="A501" t="s">
        <v>2686</v>
      </c>
    </row>
    <row r="502" spans="1:1" x14ac:dyDescent="0.2">
      <c r="A502" t="s">
        <v>2687</v>
      </c>
    </row>
    <row r="503" spans="1:1" x14ac:dyDescent="0.2">
      <c r="A503" t="s">
        <v>2688</v>
      </c>
    </row>
    <row r="504" spans="1:1" x14ac:dyDescent="0.2">
      <c r="A504" t="s">
        <v>2689</v>
      </c>
    </row>
    <row r="505" spans="1:1" x14ac:dyDescent="0.2">
      <c r="A505" t="s">
        <v>2690</v>
      </c>
    </row>
    <row r="506" spans="1:1" x14ac:dyDescent="0.2">
      <c r="A506" t="s">
        <v>2691</v>
      </c>
    </row>
    <row r="507" spans="1:1" x14ac:dyDescent="0.2">
      <c r="A507" t="s">
        <v>2692</v>
      </c>
    </row>
    <row r="508" spans="1:1" x14ac:dyDescent="0.2">
      <c r="A508" t="s">
        <v>2693</v>
      </c>
    </row>
    <row r="509" spans="1:1" x14ac:dyDescent="0.2">
      <c r="A509" t="s">
        <v>2694</v>
      </c>
    </row>
    <row r="510" spans="1:1" x14ac:dyDescent="0.2">
      <c r="A510" t="s">
        <v>2695</v>
      </c>
    </row>
    <row r="511" spans="1:1" x14ac:dyDescent="0.2">
      <c r="A511" t="s">
        <v>2696</v>
      </c>
    </row>
    <row r="512" spans="1:1" x14ac:dyDescent="0.2">
      <c r="A512" t="s">
        <v>2697</v>
      </c>
    </row>
    <row r="513" spans="1:1" x14ac:dyDescent="0.2">
      <c r="A513" t="s">
        <v>2698</v>
      </c>
    </row>
    <row r="514" spans="1:1" x14ac:dyDescent="0.2">
      <c r="A514" t="s">
        <v>2699</v>
      </c>
    </row>
    <row r="515" spans="1:1" x14ac:dyDescent="0.2">
      <c r="A515" t="s">
        <v>2700</v>
      </c>
    </row>
    <row r="516" spans="1:1" x14ac:dyDescent="0.2">
      <c r="A516" t="s">
        <v>2701</v>
      </c>
    </row>
    <row r="517" spans="1:1" x14ac:dyDescent="0.2">
      <c r="A517" t="s">
        <v>2702</v>
      </c>
    </row>
    <row r="518" spans="1:1" x14ac:dyDescent="0.2">
      <c r="A518" t="s">
        <v>2703</v>
      </c>
    </row>
    <row r="519" spans="1:1" x14ac:dyDescent="0.2">
      <c r="A519" t="s">
        <v>2704</v>
      </c>
    </row>
    <row r="520" spans="1:1" x14ac:dyDescent="0.2">
      <c r="A520" t="s">
        <v>2705</v>
      </c>
    </row>
    <row r="521" spans="1:1" x14ac:dyDescent="0.2">
      <c r="A521" t="s">
        <v>2706</v>
      </c>
    </row>
    <row r="522" spans="1:1" x14ac:dyDescent="0.2">
      <c r="A522" t="s">
        <v>2707</v>
      </c>
    </row>
    <row r="523" spans="1:1" x14ac:dyDescent="0.2">
      <c r="A523" t="s">
        <v>2708</v>
      </c>
    </row>
    <row r="524" spans="1:1" x14ac:dyDescent="0.2">
      <c r="A524" t="s">
        <v>2709</v>
      </c>
    </row>
    <row r="525" spans="1:1" x14ac:dyDescent="0.2">
      <c r="A525" t="s">
        <v>2710</v>
      </c>
    </row>
    <row r="526" spans="1:1" x14ac:dyDescent="0.2">
      <c r="A526" t="s">
        <v>2711</v>
      </c>
    </row>
    <row r="527" spans="1:1" x14ac:dyDescent="0.2">
      <c r="A527" t="s">
        <v>2712</v>
      </c>
    </row>
    <row r="528" spans="1:1" x14ac:dyDescent="0.2">
      <c r="A528" t="s">
        <v>2713</v>
      </c>
    </row>
    <row r="529" spans="1:1" x14ac:dyDescent="0.2">
      <c r="A529" t="s">
        <v>2714</v>
      </c>
    </row>
    <row r="530" spans="1:1" x14ac:dyDescent="0.2">
      <c r="A530" t="s">
        <v>2715</v>
      </c>
    </row>
    <row r="531" spans="1:1" x14ac:dyDescent="0.2">
      <c r="A531" t="s">
        <v>2716</v>
      </c>
    </row>
    <row r="532" spans="1:1" x14ac:dyDescent="0.2">
      <c r="A532" t="s">
        <v>2717</v>
      </c>
    </row>
    <row r="533" spans="1:1" x14ac:dyDescent="0.2">
      <c r="A533" t="s">
        <v>2718</v>
      </c>
    </row>
    <row r="534" spans="1:1" x14ac:dyDescent="0.2">
      <c r="A534" t="s">
        <v>2719</v>
      </c>
    </row>
    <row r="535" spans="1:1" x14ac:dyDescent="0.2">
      <c r="A535" t="s">
        <v>2720</v>
      </c>
    </row>
    <row r="536" spans="1:1" x14ac:dyDescent="0.2">
      <c r="A536" t="s">
        <v>2721</v>
      </c>
    </row>
    <row r="537" spans="1:1" x14ac:dyDescent="0.2">
      <c r="A537" t="s">
        <v>2722</v>
      </c>
    </row>
    <row r="538" spans="1:1" x14ac:dyDescent="0.2">
      <c r="A538" t="s">
        <v>2723</v>
      </c>
    </row>
    <row r="539" spans="1:1" x14ac:dyDescent="0.2">
      <c r="A539" t="s">
        <v>2724</v>
      </c>
    </row>
    <row r="540" spans="1:1" x14ac:dyDescent="0.2">
      <c r="A540" t="s">
        <v>2725</v>
      </c>
    </row>
    <row r="541" spans="1:1" x14ac:dyDescent="0.2">
      <c r="A541" t="s">
        <v>2726</v>
      </c>
    </row>
    <row r="542" spans="1:1" x14ac:dyDescent="0.2">
      <c r="A542" t="s">
        <v>2727</v>
      </c>
    </row>
    <row r="543" spans="1:1" x14ac:dyDescent="0.2">
      <c r="A543" t="s">
        <v>2728</v>
      </c>
    </row>
    <row r="544" spans="1:1" x14ac:dyDescent="0.2">
      <c r="A544" t="s">
        <v>2729</v>
      </c>
    </row>
    <row r="545" spans="1:1" x14ac:dyDescent="0.2">
      <c r="A545" t="s">
        <v>2730</v>
      </c>
    </row>
    <row r="546" spans="1:1" x14ac:dyDescent="0.2">
      <c r="A546" t="s">
        <v>2731</v>
      </c>
    </row>
    <row r="547" spans="1:1" x14ac:dyDescent="0.2">
      <c r="A547" t="s">
        <v>2732</v>
      </c>
    </row>
    <row r="548" spans="1:1" x14ac:dyDescent="0.2">
      <c r="A548" t="s">
        <v>2733</v>
      </c>
    </row>
    <row r="549" spans="1:1" x14ac:dyDescent="0.2">
      <c r="A549" t="s">
        <v>2734</v>
      </c>
    </row>
    <row r="550" spans="1:1" x14ac:dyDescent="0.2">
      <c r="A550" t="s">
        <v>2735</v>
      </c>
    </row>
    <row r="551" spans="1:1" x14ac:dyDescent="0.2">
      <c r="A551" t="s">
        <v>2736</v>
      </c>
    </row>
    <row r="552" spans="1:1" x14ac:dyDescent="0.2">
      <c r="A552" t="s">
        <v>2737</v>
      </c>
    </row>
    <row r="553" spans="1:1" x14ac:dyDescent="0.2">
      <c r="A553" t="s">
        <v>2738</v>
      </c>
    </row>
    <row r="554" spans="1:1" x14ac:dyDescent="0.2">
      <c r="A554" t="s">
        <v>2739</v>
      </c>
    </row>
    <row r="555" spans="1:1" x14ac:dyDescent="0.2">
      <c r="A555" t="s">
        <v>2740</v>
      </c>
    </row>
    <row r="556" spans="1:1" x14ac:dyDescent="0.2">
      <c r="A556" t="s">
        <v>2741</v>
      </c>
    </row>
    <row r="557" spans="1:1" x14ac:dyDescent="0.2">
      <c r="A557" t="s">
        <v>2742</v>
      </c>
    </row>
    <row r="558" spans="1:1" x14ac:dyDescent="0.2">
      <c r="A558" t="s">
        <v>2743</v>
      </c>
    </row>
    <row r="559" spans="1:1" x14ac:dyDescent="0.2">
      <c r="A559" t="s">
        <v>2744</v>
      </c>
    </row>
    <row r="560" spans="1:1" x14ac:dyDescent="0.2">
      <c r="A560" t="s">
        <v>2745</v>
      </c>
    </row>
    <row r="561" spans="1:1" x14ac:dyDescent="0.2">
      <c r="A561" t="s">
        <v>2746</v>
      </c>
    </row>
    <row r="562" spans="1:1" x14ac:dyDescent="0.2">
      <c r="A562" t="s">
        <v>2747</v>
      </c>
    </row>
    <row r="563" spans="1:1" x14ac:dyDescent="0.2">
      <c r="A563" t="s">
        <v>2748</v>
      </c>
    </row>
    <row r="564" spans="1:1" x14ac:dyDescent="0.2">
      <c r="A564" t="s">
        <v>2749</v>
      </c>
    </row>
    <row r="565" spans="1:1" x14ac:dyDescent="0.2">
      <c r="A565" t="s">
        <v>2750</v>
      </c>
    </row>
    <row r="566" spans="1:1" x14ac:dyDescent="0.2">
      <c r="A566" t="s">
        <v>2751</v>
      </c>
    </row>
    <row r="567" spans="1:1" x14ac:dyDescent="0.2">
      <c r="A567" t="s">
        <v>2752</v>
      </c>
    </row>
    <row r="568" spans="1:1" x14ac:dyDescent="0.2">
      <c r="A568" t="s">
        <v>2753</v>
      </c>
    </row>
    <row r="569" spans="1:1" x14ac:dyDescent="0.2">
      <c r="A569" t="s">
        <v>2754</v>
      </c>
    </row>
    <row r="570" spans="1:1" x14ac:dyDescent="0.2">
      <c r="A570" t="s">
        <v>2755</v>
      </c>
    </row>
    <row r="571" spans="1:1" x14ac:dyDescent="0.2">
      <c r="A571" t="s">
        <v>2756</v>
      </c>
    </row>
    <row r="572" spans="1:1" x14ac:dyDescent="0.2">
      <c r="A572" t="s">
        <v>2757</v>
      </c>
    </row>
    <row r="573" spans="1:1" x14ac:dyDescent="0.2">
      <c r="A573" t="s">
        <v>2758</v>
      </c>
    </row>
    <row r="574" spans="1:1" x14ac:dyDescent="0.2">
      <c r="A574" t="s">
        <v>2759</v>
      </c>
    </row>
    <row r="575" spans="1:1" x14ac:dyDescent="0.2">
      <c r="A575" t="s">
        <v>2760</v>
      </c>
    </row>
    <row r="576" spans="1:1" x14ac:dyDescent="0.2">
      <c r="A576" t="s">
        <v>2761</v>
      </c>
    </row>
    <row r="577" spans="1:1" x14ac:dyDescent="0.2">
      <c r="A577" t="s">
        <v>2762</v>
      </c>
    </row>
    <row r="578" spans="1:1" x14ac:dyDescent="0.2">
      <c r="A578" t="s">
        <v>2763</v>
      </c>
    </row>
    <row r="579" spans="1:1" x14ac:dyDescent="0.2">
      <c r="A579" t="s">
        <v>2764</v>
      </c>
    </row>
    <row r="580" spans="1:1" x14ac:dyDescent="0.2">
      <c r="A580" t="s">
        <v>2765</v>
      </c>
    </row>
    <row r="581" spans="1:1" x14ac:dyDescent="0.2">
      <c r="A581" t="s">
        <v>2766</v>
      </c>
    </row>
    <row r="582" spans="1:1" x14ac:dyDescent="0.2">
      <c r="A582" t="s">
        <v>2767</v>
      </c>
    </row>
    <row r="583" spans="1:1" x14ac:dyDescent="0.2">
      <c r="A583" t="s">
        <v>2768</v>
      </c>
    </row>
    <row r="584" spans="1:1" x14ac:dyDescent="0.2">
      <c r="A584" t="s">
        <v>2769</v>
      </c>
    </row>
    <row r="585" spans="1:1" x14ac:dyDescent="0.2">
      <c r="A585" t="s">
        <v>2770</v>
      </c>
    </row>
    <row r="586" spans="1:1" x14ac:dyDescent="0.2">
      <c r="A586" t="s">
        <v>2771</v>
      </c>
    </row>
    <row r="587" spans="1:1" x14ac:dyDescent="0.2">
      <c r="A587" t="s">
        <v>2772</v>
      </c>
    </row>
    <row r="588" spans="1:1" x14ac:dyDescent="0.2">
      <c r="A588" t="s">
        <v>2773</v>
      </c>
    </row>
    <row r="589" spans="1:1" x14ac:dyDescent="0.2">
      <c r="A589" t="s">
        <v>2774</v>
      </c>
    </row>
    <row r="590" spans="1:1" x14ac:dyDescent="0.2">
      <c r="A590" t="s">
        <v>2775</v>
      </c>
    </row>
    <row r="591" spans="1:1" x14ac:dyDescent="0.2">
      <c r="A591" t="s">
        <v>2776</v>
      </c>
    </row>
    <row r="592" spans="1:1" x14ac:dyDescent="0.2">
      <c r="A592" t="s">
        <v>2777</v>
      </c>
    </row>
    <row r="593" spans="1:1" x14ac:dyDescent="0.2">
      <c r="A593" t="s">
        <v>2778</v>
      </c>
    </row>
    <row r="594" spans="1:1" x14ac:dyDescent="0.2">
      <c r="A594" t="s">
        <v>2779</v>
      </c>
    </row>
    <row r="595" spans="1:1" x14ac:dyDescent="0.2">
      <c r="A595" t="s">
        <v>2780</v>
      </c>
    </row>
    <row r="596" spans="1:1" x14ac:dyDescent="0.2">
      <c r="A596" t="s">
        <v>2781</v>
      </c>
    </row>
    <row r="597" spans="1:1" x14ac:dyDescent="0.2">
      <c r="A597" t="s">
        <v>2782</v>
      </c>
    </row>
    <row r="598" spans="1:1" x14ac:dyDescent="0.2">
      <c r="A598" t="s">
        <v>2783</v>
      </c>
    </row>
    <row r="599" spans="1:1" x14ac:dyDescent="0.2">
      <c r="A599" t="s">
        <v>2784</v>
      </c>
    </row>
    <row r="600" spans="1:1" x14ac:dyDescent="0.2">
      <c r="A600" t="s">
        <v>2785</v>
      </c>
    </row>
    <row r="601" spans="1:1" x14ac:dyDescent="0.2">
      <c r="A601" t="s">
        <v>2786</v>
      </c>
    </row>
    <row r="602" spans="1:1" x14ac:dyDescent="0.2">
      <c r="A602" t="s">
        <v>2787</v>
      </c>
    </row>
    <row r="603" spans="1:1" x14ac:dyDescent="0.2">
      <c r="A603" t="s">
        <v>2788</v>
      </c>
    </row>
    <row r="604" spans="1:1" x14ac:dyDescent="0.2">
      <c r="A604" t="s">
        <v>2789</v>
      </c>
    </row>
    <row r="605" spans="1:1" x14ac:dyDescent="0.2">
      <c r="A605" t="s">
        <v>2790</v>
      </c>
    </row>
    <row r="606" spans="1:1" x14ac:dyDescent="0.2">
      <c r="A606" t="s">
        <v>2791</v>
      </c>
    </row>
    <row r="607" spans="1:1" x14ac:dyDescent="0.2">
      <c r="A607" t="s">
        <v>2792</v>
      </c>
    </row>
    <row r="608" spans="1:1" x14ac:dyDescent="0.2">
      <c r="A608" t="s">
        <v>2793</v>
      </c>
    </row>
    <row r="609" spans="1:1" x14ac:dyDescent="0.2">
      <c r="A609" t="s">
        <v>2794</v>
      </c>
    </row>
    <row r="610" spans="1:1" x14ac:dyDescent="0.2">
      <c r="A610" t="s">
        <v>2795</v>
      </c>
    </row>
    <row r="611" spans="1:1" x14ac:dyDescent="0.2">
      <c r="A611" t="s">
        <v>2796</v>
      </c>
    </row>
    <row r="612" spans="1:1" x14ac:dyDescent="0.2">
      <c r="A612" t="s">
        <v>2797</v>
      </c>
    </row>
    <row r="613" spans="1:1" x14ac:dyDescent="0.2">
      <c r="A613" t="s">
        <v>2798</v>
      </c>
    </row>
    <row r="614" spans="1:1" x14ac:dyDescent="0.2">
      <c r="A614" t="s">
        <v>2799</v>
      </c>
    </row>
    <row r="615" spans="1:1" x14ac:dyDescent="0.2">
      <c r="A615" t="s">
        <v>2800</v>
      </c>
    </row>
    <row r="616" spans="1:1" x14ac:dyDescent="0.2">
      <c r="A616" t="s">
        <v>2801</v>
      </c>
    </row>
    <row r="617" spans="1:1" x14ac:dyDescent="0.2">
      <c r="A617" t="s">
        <v>2802</v>
      </c>
    </row>
    <row r="618" spans="1:1" x14ac:dyDescent="0.2">
      <c r="A618" t="s">
        <v>2803</v>
      </c>
    </row>
    <row r="619" spans="1:1" x14ac:dyDescent="0.2">
      <c r="A619" t="s">
        <v>2804</v>
      </c>
    </row>
    <row r="620" spans="1:1" x14ac:dyDescent="0.2">
      <c r="A620" t="s">
        <v>2805</v>
      </c>
    </row>
    <row r="621" spans="1:1" x14ac:dyDescent="0.2">
      <c r="A621" t="s">
        <v>2806</v>
      </c>
    </row>
    <row r="622" spans="1:1" x14ac:dyDescent="0.2">
      <c r="A622" t="s">
        <v>2807</v>
      </c>
    </row>
    <row r="623" spans="1:1" x14ac:dyDescent="0.2">
      <c r="A623" t="s">
        <v>2808</v>
      </c>
    </row>
    <row r="624" spans="1:1" x14ac:dyDescent="0.2">
      <c r="A624" t="s">
        <v>2809</v>
      </c>
    </row>
    <row r="625" spans="1:1" x14ac:dyDescent="0.2">
      <c r="A625" t="s">
        <v>2810</v>
      </c>
    </row>
    <row r="626" spans="1:1" x14ac:dyDescent="0.2">
      <c r="A626" t="s">
        <v>2811</v>
      </c>
    </row>
    <row r="627" spans="1:1" x14ac:dyDescent="0.2">
      <c r="A627" t="s">
        <v>2812</v>
      </c>
    </row>
    <row r="628" spans="1:1" x14ac:dyDescent="0.2">
      <c r="A628" t="s">
        <v>2813</v>
      </c>
    </row>
    <row r="629" spans="1:1" x14ac:dyDescent="0.2">
      <c r="A629" t="s">
        <v>2814</v>
      </c>
    </row>
    <row r="630" spans="1:1" x14ac:dyDescent="0.2">
      <c r="A630" t="s">
        <v>2815</v>
      </c>
    </row>
    <row r="631" spans="1:1" x14ac:dyDescent="0.2">
      <c r="A631" t="s">
        <v>2816</v>
      </c>
    </row>
    <row r="632" spans="1:1" x14ac:dyDescent="0.2">
      <c r="A632" t="s">
        <v>2817</v>
      </c>
    </row>
    <row r="633" spans="1:1" x14ac:dyDescent="0.2">
      <c r="A633" t="s">
        <v>2818</v>
      </c>
    </row>
    <row r="634" spans="1:1" x14ac:dyDescent="0.2">
      <c r="A634" t="s">
        <v>2819</v>
      </c>
    </row>
    <row r="635" spans="1:1" x14ac:dyDescent="0.2">
      <c r="A635" t="s">
        <v>2820</v>
      </c>
    </row>
    <row r="636" spans="1:1" x14ac:dyDescent="0.2">
      <c r="A636" t="s">
        <v>2821</v>
      </c>
    </row>
    <row r="637" spans="1:1" x14ac:dyDescent="0.2">
      <c r="A637" t="s">
        <v>2822</v>
      </c>
    </row>
    <row r="638" spans="1:1" x14ac:dyDescent="0.2">
      <c r="A638" t="s">
        <v>2823</v>
      </c>
    </row>
    <row r="639" spans="1:1" x14ac:dyDescent="0.2">
      <c r="A639" t="s">
        <v>2824</v>
      </c>
    </row>
    <row r="640" spans="1:1" x14ac:dyDescent="0.2">
      <c r="A640" t="s">
        <v>2825</v>
      </c>
    </row>
    <row r="641" spans="1:1" x14ac:dyDescent="0.2">
      <c r="A641" t="s">
        <v>2826</v>
      </c>
    </row>
    <row r="642" spans="1:1" x14ac:dyDescent="0.2">
      <c r="A642" t="s">
        <v>2827</v>
      </c>
    </row>
    <row r="643" spans="1:1" x14ac:dyDescent="0.2">
      <c r="A643" t="s">
        <v>2828</v>
      </c>
    </row>
    <row r="644" spans="1:1" x14ac:dyDescent="0.2">
      <c r="A644" t="s">
        <v>2829</v>
      </c>
    </row>
    <row r="645" spans="1:1" x14ac:dyDescent="0.2">
      <c r="A645" t="s">
        <v>2830</v>
      </c>
    </row>
    <row r="646" spans="1:1" x14ac:dyDescent="0.2">
      <c r="A646" t="s">
        <v>2831</v>
      </c>
    </row>
    <row r="647" spans="1:1" x14ac:dyDescent="0.2">
      <c r="A647" t="s">
        <v>2832</v>
      </c>
    </row>
    <row r="648" spans="1:1" x14ac:dyDescent="0.2">
      <c r="A648" t="s">
        <v>2833</v>
      </c>
    </row>
    <row r="649" spans="1:1" x14ac:dyDescent="0.2">
      <c r="A649" t="s">
        <v>2834</v>
      </c>
    </row>
    <row r="650" spans="1:1" x14ac:dyDescent="0.2">
      <c r="A650" t="s">
        <v>2157</v>
      </c>
    </row>
    <row r="651" spans="1:1" x14ac:dyDescent="0.2">
      <c r="A651" t="s">
        <v>2195</v>
      </c>
    </row>
    <row r="652" spans="1:1" x14ac:dyDescent="0.2">
      <c r="A652" t="s">
        <v>2200</v>
      </c>
    </row>
    <row r="653" spans="1:1" x14ac:dyDescent="0.2">
      <c r="A653" t="s">
        <v>2835</v>
      </c>
    </row>
    <row r="654" spans="1:1" x14ac:dyDescent="0.2">
      <c r="A654" t="s">
        <v>2197</v>
      </c>
    </row>
    <row r="655" spans="1:1" x14ac:dyDescent="0.2">
      <c r="A655" t="s">
        <v>2181</v>
      </c>
    </row>
    <row r="656" spans="1:1" x14ac:dyDescent="0.2">
      <c r="A656" t="s">
        <v>2140</v>
      </c>
    </row>
    <row r="657" spans="1:1" x14ac:dyDescent="0.2">
      <c r="A657" t="s">
        <v>2836</v>
      </c>
    </row>
    <row r="658" spans="1:1" x14ac:dyDescent="0.2">
      <c r="A658" t="s">
        <v>2156</v>
      </c>
    </row>
    <row r="659" spans="1:1" x14ac:dyDescent="0.2">
      <c r="A659" t="s">
        <v>2198</v>
      </c>
    </row>
    <row r="660" spans="1:1" x14ac:dyDescent="0.2">
      <c r="A660" t="s">
        <v>2199</v>
      </c>
    </row>
    <row r="661" spans="1:1" x14ac:dyDescent="0.2">
      <c r="A661" t="s">
        <v>2837</v>
      </c>
    </row>
    <row r="662" spans="1:1" x14ac:dyDescent="0.2">
      <c r="A662" t="s">
        <v>2838</v>
      </c>
    </row>
    <row r="663" spans="1:1" x14ac:dyDescent="0.2">
      <c r="A663" t="s">
        <v>2839</v>
      </c>
    </row>
    <row r="664" spans="1:1" x14ac:dyDescent="0.2">
      <c r="A664" t="s">
        <v>2840</v>
      </c>
    </row>
    <row r="665" spans="1:1" x14ac:dyDescent="0.2">
      <c r="A665" t="s">
        <v>2841</v>
      </c>
    </row>
    <row r="666" spans="1:1" x14ac:dyDescent="0.2">
      <c r="A666" t="s">
        <v>2842</v>
      </c>
    </row>
    <row r="667" spans="1:1" x14ac:dyDescent="0.2">
      <c r="A667" t="s">
        <v>2843</v>
      </c>
    </row>
    <row r="668" spans="1:1" x14ac:dyDescent="0.2">
      <c r="A668" t="s">
        <v>2844</v>
      </c>
    </row>
    <row r="669" spans="1:1" x14ac:dyDescent="0.2">
      <c r="A669" t="s">
        <v>2845</v>
      </c>
    </row>
    <row r="670" spans="1:1" x14ac:dyDescent="0.2">
      <c r="A670" t="s">
        <v>2846</v>
      </c>
    </row>
    <row r="671" spans="1:1" x14ac:dyDescent="0.2">
      <c r="A671" t="s">
        <v>2847</v>
      </c>
    </row>
    <row r="672" spans="1:1" x14ac:dyDescent="0.2">
      <c r="A672" t="s">
        <v>2848</v>
      </c>
    </row>
    <row r="673" spans="1:1" x14ac:dyDescent="0.2">
      <c r="A673" t="s">
        <v>2849</v>
      </c>
    </row>
    <row r="674" spans="1:1" x14ac:dyDescent="0.2">
      <c r="A674" t="s">
        <v>2850</v>
      </c>
    </row>
    <row r="675" spans="1:1" x14ac:dyDescent="0.2">
      <c r="A675" t="s">
        <v>2851</v>
      </c>
    </row>
    <row r="676" spans="1:1" x14ac:dyDescent="0.2">
      <c r="A676" t="s">
        <v>2852</v>
      </c>
    </row>
    <row r="677" spans="1:1" x14ac:dyDescent="0.2">
      <c r="A677" t="s">
        <v>2853</v>
      </c>
    </row>
    <row r="678" spans="1:1" x14ac:dyDescent="0.2">
      <c r="A678" t="s">
        <v>2854</v>
      </c>
    </row>
    <row r="679" spans="1:1" x14ac:dyDescent="0.2">
      <c r="A679" t="s">
        <v>2855</v>
      </c>
    </row>
    <row r="680" spans="1:1" x14ac:dyDescent="0.2">
      <c r="A680" t="s">
        <v>2856</v>
      </c>
    </row>
    <row r="681" spans="1:1" x14ac:dyDescent="0.2">
      <c r="A681" t="s">
        <v>2857</v>
      </c>
    </row>
    <row r="682" spans="1:1" x14ac:dyDescent="0.2">
      <c r="A682" t="s">
        <v>2858</v>
      </c>
    </row>
    <row r="683" spans="1:1" x14ac:dyDescent="0.2">
      <c r="A683" t="s">
        <v>2859</v>
      </c>
    </row>
    <row r="684" spans="1:1" x14ac:dyDescent="0.2">
      <c r="A684" t="s">
        <v>2860</v>
      </c>
    </row>
    <row r="685" spans="1:1" x14ac:dyDescent="0.2">
      <c r="A685" t="s">
        <v>2861</v>
      </c>
    </row>
    <row r="686" spans="1:1" x14ac:dyDescent="0.2">
      <c r="A686" t="s">
        <v>2862</v>
      </c>
    </row>
    <row r="687" spans="1:1" x14ac:dyDescent="0.2">
      <c r="A687" t="s">
        <v>2863</v>
      </c>
    </row>
    <row r="688" spans="1:1" x14ac:dyDescent="0.2">
      <c r="A688" t="s">
        <v>2864</v>
      </c>
    </row>
    <row r="689" spans="1:1" x14ac:dyDescent="0.2">
      <c r="A689" t="s">
        <v>2865</v>
      </c>
    </row>
    <row r="690" spans="1:1" x14ac:dyDescent="0.2">
      <c r="A690" t="s">
        <v>2866</v>
      </c>
    </row>
    <row r="691" spans="1:1" x14ac:dyDescent="0.2">
      <c r="A691" t="s">
        <v>2867</v>
      </c>
    </row>
    <row r="692" spans="1:1" x14ac:dyDescent="0.2">
      <c r="A692" t="s">
        <v>2868</v>
      </c>
    </row>
    <row r="693" spans="1:1" x14ac:dyDescent="0.2">
      <c r="A693" t="s">
        <v>2869</v>
      </c>
    </row>
    <row r="694" spans="1:1" x14ac:dyDescent="0.2">
      <c r="A694" t="s">
        <v>2870</v>
      </c>
    </row>
    <row r="695" spans="1:1" x14ac:dyDescent="0.2">
      <c r="A695" t="s">
        <v>2871</v>
      </c>
    </row>
    <row r="696" spans="1:1" x14ac:dyDescent="0.2">
      <c r="A696" t="s">
        <v>2872</v>
      </c>
    </row>
    <row r="697" spans="1:1" x14ac:dyDescent="0.2">
      <c r="A697" t="s">
        <v>2873</v>
      </c>
    </row>
    <row r="698" spans="1:1" x14ac:dyDescent="0.2">
      <c r="A698" t="s">
        <v>2874</v>
      </c>
    </row>
    <row r="699" spans="1:1" x14ac:dyDescent="0.2">
      <c r="A699" t="s">
        <v>2875</v>
      </c>
    </row>
    <row r="700" spans="1:1" x14ac:dyDescent="0.2">
      <c r="A700" t="s">
        <v>2876</v>
      </c>
    </row>
    <row r="701" spans="1:1" x14ac:dyDescent="0.2">
      <c r="A701" t="s">
        <v>2877</v>
      </c>
    </row>
    <row r="702" spans="1:1" x14ac:dyDescent="0.2">
      <c r="A702" t="s">
        <v>2878</v>
      </c>
    </row>
    <row r="703" spans="1:1" x14ac:dyDescent="0.2">
      <c r="A703" t="s">
        <v>2879</v>
      </c>
    </row>
    <row r="704" spans="1:1" x14ac:dyDescent="0.2">
      <c r="A704" t="s">
        <v>2880</v>
      </c>
    </row>
    <row r="705" spans="1:1" x14ac:dyDescent="0.2">
      <c r="A705" t="s">
        <v>2881</v>
      </c>
    </row>
    <row r="706" spans="1:1" x14ac:dyDescent="0.2">
      <c r="A706" t="s">
        <v>2882</v>
      </c>
    </row>
    <row r="707" spans="1:1" x14ac:dyDescent="0.2">
      <c r="A707" t="s">
        <v>2883</v>
      </c>
    </row>
    <row r="708" spans="1:1" x14ac:dyDescent="0.2">
      <c r="A708" t="s">
        <v>2884</v>
      </c>
    </row>
    <row r="709" spans="1:1" x14ac:dyDescent="0.2">
      <c r="A709" t="s">
        <v>2885</v>
      </c>
    </row>
    <row r="710" spans="1:1" x14ac:dyDescent="0.2">
      <c r="A710" t="s">
        <v>2886</v>
      </c>
    </row>
    <row r="711" spans="1:1" x14ac:dyDescent="0.2">
      <c r="A711" t="s">
        <v>2887</v>
      </c>
    </row>
    <row r="712" spans="1:1" x14ac:dyDescent="0.2">
      <c r="A712" t="s">
        <v>2888</v>
      </c>
    </row>
    <row r="713" spans="1:1" x14ac:dyDescent="0.2">
      <c r="A713" t="s">
        <v>2889</v>
      </c>
    </row>
    <row r="714" spans="1:1" x14ac:dyDescent="0.2">
      <c r="A714" t="s">
        <v>2890</v>
      </c>
    </row>
    <row r="715" spans="1:1" x14ac:dyDescent="0.2">
      <c r="A715" t="s">
        <v>2891</v>
      </c>
    </row>
    <row r="716" spans="1:1" x14ac:dyDescent="0.2">
      <c r="A716" t="s">
        <v>2892</v>
      </c>
    </row>
    <row r="717" spans="1:1" x14ac:dyDescent="0.2">
      <c r="A717" t="s">
        <v>2893</v>
      </c>
    </row>
    <row r="718" spans="1:1" x14ac:dyDescent="0.2">
      <c r="A718" t="s">
        <v>2894</v>
      </c>
    </row>
    <row r="719" spans="1:1" x14ac:dyDescent="0.2">
      <c r="A719" t="s">
        <v>2895</v>
      </c>
    </row>
    <row r="720" spans="1:1" x14ac:dyDescent="0.2">
      <c r="A720" t="s">
        <v>2896</v>
      </c>
    </row>
    <row r="721" spans="1:1" x14ac:dyDescent="0.2">
      <c r="A721" t="s">
        <v>2897</v>
      </c>
    </row>
    <row r="722" spans="1:1" x14ac:dyDescent="0.2">
      <c r="A722" t="s">
        <v>2898</v>
      </c>
    </row>
    <row r="723" spans="1:1" x14ac:dyDescent="0.2">
      <c r="A723" t="s">
        <v>2899</v>
      </c>
    </row>
    <row r="724" spans="1:1" x14ac:dyDescent="0.2">
      <c r="A724" t="s">
        <v>2900</v>
      </c>
    </row>
    <row r="725" spans="1:1" x14ac:dyDescent="0.2">
      <c r="A725" t="s">
        <v>2901</v>
      </c>
    </row>
    <row r="726" spans="1:1" x14ac:dyDescent="0.2">
      <c r="A726" t="s">
        <v>2902</v>
      </c>
    </row>
    <row r="727" spans="1:1" x14ac:dyDescent="0.2">
      <c r="A727" t="s">
        <v>2903</v>
      </c>
    </row>
    <row r="728" spans="1:1" x14ac:dyDescent="0.2">
      <c r="A728" t="s">
        <v>2904</v>
      </c>
    </row>
    <row r="729" spans="1:1" x14ac:dyDescent="0.2">
      <c r="A729" t="s">
        <v>2905</v>
      </c>
    </row>
    <row r="730" spans="1:1" x14ac:dyDescent="0.2">
      <c r="A730" t="s">
        <v>2906</v>
      </c>
    </row>
    <row r="731" spans="1:1" x14ac:dyDescent="0.2">
      <c r="A731" t="s">
        <v>2907</v>
      </c>
    </row>
    <row r="732" spans="1:1" x14ac:dyDescent="0.2">
      <c r="A732" t="s">
        <v>2908</v>
      </c>
    </row>
    <row r="733" spans="1:1" x14ac:dyDescent="0.2">
      <c r="A733" t="s">
        <v>2909</v>
      </c>
    </row>
    <row r="734" spans="1:1" x14ac:dyDescent="0.2">
      <c r="A734" t="s">
        <v>2910</v>
      </c>
    </row>
    <row r="735" spans="1:1" x14ac:dyDescent="0.2">
      <c r="A735" t="s">
        <v>2911</v>
      </c>
    </row>
    <row r="736" spans="1:1" x14ac:dyDescent="0.2">
      <c r="A736" t="s">
        <v>2912</v>
      </c>
    </row>
    <row r="737" spans="1:1" x14ac:dyDescent="0.2">
      <c r="A737" t="s">
        <v>2913</v>
      </c>
    </row>
    <row r="738" spans="1:1" x14ac:dyDescent="0.2">
      <c r="A738" t="s">
        <v>2914</v>
      </c>
    </row>
    <row r="739" spans="1:1" x14ac:dyDescent="0.2">
      <c r="A739" t="s">
        <v>2915</v>
      </c>
    </row>
    <row r="740" spans="1:1" x14ac:dyDescent="0.2">
      <c r="A740" t="s">
        <v>2916</v>
      </c>
    </row>
    <row r="741" spans="1:1" x14ac:dyDescent="0.2">
      <c r="A741" t="s">
        <v>2917</v>
      </c>
    </row>
    <row r="742" spans="1:1" x14ac:dyDescent="0.2">
      <c r="A742" t="s">
        <v>2918</v>
      </c>
    </row>
    <row r="743" spans="1:1" x14ac:dyDescent="0.2">
      <c r="A743" t="s">
        <v>2919</v>
      </c>
    </row>
    <row r="744" spans="1:1" x14ac:dyDescent="0.2">
      <c r="A744" t="s">
        <v>2920</v>
      </c>
    </row>
    <row r="745" spans="1:1" x14ac:dyDescent="0.2">
      <c r="A745" t="s">
        <v>2921</v>
      </c>
    </row>
    <row r="746" spans="1:1" x14ac:dyDescent="0.2">
      <c r="A746" t="s">
        <v>2922</v>
      </c>
    </row>
    <row r="747" spans="1:1" x14ac:dyDescent="0.2">
      <c r="A747" t="s">
        <v>2923</v>
      </c>
    </row>
    <row r="748" spans="1:1" x14ac:dyDescent="0.2">
      <c r="A748" t="s">
        <v>2924</v>
      </c>
    </row>
    <row r="749" spans="1:1" x14ac:dyDescent="0.2">
      <c r="A749" t="s">
        <v>2925</v>
      </c>
    </row>
    <row r="750" spans="1:1" x14ac:dyDescent="0.2">
      <c r="A750" t="s">
        <v>2926</v>
      </c>
    </row>
    <row r="751" spans="1:1" x14ac:dyDescent="0.2">
      <c r="A751" t="s">
        <v>2927</v>
      </c>
    </row>
    <row r="752" spans="1:1" x14ac:dyDescent="0.2">
      <c r="A752" t="s">
        <v>2928</v>
      </c>
    </row>
    <row r="753" spans="1:1" x14ac:dyDescent="0.2">
      <c r="A753" t="s">
        <v>2929</v>
      </c>
    </row>
    <row r="754" spans="1:1" x14ac:dyDescent="0.2">
      <c r="A754" t="s">
        <v>2930</v>
      </c>
    </row>
    <row r="755" spans="1:1" x14ac:dyDescent="0.2">
      <c r="A755" t="s">
        <v>2931</v>
      </c>
    </row>
    <row r="756" spans="1:1" x14ac:dyDescent="0.2">
      <c r="A756" t="s">
        <v>2932</v>
      </c>
    </row>
    <row r="757" spans="1:1" x14ac:dyDescent="0.2">
      <c r="A757" t="s">
        <v>2933</v>
      </c>
    </row>
    <row r="758" spans="1:1" x14ac:dyDescent="0.2">
      <c r="A758" t="s">
        <v>2151</v>
      </c>
    </row>
    <row r="759" spans="1:1" x14ac:dyDescent="0.2">
      <c r="A759" t="s">
        <v>2186</v>
      </c>
    </row>
    <row r="760" spans="1:1" x14ac:dyDescent="0.2">
      <c r="A760" t="s">
        <v>2206</v>
      </c>
    </row>
    <row r="761" spans="1:1" x14ac:dyDescent="0.2">
      <c r="A761" t="s">
        <v>2934</v>
      </c>
    </row>
    <row r="762" spans="1:1" x14ac:dyDescent="0.2">
      <c r="A762" t="s">
        <v>2168</v>
      </c>
    </row>
    <row r="763" spans="1:1" x14ac:dyDescent="0.2">
      <c r="A763" t="s">
        <v>2193</v>
      </c>
    </row>
    <row r="764" spans="1:1" x14ac:dyDescent="0.2">
      <c r="A764" t="s">
        <v>2148</v>
      </c>
    </row>
    <row r="765" spans="1:1" x14ac:dyDescent="0.2">
      <c r="A765" t="s">
        <v>2935</v>
      </c>
    </row>
    <row r="766" spans="1:1" x14ac:dyDescent="0.2">
      <c r="A766" t="s">
        <v>2170</v>
      </c>
    </row>
    <row r="767" spans="1:1" x14ac:dyDescent="0.2">
      <c r="A767" t="s">
        <v>2185</v>
      </c>
    </row>
    <row r="768" spans="1:1" x14ac:dyDescent="0.2">
      <c r="A768" t="s">
        <v>2141</v>
      </c>
    </row>
    <row r="769" spans="1:1" x14ac:dyDescent="0.2">
      <c r="A769" t="s">
        <v>2936</v>
      </c>
    </row>
    <row r="770" spans="1:1" x14ac:dyDescent="0.2">
      <c r="A770" t="s">
        <v>2937</v>
      </c>
    </row>
    <row r="771" spans="1:1" x14ac:dyDescent="0.2">
      <c r="A771" t="s">
        <v>2938</v>
      </c>
    </row>
    <row r="772" spans="1:1" x14ac:dyDescent="0.2">
      <c r="A772" t="s">
        <v>2939</v>
      </c>
    </row>
    <row r="773" spans="1:1" x14ac:dyDescent="0.2">
      <c r="A773" t="s">
        <v>2940</v>
      </c>
    </row>
    <row r="774" spans="1:1" x14ac:dyDescent="0.2">
      <c r="A774" t="s">
        <v>2941</v>
      </c>
    </row>
    <row r="775" spans="1:1" x14ac:dyDescent="0.2">
      <c r="A775" t="s">
        <v>2942</v>
      </c>
    </row>
    <row r="776" spans="1:1" x14ac:dyDescent="0.2">
      <c r="A776" t="s">
        <v>2943</v>
      </c>
    </row>
    <row r="777" spans="1:1" x14ac:dyDescent="0.2">
      <c r="A777" t="s">
        <v>2944</v>
      </c>
    </row>
    <row r="778" spans="1:1" x14ac:dyDescent="0.2">
      <c r="A778" t="s">
        <v>2945</v>
      </c>
    </row>
    <row r="779" spans="1:1" x14ac:dyDescent="0.2">
      <c r="A779" t="s">
        <v>2946</v>
      </c>
    </row>
    <row r="780" spans="1:1" x14ac:dyDescent="0.2">
      <c r="A780" t="s">
        <v>2947</v>
      </c>
    </row>
    <row r="781" spans="1:1" x14ac:dyDescent="0.2">
      <c r="A781" t="s">
        <v>2948</v>
      </c>
    </row>
    <row r="782" spans="1:1" x14ac:dyDescent="0.2">
      <c r="A782" t="s">
        <v>2949</v>
      </c>
    </row>
    <row r="783" spans="1:1" x14ac:dyDescent="0.2">
      <c r="A783" t="s">
        <v>2950</v>
      </c>
    </row>
    <row r="784" spans="1:1" x14ac:dyDescent="0.2">
      <c r="A784" t="s">
        <v>2951</v>
      </c>
    </row>
    <row r="785" spans="1:1" x14ac:dyDescent="0.2">
      <c r="A785" t="s">
        <v>2952</v>
      </c>
    </row>
    <row r="786" spans="1:1" x14ac:dyDescent="0.2">
      <c r="A786" t="s">
        <v>2953</v>
      </c>
    </row>
    <row r="787" spans="1:1" x14ac:dyDescent="0.2">
      <c r="A787" t="s">
        <v>2954</v>
      </c>
    </row>
    <row r="788" spans="1:1" x14ac:dyDescent="0.2">
      <c r="A788" t="s">
        <v>2955</v>
      </c>
    </row>
    <row r="789" spans="1:1" x14ac:dyDescent="0.2">
      <c r="A789" t="s">
        <v>2956</v>
      </c>
    </row>
    <row r="790" spans="1:1" x14ac:dyDescent="0.2">
      <c r="A790" t="s">
        <v>2957</v>
      </c>
    </row>
    <row r="791" spans="1:1" x14ac:dyDescent="0.2">
      <c r="A791" t="s">
        <v>2958</v>
      </c>
    </row>
    <row r="792" spans="1:1" x14ac:dyDescent="0.2">
      <c r="A792" t="s">
        <v>2959</v>
      </c>
    </row>
    <row r="793" spans="1:1" x14ac:dyDescent="0.2">
      <c r="A793" t="s">
        <v>2960</v>
      </c>
    </row>
    <row r="794" spans="1:1" x14ac:dyDescent="0.2">
      <c r="A794" t="s">
        <v>2961</v>
      </c>
    </row>
    <row r="795" spans="1:1" x14ac:dyDescent="0.2">
      <c r="A795" t="s">
        <v>2962</v>
      </c>
    </row>
    <row r="796" spans="1:1" x14ac:dyDescent="0.2">
      <c r="A796" t="s">
        <v>2963</v>
      </c>
    </row>
    <row r="797" spans="1:1" x14ac:dyDescent="0.2">
      <c r="A797" t="s">
        <v>2964</v>
      </c>
    </row>
    <row r="798" spans="1:1" x14ac:dyDescent="0.2">
      <c r="A798" t="s">
        <v>2965</v>
      </c>
    </row>
    <row r="799" spans="1:1" x14ac:dyDescent="0.2">
      <c r="A799" t="s">
        <v>2966</v>
      </c>
    </row>
    <row r="800" spans="1:1" x14ac:dyDescent="0.2">
      <c r="A800" t="s">
        <v>2967</v>
      </c>
    </row>
    <row r="801" spans="1:1" x14ac:dyDescent="0.2">
      <c r="A801" t="s">
        <v>2968</v>
      </c>
    </row>
    <row r="802" spans="1:1" x14ac:dyDescent="0.2">
      <c r="A802" t="s">
        <v>2969</v>
      </c>
    </row>
    <row r="803" spans="1:1" x14ac:dyDescent="0.2">
      <c r="A803" t="s">
        <v>2970</v>
      </c>
    </row>
    <row r="804" spans="1:1" x14ac:dyDescent="0.2">
      <c r="A804" t="s">
        <v>2971</v>
      </c>
    </row>
    <row r="805" spans="1:1" x14ac:dyDescent="0.2">
      <c r="A805" t="s">
        <v>2972</v>
      </c>
    </row>
    <row r="806" spans="1:1" x14ac:dyDescent="0.2">
      <c r="A806" t="s">
        <v>2973</v>
      </c>
    </row>
    <row r="807" spans="1:1" x14ac:dyDescent="0.2">
      <c r="A807" t="s">
        <v>2974</v>
      </c>
    </row>
    <row r="808" spans="1:1" x14ac:dyDescent="0.2">
      <c r="A808" t="s">
        <v>2975</v>
      </c>
    </row>
    <row r="809" spans="1:1" x14ac:dyDescent="0.2">
      <c r="A809" t="s">
        <v>2976</v>
      </c>
    </row>
    <row r="810" spans="1:1" x14ac:dyDescent="0.2">
      <c r="A810" t="s">
        <v>2977</v>
      </c>
    </row>
    <row r="811" spans="1:1" x14ac:dyDescent="0.2">
      <c r="A811" t="s">
        <v>2978</v>
      </c>
    </row>
    <row r="812" spans="1:1" x14ac:dyDescent="0.2">
      <c r="A812" t="s">
        <v>2979</v>
      </c>
    </row>
    <row r="813" spans="1:1" x14ac:dyDescent="0.2">
      <c r="A813" t="s">
        <v>2980</v>
      </c>
    </row>
    <row r="814" spans="1:1" x14ac:dyDescent="0.2">
      <c r="A814" t="s">
        <v>2981</v>
      </c>
    </row>
    <row r="815" spans="1:1" x14ac:dyDescent="0.2">
      <c r="A815" t="s">
        <v>2982</v>
      </c>
    </row>
    <row r="816" spans="1:1" x14ac:dyDescent="0.2">
      <c r="A816" t="s">
        <v>2983</v>
      </c>
    </row>
    <row r="817" spans="1:1" x14ac:dyDescent="0.2">
      <c r="A817" t="s">
        <v>2984</v>
      </c>
    </row>
    <row r="818" spans="1:1" x14ac:dyDescent="0.2">
      <c r="A818" t="s">
        <v>2985</v>
      </c>
    </row>
    <row r="819" spans="1:1" x14ac:dyDescent="0.2">
      <c r="A819" t="s">
        <v>2986</v>
      </c>
    </row>
    <row r="820" spans="1:1" x14ac:dyDescent="0.2">
      <c r="A820" t="s">
        <v>2987</v>
      </c>
    </row>
    <row r="821" spans="1:1" x14ac:dyDescent="0.2">
      <c r="A821" t="s">
        <v>2988</v>
      </c>
    </row>
    <row r="822" spans="1:1" x14ac:dyDescent="0.2">
      <c r="A822" t="s">
        <v>2989</v>
      </c>
    </row>
    <row r="823" spans="1:1" x14ac:dyDescent="0.2">
      <c r="A823" t="s">
        <v>2990</v>
      </c>
    </row>
    <row r="824" spans="1:1" x14ac:dyDescent="0.2">
      <c r="A824" t="s">
        <v>2991</v>
      </c>
    </row>
    <row r="825" spans="1:1" x14ac:dyDescent="0.2">
      <c r="A825" t="s">
        <v>2992</v>
      </c>
    </row>
    <row r="826" spans="1:1" x14ac:dyDescent="0.2">
      <c r="A826" t="s">
        <v>2993</v>
      </c>
    </row>
    <row r="827" spans="1:1" x14ac:dyDescent="0.2">
      <c r="A827" t="s">
        <v>2994</v>
      </c>
    </row>
    <row r="828" spans="1:1" x14ac:dyDescent="0.2">
      <c r="A828" t="s">
        <v>2995</v>
      </c>
    </row>
    <row r="829" spans="1:1" x14ac:dyDescent="0.2">
      <c r="A829" t="s">
        <v>2996</v>
      </c>
    </row>
    <row r="830" spans="1:1" x14ac:dyDescent="0.2">
      <c r="A830" t="s">
        <v>2997</v>
      </c>
    </row>
    <row r="831" spans="1:1" x14ac:dyDescent="0.2">
      <c r="A831" t="s">
        <v>2998</v>
      </c>
    </row>
    <row r="832" spans="1:1" x14ac:dyDescent="0.2">
      <c r="A832" t="s">
        <v>2999</v>
      </c>
    </row>
    <row r="833" spans="1:1" x14ac:dyDescent="0.2">
      <c r="A833" t="s">
        <v>3000</v>
      </c>
    </row>
    <row r="834" spans="1:1" x14ac:dyDescent="0.2">
      <c r="A834" t="s">
        <v>3001</v>
      </c>
    </row>
    <row r="835" spans="1:1" x14ac:dyDescent="0.2">
      <c r="A835" t="s">
        <v>3002</v>
      </c>
    </row>
    <row r="836" spans="1:1" x14ac:dyDescent="0.2">
      <c r="A836" t="s">
        <v>3003</v>
      </c>
    </row>
    <row r="837" spans="1:1" x14ac:dyDescent="0.2">
      <c r="A837" t="s">
        <v>3004</v>
      </c>
    </row>
    <row r="838" spans="1:1" x14ac:dyDescent="0.2">
      <c r="A838" t="s">
        <v>3005</v>
      </c>
    </row>
    <row r="839" spans="1:1" x14ac:dyDescent="0.2">
      <c r="A839" t="s">
        <v>3006</v>
      </c>
    </row>
    <row r="840" spans="1:1" x14ac:dyDescent="0.2">
      <c r="A840" t="s">
        <v>3007</v>
      </c>
    </row>
    <row r="841" spans="1:1" x14ac:dyDescent="0.2">
      <c r="A841" t="s">
        <v>3008</v>
      </c>
    </row>
    <row r="842" spans="1:1" x14ac:dyDescent="0.2">
      <c r="A842" t="s">
        <v>2167</v>
      </c>
    </row>
    <row r="843" spans="1:1" x14ac:dyDescent="0.2">
      <c r="A843" t="s">
        <v>2187</v>
      </c>
    </row>
    <row r="844" spans="1:1" x14ac:dyDescent="0.2">
      <c r="A844" t="s">
        <v>2209</v>
      </c>
    </row>
    <row r="845" spans="1:1" x14ac:dyDescent="0.2">
      <c r="A845" t="s">
        <v>3009</v>
      </c>
    </row>
    <row r="846" spans="1:1" x14ac:dyDescent="0.2">
      <c r="A846" t="s">
        <v>2172</v>
      </c>
    </row>
    <row r="847" spans="1:1" x14ac:dyDescent="0.2">
      <c r="A847" t="s">
        <v>2190</v>
      </c>
    </row>
    <row r="848" spans="1:1" x14ac:dyDescent="0.2">
      <c r="A848" t="s">
        <v>2210</v>
      </c>
    </row>
    <row r="849" spans="1:1" x14ac:dyDescent="0.2">
      <c r="A849" t="s">
        <v>3010</v>
      </c>
    </row>
    <row r="850" spans="1:1" x14ac:dyDescent="0.2">
      <c r="A850" t="s">
        <v>2163</v>
      </c>
    </row>
    <row r="851" spans="1:1" x14ac:dyDescent="0.2">
      <c r="A851" t="s">
        <v>2188</v>
      </c>
    </row>
    <row r="852" spans="1:1" x14ac:dyDescent="0.2">
      <c r="A852" t="s">
        <v>2147</v>
      </c>
    </row>
    <row r="853" spans="1:1" x14ac:dyDescent="0.2">
      <c r="A853" t="s">
        <v>3011</v>
      </c>
    </row>
    <row r="854" spans="1:1" x14ac:dyDescent="0.2">
      <c r="A854" t="s">
        <v>3012</v>
      </c>
    </row>
    <row r="855" spans="1:1" x14ac:dyDescent="0.2">
      <c r="A855" t="s">
        <v>3013</v>
      </c>
    </row>
    <row r="856" spans="1:1" x14ac:dyDescent="0.2">
      <c r="A856" t="s">
        <v>3014</v>
      </c>
    </row>
    <row r="857" spans="1:1" x14ac:dyDescent="0.2">
      <c r="A857" t="s">
        <v>3015</v>
      </c>
    </row>
    <row r="858" spans="1:1" x14ac:dyDescent="0.2">
      <c r="A858" t="s">
        <v>3016</v>
      </c>
    </row>
    <row r="859" spans="1:1" x14ac:dyDescent="0.2">
      <c r="A859" t="s">
        <v>3017</v>
      </c>
    </row>
    <row r="860" spans="1:1" x14ac:dyDescent="0.2">
      <c r="A860" t="s">
        <v>3018</v>
      </c>
    </row>
    <row r="861" spans="1:1" x14ac:dyDescent="0.2">
      <c r="A861" t="s">
        <v>3019</v>
      </c>
    </row>
    <row r="862" spans="1:1" x14ac:dyDescent="0.2">
      <c r="A862" t="s">
        <v>3020</v>
      </c>
    </row>
    <row r="863" spans="1:1" x14ac:dyDescent="0.2">
      <c r="A863" t="s">
        <v>3021</v>
      </c>
    </row>
    <row r="864" spans="1:1" x14ac:dyDescent="0.2">
      <c r="A864" t="s">
        <v>3022</v>
      </c>
    </row>
    <row r="865" spans="1:1" x14ac:dyDescent="0.2">
      <c r="A865" t="s">
        <v>3023</v>
      </c>
    </row>
    <row r="866" spans="1:1" x14ac:dyDescent="0.2">
      <c r="A866" t="s">
        <v>3024</v>
      </c>
    </row>
    <row r="867" spans="1:1" x14ac:dyDescent="0.2">
      <c r="A867" t="s">
        <v>3025</v>
      </c>
    </row>
    <row r="868" spans="1:1" x14ac:dyDescent="0.2">
      <c r="A868" t="s">
        <v>3026</v>
      </c>
    </row>
    <row r="869" spans="1:1" x14ac:dyDescent="0.2">
      <c r="A869" t="s">
        <v>3027</v>
      </c>
    </row>
    <row r="870" spans="1:1" x14ac:dyDescent="0.2">
      <c r="A870" t="s">
        <v>3028</v>
      </c>
    </row>
    <row r="871" spans="1:1" x14ac:dyDescent="0.2">
      <c r="A871" t="s">
        <v>3029</v>
      </c>
    </row>
    <row r="872" spans="1:1" x14ac:dyDescent="0.2">
      <c r="A872" t="s">
        <v>3030</v>
      </c>
    </row>
    <row r="873" spans="1:1" x14ac:dyDescent="0.2">
      <c r="A873" t="s">
        <v>3031</v>
      </c>
    </row>
    <row r="874" spans="1:1" x14ac:dyDescent="0.2">
      <c r="A874" t="s">
        <v>3032</v>
      </c>
    </row>
    <row r="875" spans="1:1" x14ac:dyDescent="0.2">
      <c r="A875" t="s">
        <v>3033</v>
      </c>
    </row>
    <row r="876" spans="1:1" x14ac:dyDescent="0.2">
      <c r="A876" t="s">
        <v>3034</v>
      </c>
    </row>
    <row r="877" spans="1:1" x14ac:dyDescent="0.2">
      <c r="A877" t="s">
        <v>3035</v>
      </c>
    </row>
    <row r="878" spans="1:1" x14ac:dyDescent="0.2">
      <c r="A878" t="s">
        <v>3036</v>
      </c>
    </row>
    <row r="879" spans="1:1" x14ac:dyDescent="0.2">
      <c r="A879" t="s">
        <v>3037</v>
      </c>
    </row>
    <row r="880" spans="1:1" x14ac:dyDescent="0.2">
      <c r="A880" t="s">
        <v>3038</v>
      </c>
    </row>
    <row r="881" spans="1:1" x14ac:dyDescent="0.2">
      <c r="A881" t="s">
        <v>3039</v>
      </c>
    </row>
    <row r="882" spans="1:1" x14ac:dyDescent="0.2">
      <c r="A882" t="s">
        <v>3040</v>
      </c>
    </row>
    <row r="883" spans="1:1" x14ac:dyDescent="0.2">
      <c r="A883" t="s">
        <v>3041</v>
      </c>
    </row>
    <row r="884" spans="1:1" x14ac:dyDescent="0.2">
      <c r="A884" t="s">
        <v>3042</v>
      </c>
    </row>
    <row r="885" spans="1:1" x14ac:dyDescent="0.2">
      <c r="A885" t="s">
        <v>3043</v>
      </c>
    </row>
    <row r="886" spans="1:1" x14ac:dyDescent="0.2">
      <c r="A886" t="s">
        <v>3044</v>
      </c>
    </row>
    <row r="887" spans="1:1" x14ac:dyDescent="0.2">
      <c r="A887" t="s">
        <v>3045</v>
      </c>
    </row>
    <row r="888" spans="1:1" x14ac:dyDescent="0.2">
      <c r="A888" t="s">
        <v>3046</v>
      </c>
    </row>
    <row r="889" spans="1:1" x14ac:dyDescent="0.2">
      <c r="A889" t="s">
        <v>3047</v>
      </c>
    </row>
    <row r="890" spans="1:1" x14ac:dyDescent="0.2">
      <c r="A890" t="s">
        <v>3048</v>
      </c>
    </row>
    <row r="891" spans="1:1" x14ac:dyDescent="0.2">
      <c r="A891" t="s">
        <v>3049</v>
      </c>
    </row>
    <row r="892" spans="1:1" x14ac:dyDescent="0.2">
      <c r="A892" t="s">
        <v>3050</v>
      </c>
    </row>
    <row r="893" spans="1:1" x14ac:dyDescent="0.2">
      <c r="A893" t="s">
        <v>3051</v>
      </c>
    </row>
    <row r="894" spans="1:1" x14ac:dyDescent="0.2">
      <c r="A894" t="s">
        <v>3052</v>
      </c>
    </row>
    <row r="895" spans="1:1" x14ac:dyDescent="0.2">
      <c r="A895" t="s">
        <v>3053</v>
      </c>
    </row>
    <row r="896" spans="1:1" x14ac:dyDescent="0.2">
      <c r="A896" t="s">
        <v>3054</v>
      </c>
    </row>
    <row r="897" spans="1:1" x14ac:dyDescent="0.2">
      <c r="A897" t="s">
        <v>3055</v>
      </c>
    </row>
    <row r="898" spans="1:1" x14ac:dyDescent="0.2">
      <c r="A898" t="s">
        <v>3056</v>
      </c>
    </row>
    <row r="899" spans="1:1" x14ac:dyDescent="0.2">
      <c r="A899" t="s">
        <v>3057</v>
      </c>
    </row>
    <row r="900" spans="1:1" x14ac:dyDescent="0.2">
      <c r="A900" t="s">
        <v>3058</v>
      </c>
    </row>
    <row r="901" spans="1:1" x14ac:dyDescent="0.2">
      <c r="A901" t="s">
        <v>3059</v>
      </c>
    </row>
    <row r="902" spans="1:1" x14ac:dyDescent="0.2">
      <c r="A902" t="s">
        <v>3060</v>
      </c>
    </row>
    <row r="903" spans="1:1" x14ac:dyDescent="0.2">
      <c r="A903" t="s">
        <v>3061</v>
      </c>
    </row>
    <row r="904" spans="1:1" x14ac:dyDescent="0.2">
      <c r="A904" t="s">
        <v>3062</v>
      </c>
    </row>
    <row r="905" spans="1:1" x14ac:dyDescent="0.2">
      <c r="A905" t="s">
        <v>3063</v>
      </c>
    </row>
    <row r="906" spans="1:1" x14ac:dyDescent="0.2">
      <c r="A906" t="s">
        <v>3064</v>
      </c>
    </row>
    <row r="907" spans="1:1" x14ac:dyDescent="0.2">
      <c r="A907" t="s">
        <v>3065</v>
      </c>
    </row>
    <row r="908" spans="1:1" x14ac:dyDescent="0.2">
      <c r="A908" t="s">
        <v>3066</v>
      </c>
    </row>
    <row r="909" spans="1:1" x14ac:dyDescent="0.2">
      <c r="A909" t="s">
        <v>3067</v>
      </c>
    </row>
    <row r="910" spans="1:1" x14ac:dyDescent="0.2">
      <c r="A910" t="s">
        <v>3068</v>
      </c>
    </row>
    <row r="911" spans="1:1" x14ac:dyDescent="0.2">
      <c r="A911" t="s">
        <v>3069</v>
      </c>
    </row>
    <row r="912" spans="1:1" x14ac:dyDescent="0.2">
      <c r="A912" t="s">
        <v>3070</v>
      </c>
    </row>
    <row r="913" spans="1:1" x14ac:dyDescent="0.2">
      <c r="A913" t="s">
        <v>3071</v>
      </c>
    </row>
    <row r="914" spans="1:1" x14ac:dyDescent="0.2">
      <c r="A914" t="s">
        <v>3072</v>
      </c>
    </row>
    <row r="915" spans="1:1" x14ac:dyDescent="0.2">
      <c r="A915" t="s">
        <v>3073</v>
      </c>
    </row>
    <row r="916" spans="1:1" x14ac:dyDescent="0.2">
      <c r="A916" t="s">
        <v>3074</v>
      </c>
    </row>
    <row r="917" spans="1:1" x14ac:dyDescent="0.2">
      <c r="A917" t="s">
        <v>3075</v>
      </c>
    </row>
    <row r="918" spans="1:1" x14ac:dyDescent="0.2">
      <c r="A918" t="s">
        <v>3076</v>
      </c>
    </row>
    <row r="919" spans="1:1" x14ac:dyDescent="0.2">
      <c r="A919" t="s">
        <v>3077</v>
      </c>
    </row>
    <row r="920" spans="1:1" x14ac:dyDescent="0.2">
      <c r="A920" t="s">
        <v>3078</v>
      </c>
    </row>
    <row r="921" spans="1:1" x14ac:dyDescent="0.2">
      <c r="A921" t="s">
        <v>3079</v>
      </c>
    </row>
    <row r="922" spans="1:1" x14ac:dyDescent="0.2">
      <c r="A922" t="s">
        <v>3080</v>
      </c>
    </row>
    <row r="923" spans="1:1" x14ac:dyDescent="0.2">
      <c r="A923" t="s">
        <v>3081</v>
      </c>
    </row>
    <row r="924" spans="1:1" x14ac:dyDescent="0.2">
      <c r="A924" t="s">
        <v>3082</v>
      </c>
    </row>
    <row r="925" spans="1:1" x14ac:dyDescent="0.2">
      <c r="A925" t="s">
        <v>3083</v>
      </c>
    </row>
    <row r="926" spans="1:1" x14ac:dyDescent="0.2">
      <c r="A926" t="s">
        <v>3084</v>
      </c>
    </row>
    <row r="927" spans="1:1" x14ac:dyDescent="0.2">
      <c r="A927" t="s">
        <v>3085</v>
      </c>
    </row>
    <row r="928" spans="1:1" x14ac:dyDescent="0.2">
      <c r="A928" t="s">
        <v>3086</v>
      </c>
    </row>
    <row r="929" spans="1:1" x14ac:dyDescent="0.2">
      <c r="A929" t="s">
        <v>3087</v>
      </c>
    </row>
    <row r="930" spans="1:1" x14ac:dyDescent="0.2">
      <c r="A930" t="s">
        <v>3088</v>
      </c>
    </row>
    <row r="931" spans="1:1" x14ac:dyDescent="0.2">
      <c r="A931" t="s">
        <v>3089</v>
      </c>
    </row>
    <row r="932" spans="1:1" x14ac:dyDescent="0.2">
      <c r="A932" t="s">
        <v>3090</v>
      </c>
    </row>
    <row r="933" spans="1:1" x14ac:dyDescent="0.2">
      <c r="A933" t="s">
        <v>3091</v>
      </c>
    </row>
    <row r="934" spans="1:1" x14ac:dyDescent="0.2">
      <c r="A934" t="s">
        <v>3092</v>
      </c>
    </row>
    <row r="935" spans="1:1" x14ac:dyDescent="0.2">
      <c r="A935" t="s">
        <v>3093</v>
      </c>
    </row>
    <row r="936" spans="1:1" x14ac:dyDescent="0.2">
      <c r="A936" t="s">
        <v>3094</v>
      </c>
    </row>
    <row r="937" spans="1:1" x14ac:dyDescent="0.2">
      <c r="A937" t="s">
        <v>3095</v>
      </c>
    </row>
    <row r="938" spans="1:1" x14ac:dyDescent="0.2">
      <c r="A938" t="s">
        <v>3096</v>
      </c>
    </row>
    <row r="939" spans="1:1" x14ac:dyDescent="0.2">
      <c r="A939" t="s">
        <v>3097</v>
      </c>
    </row>
    <row r="940" spans="1:1" x14ac:dyDescent="0.2">
      <c r="A940" t="s">
        <v>3098</v>
      </c>
    </row>
    <row r="941" spans="1:1" x14ac:dyDescent="0.2">
      <c r="A941" t="s">
        <v>3099</v>
      </c>
    </row>
    <row r="942" spans="1:1" x14ac:dyDescent="0.2">
      <c r="A942" t="s">
        <v>3100</v>
      </c>
    </row>
    <row r="943" spans="1:1" x14ac:dyDescent="0.2">
      <c r="A943" t="s">
        <v>3101</v>
      </c>
    </row>
    <row r="944" spans="1:1" x14ac:dyDescent="0.2">
      <c r="A944" t="s">
        <v>3102</v>
      </c>
    </row>
    <row r="945" spans="1:1" x14ac:dyDescent="0.2">
      <c r="A945" t="s">
        <v>3103</v>
      </c>
    </row>
    <row r="946" spans="1:1" x14ac:dyDescent="0.2">
      <c r="A946" t="s">
        <v>3104</v>
      </c>
    </row>
    <row r="947" spans="1:1" x14ac:dyDescent="0.2">
      <c r="A947" t="s">
        <v>3105</v>
      </c>
    </row>
    <row r="948" spans="1:1" x14ac:dyDescent="0.2">
      <c r="A948" t="s">
        <v>3106</v>
      </c>
    </row>
    <row r="949" spans="1:1" x14ac:dyDescent="0.2">
      <c r="A949" t="s">
        <v>3107</v>
      </c>
    </row>
    <row r="950" spans="1:1" x14ac:dyDescent="0.2">
      <c r="A950" t="s">
        <v>3108</v>
      </c>
    </row>
    <row r="951" spans="1:1" x14ac:dyDescent="0.2">
      <c r="A951" t="s">
        <v>3109</v>
      </c>
    </row>
    <row r="952" spans="1:1" x14ac:dyDescent="0.2">
      <c r="A952" t="s">
        <v>3110</v>
      </c>
    </row>
    <row r="953" spans="1:1" x14ac:dyDescent="0.2">
      <c r="A953" t="s">
        <v>3111</v>
      </c>
    </row>
    <row r="954" spans="1:1" x14ac:dyDescent="0.2">
      <c r="A954" t="s">
        <v>3112</v>
      </c>
    </row>
    <row r="955" spans="1:1" x14ac:dyDescent="0.2">
      <c r="A955" t="s">
        <v>3113</v>
      </c>
    </row>
    <row r="956" spans="1:1" x14ac:dyDescent="0.2">
      <c r="A956" t="s">
        <v>3114</v>
      </c>
    </row>
    <row r="957" spans="1:1" x14ac:dyDescent="0.2">
      <c r="A957" t="s">
        <v>3115</v>
      </c>
    </row>
    <row r="958" spans="1:1" x14ac:dyDescent="0.2">
      <c r="A958" t="s">
        <v>3116</v>
      </c>
    </row>
    <row r="959" spans="1:1" x14ac:dyDescent="0.2">
      <c r="A959" t="s">
        <v>3117</v>
      </c>
    </row>
    <row r="960" spans="1:1" x14ac:dyDescent="0.2">
      <c r="A960" t="s">
        <v>3118</v>
      </c>
    </row>
    <row r="961" spans="1:1" x14ac:dyDescent="0.2">
      <c r="A961" t="s">
        <v>3119</v>
      </c>
    </row>
    <row r="962" spans="1:1" x14ac:dyDescent="0.2">
      <c r="A962" t="s">
        <v>3120</v>
      </c>
    </row>
    <row r="963" spans="1:1" x14ac:dyDescent="0.2">
      <c r="A963" t="s">
        <v>3121</v>
      </c>
    </row>
    <row r="964" spans="1:1" x14ac:dyDescent="0.2">
      <c r="A964" t="s">
        <v>3122</v>
      </c>
    </row>
    <row r="965" spans="1:1" x14ac:dyDescent="0.2">
      <c r="A965" t="s">
        <v>3123</v>
      </c>
    </row>
    <row r="966" spans="1:1" x14ac:dyDescent="0.2">
      <c r="A966" t="s">
        <v>3124</v>
      </c>
    </row>
    <row r="967" spans="1:1" x14ac:dyDescent="0.2">
      <c r="A967" t="s">
        <v>3125</v>
      </c>
    </row>
    <row r="968" spans="1:1" x14ac:dyDescent="0.2">
      <c r="A968" t="s">
        <v>3126</v>
      </c>
    </row>
    <row r="969" spans="1:1" x14ac:dyDescent="0.2">
      <c r="A969" t="s">
        <v>3127</v>
      </c>
    </row>
    <row r="970" spans="1:1" x14ac:dyDescent="0.2">
      <c r="A970" t="s">
        <v>3128</v>
      </c>
    </row>
    <row r="971" spans="1:1" x14ac:dyDescent="0.2">
      <c r="A971" t="s">
        <v>3129</v>
      </c>
    </row>
    <row r="972" spans="1:1" x14ac:dyDescent="0.2">
      <c r="A972" t="s">
        <v>3130</v>
      </c>
    </row>
    <row r="973" spans="1:1" x14ac:dyDescent="0.2">
      <c r="A973" t="s">
        <v>3131</v>
      </c>
    </row>
    <row r="974" spans="1:1" x14ac:dyDescent="0.2">
      <c r="A974" t="s">
        <v>3132</v>
      </c>
    </row>
    <row r="975" spans="1:1" x14ac:dyDescent="0.2">
      <c r="A975" t="s">
        <v>3133</v>
      </c>
    </row>
    <row r="976" spans="1:1" x14ac:dyDescent="0.2">
      <c r="A976" t="s">
        <v>3134</v>
      </c>
    </row>
    <row r="977" spans="1:1" x14ac:dyDescent="0.2">
      <c r="A977" t="s">
        <v>3135</v>
      </c>
    </row>
    <row r="978" spans="1:1" x14ac:dyDescent="0.2">
      <c r="A978" t="s">
        <v>3136</v>
      </c>
    </row>
    <row r="979" spans="1:1" x14ac:dyDescent="0.2">
      <c r="A979" t="s">
        <v>3137</v>
      </c>
    </row>
    <row r="980" spans="1:1" x14ac:dyDescent="0.2">
      <c r="A980" t="s">
        <v>3138</v>
      </c>
    </row>
    <row r="981" spans="1:1" x14ac:dyDescent="0.2">
      <c r="A981" t="s">
        <v>3139</v>
      </c>
    </row>
    <row r="982" spans="1:1" x14ac:dyDescent="0.2">
      <c r="A982" t="s">
        <v>3140</v>
      </c>
    </row>
    <row r="983" spans="1:1" x14ac:dyDescent="0.2">
      <c r="A983" t="s">
        <v>3141</v>
      </c>
    </row>
    <row r="984" spans="1:1" x14ac:dyDescent="0.2">
      <c r="A984" t="s">
        <v>3142</v>
      </c>
    </row>
    <row r="985" spans="1:1" x14ac:dyDescent="0.2">
      <c r="A985" t="s">
        <v>3143</v>
      </c>
    </row>
    <row r="986" spans="1:1" x14ac:dyDescent="0.2">
      <c r="A986" t="s">
        <v>3144</v>
      </c>
    </row>
    <row r="987" spans="1:1" x14ac:dyDescent="0.2">
      <c r="A987" t="s">
        <v>3145</v>
      </c>
    </row>
    <row r="988" spans="1:1" x14ac:dyDescent="0.2">
      <c r="A988" t="s">
        <v>3146</v>
      </c>
    </row>
    <row r="989" spans="1:1" x14ac:dyDescent="0.2">
      <c r="A989" t="s">
        <v>3147</v>
      </c>
    </row>
    <row r="990" spans="1:1" x14ac:dyDescent="0.2">
      <c r="A990" t="s">
        <v>3148</v>
      </c>
    </row>
    <row r="991" spans="1:1" x14ac:dyDescent="0.2">
      <c r="A991" t="s">
        <v>3149</v>
      </c>
    </row>
    <row r="992" spans="1:1" x14ac:dyDescent="0.2">
      <c r="A992" t="s">
        <v>3150</v>
      </c>
    </row>
    <row r="993" spans="1:1" x14ac:dyDescent="0.2">
      <c r="A993" t="s">
        <v>3151</v>
      </c>
    </row>
    <row r="994" spans="1:1" x14ac:dyDescent="0.2">
      <c r="A994" t="s">
        <v>3152</v>
      </c>
    </row>
    <row r="995" spans="1:1" x14ac:dyDescent="0.2">
      <c r="A995" t="s">
        <v>3153</v>
      </c>
    </row>
    <row r="996" spans="1:1" x14ac:dyDescent="0.2">
      <c r="A996" t="s">
        <v>3154</v>
      </c>
    </row>
    <row r="997" spans="1:1" x14ac:dyDescent="0.2">
      <c r="A997" t="s">
        <v>3155</v>
      </c>
    </row>
    <row r="998" spans="1:1" x14ac:dyDescent="0.2">
      <c r="A998" t="s">
        <v>3156</v>
      </c>
    </row>
    <row r="999" spans="1:1" x14ac:dyDescent="0.2">
      <c r="A999" t="s">
        <v>3157</v>
      </c>
    </row>
    <row r="1000" spans="1:1" x14ac:dyDescent="0.2">
      <c r="A1000" t="s">
        <v>3158</v>
      </c>
    </row>
    <row r="1001" spans="1:1" x14ac:dyDescent="0.2">
      <c r="A1001" t="s">
        <v>3159</v>
      </c>
    </row>
    <row r="1002" spans="1:1" x14ac:dyDescent="0.2">
      <c r="A1002" t="s">
        <v>3160</v>
      </c>
    </row>
    <row r="1003" spans="1:1" x14ac:dyDescent="0.2">
      <c r="A1003" t="s">
        <v>3161</v>
      </c>
    </row>
    <row r="1004" spans="1:1" x14ac:dyDescent="0.2">
      <c r="A1004" t="s">
        <v>3162</v>
      </c>
    </row>
    <row r="1005" spans="1:1" x14ac:dyDescent="0.2">
      <c r="A1005" t="s">
        <v>3163</v>
      </c>
    </row>
    <row r="1006" spans="1:1" x14ac:dyDescent="0.2">
      <c r="A1006" t="s">
        <v>3164</v>
      </c>
    </row>
    <row r="1007" spans="1:1" x14ac:dyDescent="0.2">
      <c r="A1007" t="s">
        <v>3165</v>
      </c>
    </row>
    <row r="1008" spans="1:1" x14ac:dyDescent="0.2">
      <c r="A1008" t="s">
        <v>3166</v>
      </c>
    </row>
    <row r="1009" spans="1:1" x14ac:dyDescent="0.2">
      <c r="A1009" t="s">
        <v>3167</v>
      </c>
    </row>
    <row r="1010" spans="1:1" x14ac:dyDescent="0.2">
      <c r="A1010" t="s">
        <v>3168</v>
      </c>
    </row>
    <row r="1011" spans="1:1" x14ac:dyDescent="0.2">
      <c r="A1011" t="s">
        <v>3169</v>
      </c>
    </row>
    <row r="1012" spans="1:1" x14ac:dyDescent="0.2">
      <c r="A1012" t="s">
        <v>3170</v>
      </c>
    </row>
    <row r="1013" spans="1:1" x14ac:dyDescent="0.2">
      <c r="A1013" t="s">
        <v>3171</v>
      </c>
    </row>
    <row r="1014" spans="1:1" x14ac:dyDescent="0.2">
      <c r="A1014" t="s">
        <v>3172</v>
      </c>
    </row>
    <row r="1015" spans="1:1" x14ac:dyDescent="0.2">
      <c r="A1015" t="s">
        <v>3173</v>
      </c>
    </row>
    <row r="1016" spans="1:1" x14ac:dyDescent="0.2">
      <c r="A1016" t="s">
        <v>3174</v>
      </c>
    </row>
    <row r="1017" spans="1:1" x14ac:dyDescent="0.2">
      <c r="A1017" t="s">
        <v>3175</v>
      </c>
    </row>
    <row r="1018" spans="1:1" x14ac:dyDescent="0.2">
      <c r="A1018" t="s">
        <v>3176</v>
      </c>
    </row>
    <row r="1019" spans="1:1" x14ac:dyDescent="0.2">
      <c r="A1019" t="s">
        <v>3177</v>
      </c>
    </row>
    <row r="1020" spans="1:1" x14ac:dyDescent="0.2">
      <c r="A1020" t="s">
        <v>3178</v>
      </c>
    </row>
    <row r="1021" spans="1:1" x14ac:dyDescent="0.2">
      <c r="A1021" t="s">
        <v>3179</v>
      </c>
    </row>
    <row r="1022" spans="1:1" x14ac:dyDescent="0.2">
      <c r="A1022" t="s">
        <v>3180</v>
      </c>
    </row>
    <row r="1023" spans="1:1" x14ac:dyDescent="0.2">
      <c r="A1023" t="s">
        <v>3181</v>
      </c>
    </row>
    <row r="1024" spans="1:1" x14ac:dyDescent="0.2">
      <c r="A1024" t="s">
        <v>3182</v>
      </c>
    </row>
    <row r="1025" spans="1:1" x14ac:dyDescent="0.2">
      <c r="A1025" t="s">
        <v>3183</v>
      </c>
    </row>
    <row r="1026" spans="1:1" x14ac:dyDescent="0.2">
      <c r="A1026" t="s">
        <v>3184</v>
      </c>
    </row>
    <row r="1027" spans="1:1" x14ac:dyDescent="0.2">
      <c r="A1027" t="s">
        <v>3185</v>
      </c>
    </row>
    <row r="1028" spans="1:1" x14ac:dyDescent="0.2">
      <c r="A1028" t="s">
        <v>3186</v>
      </c>
    </row>
    <row r="1029" spans="1:1" x14ac:dyDescent="0.2">
      <c r="A1029" t="s">
        <v>3187</v>
      </c>
    </row>
    <row r="1030" spans="1:1" x14ac:dyDescent="0.2">
      <c r="A1030" t="s">
        <v>3188</v>
      </c>
    </row>
    <row r="1031" spans="1:1" x14ac:dyDescent="0.2">
      <c r="A1031" t="s">
        <v>3189</v>
      </c>
    </row>
    <row r="1032" spans="1:1" x14ac:dyDescent="0.2">
      <c r="A1032" t="s">
        <v>3190</v>
      </c>
    </row>
    <row r="1033" spans="1:1" x14ac:dyDescent="0.2">
      <c r="A1033" t="s">
        <v>3191</v>
      </c>
    </row>
    <row r="1034" spans="1:1" x14ac:dyDescent="0.2">
      <c r="A1034" t="s">
        <v>3192</v>
      </c>
    </row>
    <row r="1035" spans="1:1" x14ac:dyDescent="0.2">
      <c r="A1035" t="s">
        <v>3193</v>
      </c>
    </row>
    <row r="1036" spans="1:1" x14ac:dyDescent="0.2">
      <c r="A1036" t="s">
        <v>3194</v>
      </c>
    </row>
    <row r="1037" spans="1:1" x14ac:dyDescent="0.2">
      <c r="A1037" t="s">
        <v>3195</v>
      </c>
    </row>
    <row r="1038" spans="1:1" x14ac:dyDescent="0.2">
      <c r="A1038" t="s">
        <v>3196</v>
      </c>
    </row>
    <row r="1039" spans="1:1" x14ac:dyDescent="0.2">
      <c r="A1039" t="s">
        <v>3197</v>
      </c>
    </row>
    <row r="1040" spans="1:1" x14ac:dyDescent="0.2">
      <c r="A1040" t="s">
        <v>3198</v>
      </c>
    </row>
    <row r="1041" spans="1:1" x14ac:dyDescent="0.2">
      <c r="A1041" t="s">
        <v>3199</v>
      </c>
    </row>
    <row r="1042" spans="1:1" x14ac:dyDescent="0.2">
      <c r="A1042" t="s">
        <v>3200</v>
      </c>
    </row>
    <row r="1043" spans="1:1" x14ac:dyDescent="0.2">
      <c r="A1043" t="s">
        <v>3201</v>
      </c>
    </row>
    <row r="1044" spans="1:1" x14ac:dyDescent="0.2">
      <c r="A1044" t="s">
        <v>3202</v>
      </c>
    </row>
    <row r="1045" spans="1:1" x14ac:dyDescent="0.2">
      <c r="A1045" t="s">
        <v>3203</v>
      </c>
    </row>
    <row r="1046" spans="1:1" x14ac:dyDescent="0.2">
      <c r="A1046" t="s">
        <v>3204</v>
      </c>
    </row>
    <row r="1047" spans="1:1" x14ac:dyDescent="0.2">
      <c r="A1047" t="s">
        <v>3205</v>
      </c>
    </row>
    <row r="1048" spans="1:1" x14ac:dyDescent="0.2">
      <c r="A1048" t="s">
        <v>3206</v>
      </c>
    </row>
    <row r="1049" spans="1:1" x14ac:dyDescent="0.2">
      <c r="A1049" t="s">
        <v>3207</v>
      </c>
    </row>
    <row r="1050" spans="1:1" x14ac:dyDescent="0.2">
      <c r="A1050" t="s">
        <v>3208</v>
      </c>
    </row>
    <row r="1051" spans="1:1" x14ac:dyDescent="0.2">
      <c r="A1051" t="s">
        <v>3209</v>
      </c>
    </row>
    <row r="1052" spans="1:1" x14ac:dyDescent="0.2">
      <c r="A1052" t="s">
        <v>3210</v>
      </c>
    </row>
    <row r="1053" spans="1:1" x14ac:dyDescent="0.2">
      <c r="A1053" t="s">
        <v>3211</v>
      </c>
    </row>
    <row r="1054" spans="1:1" x14ac:dyDescent="0.2">
      <c r="A1054" t="s">
        <v>3212</v>
      </c>
    </row>
    <row r="1055" spans="1:1" x14ac:dyDescent="0.2">
      <c r="A1055" t="s">
        <v>3213</v>
      </c>
    </row>
    <row r="1056" spans="1:1" x14ac:dyDescent="0.2">
      <c r="A1056" t="s">
        <v>3214</v>
      </c>
    </row>
    <row r="1057" spans="1:1" x14ac:dyDescent="0.2">
      <c r="A1057" t="s">
        <v>3215</v>
      </c>
    </row>
    <row r="1058" spans="1:1" x14ac:dyDescent="0.2">
      <c r="A1058" t="s">
        <v>3216</v>
      </c>
    </row>
    <row r="1059" spans="1:1" x14ac:dyDescent="0.2">
      <c r="A1059" t="s">
        <v>3217</v>
      </c>
    </row>
    <row r="1060" spans="1:1" x14ac:dyDescent="0.2">
      <c r="A1060" t="s">
        <v>3218</v>
      </c>
    </row>
    <row r="1061" spans="1:1" x14ac:dyDescent="0.2">
      <c r="A1061" t="s">
        <v>3219</v>
      </c>
    </row>
    <row r="1062" spans="1:1" x14ac:dyDescent="0.2">
      <c r="A1062" t="s">
        <v>3220</v>
      </c>
    </row>
    <row r="1063" spans="1:1" x14ac:dyDescent="0.2">
      <c r="A1063" t="s">
        <v>3221</v>
      </c>
    </row>
    <row r="1064" spans="1:1" x14ac:dyDescent="0.2">
      <c r="A1064" t="s">
        <v>3222</v>
      </c>
    </row>
    <row r="1065" spans="1:1" x14ac:dyDescent="0.2">
      <c r="A1065" t="s">
        <v>3223</v>
      </c>
    </row>
    <row r="1066" spans="1:1" x14ac:dyDescent="0.2">
      <c r="A1066" t="s">
        <v>3224</v>
      </c>
    </row>
    <row r="1067" spans="1:1" x14ac:dyDescent="0.2">
      <c r="A1067" t="s">
        <v>3225</v>
      </c>
    </row>
    <row r="1068" spans="1:1" x14ac:dyDescent="0.2">
      <c r="A1068" t="s">
        <v>3226</v>
      </c>
    </row>
    <row r="1069" spans="1:1" x14ac:dyDescent="0.2">
      <c r="A1069" t="s">
        <v>3227</v>
      </c>
    </row>
    <row r="1070" spans="1:1" x14ac:dyDescent="0.2">
      <c r="A1070" t="s">
        <v>3228</v>
      </c>
    </row>
    <row r="1071" spans="1:1" x14ac:dyDescent="0.2">
      <c r="A1071" t="s">
        <v>3229</v>
      </c>
    </row>
    <row r="1072" spans="1:1" x14ac:dyDescent="0.2">
      <c r="A1072" t="s">
        <v>3230</v>
      </c>
    </row>
    <row r="1073" spans="1:1" x14ac:dyDescent="0.2">
      <c r="A1073" t="s">
        <v>3231</v>
      </c>
    </row>
    <row r="1074" spans="1:1" x14ac:dyDescent="0.2">
      <c r="A1074" t="s">
        <v>3232</v>
      </c>
    </row>
    <row r="1075" spans="1:1" x14ac:dyDescent="0.2">
      <c r="A1075" t="s">
        <v>3233</v>
      </c>
    </row>
    <row r="1076" spans="1:1" x14ac:dyDescent="0.2">
      <c r="A1076" t="s">
        <v>3234</v>
      </c>
    </row>
    <row r="1077" spans="1:1" x14ac:dyDescent="0.2">
      <c r="A1077" t="s">
        <v>3235</v>
      </c>
    </row>
    <row r="1078" spans="1:1" x14ac:dyDescent="0.2">
      <c r="A1078" t="s">
        <v>3236</v>
      </c>
    </row>
    <row r="1079" spans="1:1" x14ac:dyDescent="0.2">
      <c r="A1079" t="s">
        <v>3237</v>
      </c>
    </row>
    <row r="1080" spans="1:1" x14ac:dyDescent="0.2">
      <c r="A1080" t="s">
        <v>3238</v>
      </c>
    </row>
    <row r="1081" spans="1:1" x14ac:dyDescent="0.2">
      <c r="A1081" t="s">
        <v>3239</v>
      </c>
    </row>
    <row r="1082" spans="1:1" x14ac:dyDescent="0.2">
      <c r="A1082" t="s">
        <v>3240</v>
      </c>
    </row>
    <row r="1083" spans="1:1" x14ac:dyDescent="0.2">
      <c r="A1083" t="s">
        <v>3241</v>
      </c>
    </row>
    <row r="1084" spans="1:1" x14ac:dyDescent="0.2">
      <c r="A1084" t="s">
        <v>3242</v>
      </c>
    </row>
    <row r="1085" spans="1:1" x14ac:dyDescent="0.2">
      <c r="A1085" t="s">
        <v>3243</v>
      </c>
    </row>
    <row r="1086" spans="1:1" x14ac:dyDescent="0.2">
      <c r="A1086" t="s">
        <v>3244</v>
      </c>
    </row>
    <row r="1087" spans="1:1" x14ac:dyDescent="0.2">
      <c r="A1087" t="s">
        <v>3245</v>
      </c>
    </row>
    <row r="1088" spans="1:1" x14ac:dyDescent="0.2">
      <c r="A1088" t="s">
        <v>3246</v>
      </c>
    </row>
    <row r="1089" spans="1:1" x14ac:dyDescent="0.2">
      <c r="A1089" t="s">
        <v>3247</v>
      </c>
    </row>
    <row r="1090" spans="1:1" x14ac:dyDescent="0.2">
      <c r="A1090" t="s">
        <v>3248</v>
      </c>
    </row>
    <row r="1091" spans="1:1" x14ac:dyDescent="0.2">
      <c r="A1091" t="s">
        <v>3249</v>
      </c>
    </row>
    <row r="1092" spans="1:1" x14ac:dyDescent="0.2">
      <c r="A1092" t="s">
        <v>3250</v>
      </c>
    </row>
    <row r="1093" spans="1:1" x14ac:dyDescent="0.2">
      <c r="A1093" t="s">
        <v>3251</v>
      </c>
    </row>
    <row r="1094" spans="1:1" x14ac:dyDescent="0.2">
      <c r="A1094" t="s">
        <v>3252</v>
      </c>
    </row>
    <row r="1095" spans="1:1" x14ac:dyDescent="0.2">
      <c r="A1095" t="s">
        <v>3253</v>
      </c>
    </row>
    <row r="1096" spans="1:1" x14ac:dyDescent="0.2">
      <c r="A1096" t="s">
        <v>3254</v>
      </c>
    </row>
    <row r="1097" spans="1:1" x14ac:dyDescent="0.2">
      <c r="A1097" t="s">
        <v>3255</v>
      </c>
    </row>
    <row r="1098" spans="1:1" x14ac:dyDescent="0.2">
      <c r="A1098" t="s">
        <v>3256</v>
      </c>
    </row>
    <row r="1099" spans="1:1" x14ac:dyDescent="0.2">
      <c r="A1099" t="s">
        <v>3257</v>
      </c>
    </row>
    <row r="1100" spans="1:1" x14ac:dyDescent="0.2">
      <c r="A1100" t="s">
        <v>3258</v>
      </c>
    </row>
    <row r="1101" spans="1:1" x14ac:dyDescent="0.2">
      <c r="A1101" t="s">
        <v>3259</v>
      </c>
    </row>
    <row r="1102" spans="1:1" x14ac:dyDescent="0.2">
      <c r="A1102" t="s">
        <v>3260</v>
      </c>
    </row>
    <row r="1103" spans="1:1" x14ac:dyDescent="0.2">
      <c r="A1103" t="s">
        <v>3261</v>
      </c>
    </row>
    <row r="1104" spans="1:1" x14ac:dyDescent="0.2">
      <c r="A1104" t="s">
        <v>3262</v>
      </c>
    </row>
    <row r="1105" spans="1:1" x14ac:dyDescent="0.2">
      <c r="A1105" t="s">
        <v>3263</v>
      </c>
    </row>
    <row r="1106" spans="1:1" x14ac:dyDescent="0.2">
      <c r="A1106" t="s">
        <v>3264</v>
      </c>
    </row>
    <row r="1107" spans="1:1" x14ac:dyDescent="0.2">
      <c r="A1107" t="s">
        <v>3265</v>
      </c>
    </row>
    <row r="1108" spans="1:1" x14ac:dyDescent="0.2">
      <c r="A1108" t="s">
        <v>3266</v>
      </c>
    </row>
    <row r="1109" spans="1:1" x14ac:dyDescent="0.2">
      <c r="A1109" t="s">
        <v>3267</v>
      </c>
    </row>
    <row r="1110" spans="1:1" x14ac:dyDescent="0.2">
      <c r="A1110" t="s">
        <v>3268</v>
      </c>
    </row>
    <row r="1111" spans="1:1" x14ac:dyDescent="0.2">
      <c r="A1111" t="s">
        <v>3269</v>
      </c>
    </row>
    <row r="1112" spans="1:1" x14ac:dyDescent="0.2">
      <c r="A1112" t="s">
        <v>3270</v>
      </c>
    </row>
    <row r="1113" spans="1:1" x14ac:dyDescent="0.2">
      <c r="A1113" t="s">
        <v>3271</v>
      </c>
    </row>
    <row r="1114" spans="1:1" x14ac:dyDescent="0.2">
      <c r="A1114" t="s">
        <v>3272</v>
      </c>
    </row>
    <row r="1115" spans="1:1" x14ac:dyDescent="0.2">
      <c r="A1115" t="s">
        <v>3273</v>
      </c>
    </row>
    <row r="1116" spans="1:1" x14ac:dyDescent="0.2">
      <c r="A1116" t="s">
        <v>3274</v>
      </c>
    </row>
    <row r="1117" spans="1:1" x14ac:dyDescent="0.2">
      <c r="A1117" t="s">
        <v>3275</v>
      </c>
    </row>
    <row r="1118" spans="1:1" x14ac:dyDescent="0.2">
      <c r="A1118" t="s">
        <v>3276</v>
      </c>
    </row>
    <row r="1119" spans="1:1" x14ac:dyDescent="0.2">
      <c r="A1119" t="s">
        <v>3277</v>
      </c>
    </row>
    <row r="1120" spans="1:1" x14ac:dyDescent="0.2">
      <c r="A1120" t="s">
        <v>3278</v>
      </c>
    </row>
    <row r="1121" spans="1:1" x14ac:dyDescent="0.2">
      <c r="A1121" t="s">
        <v>3279</v>
      </c>
    </row>
    <row r="1122" spans="1:1" x14ac:dyDescent="0.2">
      <c r="A1122" t="s">
        <v>3280</v>
      </c>
    </row>
    <row r="1123" spans="1:1" x14ac:dyDescent="0.2">
      <c r="A1123" t="s">
        <v>3281</v>
      </c>
    </row>
    <row r="1124" spans="1:1" x14ac:dyDescent="0.2">
      <c r="A1124" t="s">
        <v>3282</v>
      </c>
    </row>
    <row r="1125" spans="1:1" x14ac:dyDescent="0.2">
      <c r="A1125" t="s">
        <v>3283</v>
      </c>
    </row>
    <row r="1126" spans="1:1" x14ac:dyDescent="0.2">
      <c r="A1126" t="s">
        <v>3284</v>
      </c>
    </row>
    <row r="1127" spans="1:1" x14ac:dyDescent="0.2">
      <c r="A1127" t="s">
        <v>3285</v>
      </c>
    </row>
    <row r="1128" spans="1:1" x14ac:dyDescent="0.2">
      <c r="A1128" t="s">
        <v>3286</v>
      </c>
    </row>
    <row r="1129" spans="1:1" x14ac:dyDescent="0.2">
      <c r="A1129" t="s">
        <v>3287</v>
      </c>
    </row>
    <row r="1130" spans="1:1" x14ac:dyDescent="0.2">
      <c r="A1130" t="s">
        <v>3288</v>
      </c>
    </row>
    <row r="1131" spans="1:1" x14ac:dyDescent="0.2">
      <c r="A1131" t="s">
        <v>3289</v>
      </c>
    </row>
    <row r="1132" spans="1:1" x14ac:dyDescent="0.2">
      <c r="A1132" t="s">
        <v>3290</v>
      </c>
    </row>
    <row r="1133" spans="1:1" x14ac:dyDescent="0.2">
      <c r="A1133" t="s">
        <v>3291</v>
      </c>
    </row>
    <row r="1134" spans="1:1" x14ac:dyDescent="0.2">
      <c r="A1134" t="s">
        <v>3292</v>
      </c>
    </row>
    <row r="1135" spans="1:1" x14ac:dyDescent="0.2">
      <c r="A1135" t="s">
        <v>3293</v>
      </c>
    </row>
    <row r="1136" spans="1:1" x14ac:dyDescent="0.2">
      <c r="A1136" t="s">
        <v>3294</v>
      </c>
    </row>
    <row r="1137" spans="1:1" x14ac:dyDescent="0.2">
      <c r="A1137" t="s">
        <v>3295</v>
      </c>
    </row>
    <row r="1138" spans="1:1" x14ac:dyDescent="0.2">
      <c r="A1138" t="s">
        <v>3296</v>
      </c>
    </row>
    <row r="1139" spans="1:1" x14ac:dyDescent="0.2">
      <c r="A1139" t="s">
        <v>3297</v>
      </c>
    </row>
    <row r="1140" spans="1:1" x14ac:dyDescent="0.2">
      <c r="A1140" t="s">
        <v>3298</v>
      </c>
    </row>
    <row r="1141" spans="1:1" x14ac:dyDescent="0.2">
      <c r="A1141" t="s">
        <v>3299</v>
      </c>
    </row>
    <row r="1142" spans="1:1" x14ac:dyDescent="0.2">
      <c r="A1142" t="s">
        <v>3300</v>
      </c>
    </row>
    <row r="1143" spans="1:1" x14ac:dyDescent="0.2">
      <c r="A1143" t="s">
        <v>3301</v>
      </c>
    </row>
    <row r="1144" spans="1:1" x14ac:dyDescent="0.2">
      <c r="A1144" t="s">
        <v>3302</v>
      </c>
    </row>
    <row r="1145" spans="1:1" x14ac:dyDescent="0.2">
      <c r="A1145" t="s">
        <v>3303</v>
      </c>
    </row>
    <row r="1146" spans="1:1" x14ac:dyDescent="0.2">
      <c r="A1146" t="s">
        <v>3304</v>
      </c>
    </row>
    <row r="1147" spans="1:1" x14ac:dyDescent="0.2">
      <c r="A1147" t="s">
        <v>3305</v>
      </c>
    </row>
    <row r="1148" spans="1:1" x14ac:dyDescent="0.2">
      <c r="A1148" t="s">
        <v>3306</v>
      </c>
    </row>
    <row r="1149" spans="1:1" x14ac:dyDescent="0.2">
      <c r="A1149" t="s">
        <v>3307</v>
      </c>
    </row>
    <row r="1150" spans="1:1" x14ac:dyDescent="0.2">
      <c r="A1150" t="s">
        <v>3308</v>
      </c>
    </row>
    <row r="1151" spans="1:1" x14ac:dyDescent="0.2">
      <c r="A1151" t="s">
        <v>3309</v>
      </c>
    </row>
    <row r="1152" spans="1:1" x14ac:dyDescent="0.2">
      <c r="A1152" t="s">
        <v>3310</v>
      </c>
    </row>
    <row r="1153" spans="1:1" x14ac:dyDescent="0.2">
      <c r="A1153" t="s">
        <v>3311</v>
      </c>
    </row>
    <row r="1154" spans="1:1" x14ac:dyDescent="0.2">
      <c r="A1154" t="s">
        <v>3312</v>
      </c>
    </row>
    <row r="1155" spans="1:1" x14ac:dyDescent="0.2">
      <c r="A1155" t="s">
        <v>3313</v>
      </c>
    </row>
    <row r="1156" spans="1:1" x14ac:dyDescent="0.2">
      <c r="A1156" t="s">
        <v>3314</v>
      </c>
    </row>
    <row r="1157" spans="1:1" x14ac:dyDescent="0.2">
      <c r="A1157" t="s">
        <v>3315</v>
      </c>
    </row>
    <row r="1158" spans="1:1" x14ac:dyDescent="0.2">
      <c r="A1158" t="s">
        <v>3316</v>
      </c>
    </row>
    <row r="1159" spans="1:1" x14ac:dyDescent="0.2">
      <c r="A1159" t="s">
        <v>3317</v>
      </c>
    </row>
    <row r="1160" spans="1:1" x14ac:dyDescent="0.2">
      <c r="A1160" t="s">
        <v>3318</v>
      </c>
    </row>
    <row r="1161" spans="1:1" x14ac:dyDescent="0.2">
      <c r="A1161" t="s">
        <v>3319</v>
      </c>
    </row>
    <row r="1162" spans="1:1" x14ac:dyDescent="0.2">
      <c r="A1162" t="s">
        <v>3320</v>
      </c>
    </row>
    <row r="1163" spans="1:1" x14ac:dyDescent="0.2">
      <c r="A1163" t="s">
        <v>3321</v>
      </c>
    </row>
    <row r="1164" spans="1:1" x14ac:dyDescent="0.2">
      <c r="A1164" t="s">
        <v>3322</v>
      </c>
    </row>
    <row r="1165" spans="1:1" x14ac:dyDescent="0.2">
      <c r="A1165" t="s">
        <v>3323</v>
      </c>
    </row>
    <row r="1166" spans="1:1" x14ac:dyDescent="0.2">
      <c r="A1166" t="s">
        <v>3324</v>
      </c>
    </row>
    <row r="1167" spans="1:1" x14ac:dyDescent="0.2">
      <c r="A1167" t="s">
        <v>3325</v>
      </c>
    </row>
    <row r="1168" spans="1:1" x14ac:dyDescent="0.2">
      <c r="A1168" t="s">
        <v>3326</v>
      </c>
    </row>
    <row r="1169" spans="1:1" x14ac:dyDescent="0.2">
      <c r="A1169" t="s">
        <v>3327</v>
      </c>
    </row>
    <row r="1170" spans="1:1" x14ac:dyDescent="0.2">
      <c r="A1170" t="s">
        <v>3328</v>
      </c>
    </row>
    <row r="1171" spans="1:1" x14ac:dyDescent="0.2">
      <c r="A1171" t="s">
        <v>3329</v>
      </c>
    </row>
    <row r="1172" spans="1:1" x14ac:dyDescent="0.2">
      <c r="A1172" t="s">
        <v>3330</v>
      </c>
    </row>
    <row r="1173" spans="1:1" x14ac:dyDescent="0.2">
      <c r="A1173" t="s">
        <v>3331</v>
      </c>
    </row>
    <row r="1174" spans="1:1" x14ac:dyDescent="0.2">
      <c r="A1174" t="s">
        <v>3332</v>
      </c>
    </row>
    <row r="1175" spans="1:1" x14ac:dyDescent="0.2">
      <c r="A1175" t="s">
        <v>3333</v>
      </c>
    </row>
    <row r="1176" spans="1:1" x14ac:dyDescent="0.2">
      <c r="A1176" t="s">
        <v>3334</v>
      </c>
    </row>
    <row r="1177" spans="1:1" x14ac:dyDescent="0.2">
      <c r="A1177" t="s">
        <v>3335</v>
      </c>
    </row>
    <row r="1178" spans="1:1" x14ac:dyDescent="0.2">
      <c r="A1178" t="s">
        <v>3336</v>
      </c>
    </row>
    <row r="1179" spans="1:1" x14ac:dyDescent="0.2">
      <c r="A1179" t="s">
        <v>3337</v>
      </c>
    </row>
    <row r="1180" spans="1:1" x14ac:dyDescent="0.2">
      <c r="A1180" t="s">
        <v>3338</v>
      </c>
    </row>
    <row r="1181" spans="1:1" x14ac:dyDescent="0.2">
      <c r="A1181" t="s">
        <v>3339</v>
      </c>
    </row>
    <row r="1182" spans="1:1" x14ac:dyDescent="0.2">
      <c r="A1182" t="s">
        <v>3340</v>
      </c>
    </row>
    <row r="1183" spans="1:1" x14ac:dyDescent="0.2">
      <c r="A1183" t="s">
        <v>3341</v>
      </c>
    </row>
    <row r="1184" spans="1:1" x14ac:dyDescent="0.2">
      <c r="A1184" t="s">
        <v>3342</v>
      </c>
    </row>
    <row r="1185" spans="1:1" x14ac:dyDescent="0.2">
      <c r="A1185" t="s">
        <v>3343</v>
      </c>
    </row>
    <row r="1186" spans="1:1" x14ac:dyDescent="0.2">
      <c r="A1186" t="s">
        <v>3344</v>
      </c>
    </row>
    <row r="1187" spans="1:1" x14ac:dyDescent="0.2">
      <c r="A1187" t="s">
        <v>3345</v>
      </c>
    </row>
    <row r="1188" spans="1:1" x14ac:dyDescent="0.2">
      <c r="A1188" t="s">
        <v>3346</v>
      </c>
    </row>
    <row r="1189" spans="1:1" x14ac:dyDescent="0.2">
      <c r="A1189" t="s">
        <v>3347</v>
      </c>
    </row>
    <row r="1190" spans="1:1" x14ac:dyDescent="0.2">
      <c r="A1190" t="s">
        <v>3348</v>
      </c>
    </row>
    <row r="1191" spans="1:1" x14ac:dyDescent="0.2">
      <c r="A1191" t="s">
        <v>3349</v>
      </c>
    </row>
    <row r="1192" spans="1:1" x14ac:dyDescent="0.2">
      <c r="A1192" t="s">
        <v>3350</v>
      </c>
    </row>
    <row r="1193" spans="1:1" x14ac:dyDescent="0.2">
      <c r="A1193" t="s">
        <v>3351</v>
      </c>
    </row>
    <row r="1194" spans="1:1" x14ac:dyDescent="0.2">
      <c r="A1194" t="s">
        <v>3352</v>
      </c>
    </row>
    <row r="1195" spans="1:1" x14ac:dyDescent="0.2">
      <c r="A1195" t="s">
        <v>3353</v>
      </c>
    </row>
    <row r="1196" spans="1:1" x14ac:dyDescent="0.2">
      <c r="A1196" t="s">
        <v>3354</v>
      </c>
    </row>
    <row r="1197" spans="1:1" x14ac:dyDescent="0.2">
      <c r="A1197" t="s">
        <v>3355</v>
      </c>
    </row>
    <row r="1198" spans="1:1" x14ac:dyDescent="0.2">
      <c r="A1198" t="s">
        <v>3356</v>
      </c>
    </row>
    <row r="1199" spans="1:1" x14ac:dyDescent="0.2">
      <c r="A1199" t="s">
        <v>3357</v>
      </c>
    </row>
    <row r="1200" spans="1:1" x14ac:dyDescent="0.2">
      <c r="A1200" t="s">
        <v>3358</v>
      </c>
    </row>
    <row r="1201" spans="1:1" x14ac:dyDescent="0.2">
      <c r="A1201" t="s">
        <v>3359</v>
      </c>
    </row>
    <row r="1202" spans="1:1" x14ac:dyDescent="0.2">
      <c r="A1202" t="s">
        <v>3360</v>
      </c>
    </row>
    <row r="1203" spans="1:1" x14ac:dyDescent="0.2">
      <c r="A1203" t="s">
        <v>3361</v>
      </c>
    </row>
    <row r="1204" spans="1:1" x14ac:dyDescent="0.2">
      <c r="A1204" t="s">
        <v>3362</v>
      </c>
    </row>
    <row r="1205" spans="1:1" x14ac:dyDescent="0.2">
      <c r="A1205" t="s">
        <v>3363</v>
      </c>
    </row>
    <row r="1206" spans="1:1" x14ac:dyDescent="0.2">
      <c r="A1206" t="s">
        <v>3364</v>
      </c>
    </row>
    <row r="1207" spans="1:1" x14ac:dyDescent="0.2">
      <c r="A1207" t="s">
        <v>3365</v>
      </c>
    </row>
    <row r="1208" spans="1:1" x14ac:dyDescent="0.2">
      <c r="A1208" t="s">
        <v>3366</v>
      </c>
    </row>
    <row r="1209" spans="1:1" x14ac:dyDescent="0.2">
      <c r="A1209" t="s">
        <v>3367</v>
      </c>
    </row>
    <row r="1210" spans="1:1" x14ac:dyDescent="0.2">
      <c r="A1210" t="s">
        <v>3368</v>
      </c>
    </row>
    <row r="1211" spans="1:1" x14ac:dyDescent="0.2">
      <c r="A1211" t="s">
        <v>3369</v>
      </c>
    </row>
    <row r="1212" spans="1:1" x14ac:dyDescent="0.2">
      <c r="A1212" t="s">
        <v>3370</v>
      </c>
    </row>
    <row r="1213" spans="1:1" x14ac:dyDescent="0.2">
      <c r="A1213" t="s">
        <v>3371</v>
      </c>
    </row>
    <row r="1214" spans="1:1" x14ac:dyDescent="0.2">
      <c r="A1214" t="s">
        <v>3372</v>
      </c>
    </row>
    <row r="1215" spans="1:1" x14ac:dyDescent="0.2">
      <c r="A1215" t="s">
        <v>3373</v>
      </c>
    </row>
    <row r="1216" spans="1:1" x14ac:dyDescent="0.2">
      <c r="A1216" t="s">
        <v>3374</v>
      </c>
    </row>
    <row r="1217" spans="1:1" x14ac:dyDescent="0.2">
      <c r="A1217" t="s">
        <v>3375</v>
      </c>
    </row>
    <row r="1218" spans="1:1" x14ac:dyDescent="0.2">
      <c r="A1218" t="s">
        <v>3376</v>
      </c>
    </row>
    <row r="1219" spans="1:1" x14ac:dyDescent="0.2">
      <c r="A1219" t="s">
        <v>3377</v>
      </c>
    </row>
    <row r="1220" spans="1:1" x14ac:dyDescent="0.2">
      <c r="A1220" t="s">
        <v>3378</v>
      </c>
    </row>
    <row r="1221" spans="1:1" x14ac:dyDescent="0.2">
      <c r="A1221" t="s">
        <v>3379</v>
      </c>
    </row>
    <row r="1222" spans="1:1" x14ac:dyDescent="0.2">
      <c r="A1222" t="s">
        <v>3380</v>
      </c>
    </row>
    <row r="1223" spans="1:1" x14ac:dyDescent="0.2">
      <c r="A1223" t="s">
        <v>3381</v>
      </c>
    </row>
    <row r="1224" spans="1:1" x14ac:dyDescent="0.2">
      <c r="A1224" t="s">
        <v>3382</v>
      </c>
    </row>
    <row r="1225" spans="1:1" x14ac:dyDescent="0.2">
      <c r="A1225" t="s">
        <v>3383</v>
      </c>
    </row>
    <row r="1226" spans="1:1" x14ac:dyDescent="0.2">
      <c r="A1226" t="s">
        <v>3384</v>
      </c>
    </row>
    <row r="1227" spans="1:1" x14ac:dyDescent="0.2">
      <c r="A1227" t="s">
        <v>3385</v>
      </c>
    </row>
    <row r="1228" spans="1:1" x14ac:dyDescent="0.2">
      <c r="A1228" t="s">
        <v>3386</v>
      </c>
    </row>
    <row r="1229" spans="1:1" x14ac:dyDescent="0.2">
      <c r="A1229" t="s">
        <v>3387</v>
      </c>
    </row>
    <row r="1230" spans="1:1" x14ac:dyDescent="0.2">
      <c r="A1230" t="s">
        <v>3388</v>
      </c>
    </row>
    <row r="1231" spans="1:1" x14ac:dyDescent="0.2">
      <c r="A1231" t="s">
        <v>3389</v>
      </c>
    </row>
    <row r="1232" spans="1:1" x14ac:dyDescent="0.2">
      <c r="A1232" t="s">
        <v>3390</v>
      </c>
    </row>
    <row r="1233" spans="1:1" x14ac:dyDescent="0.2">
      <c r="A1233" t="s">
        <v>3391</v>
      </c>
    </row>
    <row r="1234" spans="1:1" x14ac:dyDescent="0.2">
      <c r="A1234" t="s">
        <v>3392</v>
      </c>
    </row>
    <row r="1235" spans="1:1" x14ac:dyDescent="0.2">
      <c r="A1235" t="s">
        <v>3393</v>
      </c>
    </row>
    <row r="1236" spans="1:1" x14ac:dyDescent="0.2">
      <c r="A1236" t="s">
        <v>3394</v>
      </c>
    </row>
    <row r="1237" spans="1:1" x14ac:dyDescent="0.2">
      <c r="A1237" t="s">
        <v>3395</v>
      </c>
    </row>
    <row r="1238" spans="1:1" x14ac:dyDescent="0.2">
      <c r="A1238" t="s">
        <v>3396</v>
      </c>
    </row>
    <row r="1239" spans="1:1" x14ac:dyDescent="0.2">
      <c r="A1239" t="s">
        <v>3397</v>
      </c>
    </row>
    <row r="1240" spans="1:1" x14ac:dyDescent="0.2">
      <c r="A1240" t="s">
        <v>3398</v>
      </c>
    </row>
    <row r="1241" spans="1:1" x14ac:dyDescent="0.2">
      <c r="A1241" t="s">
        <v>3399</v>
      </c>
    </row>
    <row r="1242" spans="1:1" x14ac:dyDescent="0.2">
      <c r="A1242" t="s">
        <v>3400</v>
      </c>
    </row>
    <row r="1243" spans="1:1" x14ac:dyDescent="0.2">
      <c r="A1243" t="s">
        <v>3401</v>
      </c>
    </row>
    <row r="1244" spans="1:1" x14ac:dyDescent="0.2">
      <c r="A1244" t="s">
        <v>3402</v>
      </c>
    </row>
    <row r="1245" spans="1:1" x14ac:dyDescent="0.2">
      <c r="A1245" t="s">
        <v>3403</v>
      </c>
    </row>
    <row r="1246" spans="1:1" x14ac:dyDescent="0.2">
      <c r="A1246" t="s">
        <v>3404</v>
      </c>
    </row>
    <row r="1247" spans="1:1" x14ac:dyDescent="0.2">
      <c r="A1247" t="s">
        <v>3405</v>
      </c>
    </row>
    <row r="1248" spans="1:1" x14ac:dyDescent="0.2">
      <c r="A1248" t="s">
        <v>3406</v>
      </c>
    </row>
    <row r="1249" spans="1:1" x14ac:dyDescent="0.2">
      <c r="A1249" t="s">
        <v>3407</v>
      </c>
    </row>
    <row r="1250" spans="1:1" x14ac:dyDescent="0.2">
      <c r="A1250" t="s">
        <v>3408</v>
      </c>
    </row>
    <row r="1251" spans="1:1" x14ac:dyDescent="0.2">
      <c r="A1251" t="s">
        <v>3409</v>
      </c>
    </row>
    <row r="1252" spans="1:1" x14ac:dyDescent="0.2">
      <c r="A1252" t="s">
        <v>3410</v>
      </c>
    </row>
    <row r="1253" spans="1:1" x14ac:dyDescent="0.2">
      <c r="A1253" t="s">
        <v>3411</v>
      </c>
    </row>
    <row r="1254" spans="1:1" x14ac:dyDescent="0.2">
      <c r="A1254" t="s">
        <v>3412</v>
      </c>
    </row>
    <row r="1255" spans="1:1" x14ac:dyDescent="0.2">
      <c r="A1255" t="s">
        <v>3413</v>
      </c>
    </row>
    <row r="1256" spans="1:1" x14ac:dyDescent="0.2">
      <c r="A1256" t="s">
        <v>3414</v>
      </c>
    </row>
    <row r="1257" spans="1:1" x14ac:dyDescent="0.2">
      <c r="A1257" t="s">
        <v>3415</v>
      </c>
    </row>
    <row r="1258" spans="1:1" x14ac:dyDescent="0.2">
      <c r="A1258" t="s">
        <v>3416</v>
      </c>
    </row>
    <row r="1259" spans="1:1" x14ac:dyDescent="0.2">
      <c r="A1259" t="s">
        <v>3417</v>
      </c>
    </row>
    <row r="1260" spans="1:1" x14ac:dyDescent="0.2">
      <c r="A1260" t="s">
        <v>3418</v>
      </c>
    </row>
    <row r="1261" spans="1:1" x14ac:dyDescent="0.2">
      <c r="A1261" t="s">
        <v>3419</v>
      </c>
    </row>
    <row r="1262" spans="1:1" x14ac:dyDescent="0.2">
      <c r="A1262" t="s">
        <v>2154</v>
      </c>
    </row>
    <row r="1263" spans="1:1" x14ac:dyDescent="0.2">
      <c r="A1263" t="s">
        <v>2196</v>
      </c>
    </row>
    <row r="1264" spans="1:1" x14ac:dyDescent="0.2">
      <c r="A1264" t="s">
        <v>2212</v>
      </c>
    </row>
    <row r="1265" spans="1:1" x14ac:dyDescent="0.2">
      <c r="A1265" t="s">
        <v>3420</v>
      </c>
    </row>
    <row r="1266" spans="1:1" x14ac:dyDescent="0.2">
      <c r="A1266" t="s">
        <v>2164</v>
      </c>
    </row>
    <row r="1267" spans="1:1" x14ac:dyDescent="0.2">
      <c r="A1267" t="s">
        <v>2175</v>
      </c>
    </row>
    <row r="1268" spans="1:1" x14ac:dyDescent="0.2">
      <c r="A1268" t="s">
        <v>2145</v>
      </c>
    </row>
    <row r="1269" spans="1:1" x14ac:dyDescent="0.2">
      <c r="A1269" t="s">
        <v>3421</v>
      </c>
    </row>
    <row r="1270" spans="1:1" x14ac:dyDescent="0.2">
      <c r="A1270" t="s">
        <v>2149</v>
      </c>
    </row>
    <row r="1271" spans="1:1" x14ac:dyDescent="0.2">
      <c r="A1271" t="s">
        <v>2184</v>
      </c>
    </row>
    <row r="1272" spans="1:1" x14ac:dyDescent="0.2">
      <c r="A1272" t="s">
        <v>2143</v>
      </c>
    </row>
    <row r="1273" spans="1:1" x14ac:dyDescent="0.2">
      <c r="A1273" t="s">
        <v>3422</v>
      </c>
    </row>
    <row r="1274" spans="1:1" x14ac:dyDescent="0.2">
      <c r="A1274" t="s">
        <v>3423</v>
      </c>
    </row>
    <row r="1275" spans="1:1" x14ac:dyDescent="0.2">
      <c r="A1275" t="s">
        <v>3424</v>
      </c>
    </row>
    <row r="1276" spans="1:1" x14ac:dyDescent="0.2">
      <c r="A1276" t="s">
        <v>3425</v>
      </c>
    </row>
    <row r="1277" spans="1:1" x14ac:dyDescent="0.2">
      <c r="A1277" t="s">
        <v>3426</v>
      </c>
    </row>
    <row r="1278" spans="1:1" x14ac:dyDescent="0.2">
      <c r="A1278" t="s">
        <v>3427</v>
      </c>
    </row>
    <row r="1279" spans="1:1" x14ac:dyDescent="0.2">
      <c r="A1279" t="s">
        <v>3428</v>
      </c>
    </row>
    <row r="1280" spans="1:1" x14ac:dyDescent="0.2">
      <c r="A1280" t="s">
        <v>3429</v>
      </c>
    </row>
    <row r="1281" spans="1:1" x14ac:dyDescent="0.2">
      <c r="A1281" t="s">
        <v>3430</v>
      </c>
    </row>
    <row r="1282" spans="1:1" x14ac:dyDescent="0.2">
      <c r="A1282" t="s">
        <v>3431</v>
      </c>
    </row>
    <row r="1283" spans="1:1" x14ac:dyDescent="0.2">
      <c r="A1283" t="s">
        <v>3432</v>
      </c>
    </row>
    <row r="1284" spans="1:1" x14ac:dyDescent="0.2">
      <c r="A1284" t="s">
        <v>3433</v>
      </c>
    </row>
    <row r="1285" spans="1:1" x14ac:dyDescent="0.2">
      <c r="A1285" t="s">
        <v>3434</v>
      </c>
    </row>
    <row r="1286" spans="1:1" x14ac:dyDescent="0.2">
      <c r="A1286" t="s">
        <v>3435</v>
      </c>
    </row>
    <row r="1287" spans="1:1" x14ac:dyDescent="0.2">
      <c r="A1287" t="s">
        <v>3436</v>
      </c>
    </row>
    <row r="1288" spans="1:1" x14ac:dyDescent="0.2">
      <c r="A1288" t="s">
        <v>3437</v>
      </c>
    </row>
    <row r="1289" spans="1:1" x14ac:dyDescent="0.2">
      <c r="A1289" t="s">
        <v>3438</v>
      </c>
    </row>
    <row r="1290" spans="1:1" x14ac:dyDescent="0.2">
      <c r="A1290" t="s">
        <v>3439</v>
      </c>
    </row>
    <row r="1291" spans="1:1" x14ac:dyDescent="0.2">
      <c r="A1291" t="s">
        <v>3440</v>
      </c>
    </row>
    <row r="1292" spans="1:1" x14ac:dyDescent="0.2">
      <c r="A1292" t="s">
        <v>3441</v>
      </c>
    </row>
    <row r="1293" spans="1:1" x14ac:dyDescent="0.2">
      <c r="A1293" t="s">
        <v>3442</v>
      </c>
    </row>
    <row r="1294" spans="1:1" x14ac:dyDescent="0.2">
      <c r="A1294" t="s">
        <v>3443</v>
      </c>
    </row>
    <row r="1295" spans="1:1" x14ac:dyDescent="0.2">
      <c r="A1295" t="s">
        <v>3444</v>
      </c>
    </row>
    <row r="1296" spans="1:1" x14ac:dyDescent="0.2">
      <c r="A1296" t="s">
        <v>3445</v>
      </c>
    </row>
    <row r="1297" spans="1:1" x14ac:dyDescent="0.2">
      <c r="A1297" t="s">
        <v>3446</v>
      </c>
    </row>
    <row r="1298" spans="1:1" x14ac:dyDescent="0.2">
      <c r="A1298" t="s">
        <v>3447</v>
      </c>
    </row>
    <row r="1299" spans="1:1" x14ac:dyDescent="0.2">
      <c r="A1299" t="s">
        <v>3448</v>
      </c>
    </row>
    <row r="1300" spans="1:1" x14ac:dyDescent="0.2">
      <c r="A1300" t="s">
        <v>3449</v>
      </c>
    </row>
    <row r="1301" spans="1:1" x14ac:dyDescent="0.2">
      <c r="A1301" t="s">
        <v>3450</v>
      </c>
    </row>
    <row r="1302" spans="1:1" x14ac:dyDescent="0.2">
      <c r="A1302" t="s">
        <v>3451</v>
      </c>
    </row>
    <row r="1303" spans="1:1" x14ac:dyDescent="0.2">
      <c r="A1303" t="s">
        <v>3452</v>
      </c>
    </row>
    <row r="1304" spans="1:1" x14ac:dyDescent="0.2">
      <c r="A1304" t="s">
        <v>3453</v>
      </c>
    </row>
    <row r="1305" spans="1:1" x14ac:dyDescent="0.2">
      <c r="A1305" t="s">
        <v>3454</v>
      </c>
    </row>
    <row r="1306" spans="1:1" x14ac:dyDescent="0.2">
      <c r="A1306" t="s">
        <v>3455</v>
      </c>
    </row>
    <row r="1307" spans="1:1" x14ac:dyDescent="0.2">
      <c r="A1307" t="s">
        <v>3456</v>
      </c>
    </row>
    <row r="1308" spans="1:1" x14ac:dyDescent="0.2">
      <c r="A1308" t="s">
        <v>3457</v>
      </c>
    </row>
    <row r="1309" spans="1:1" x14ac:dyDescent="0.2">
      <c r="A1309" t="s">
        <v>3458</v>
      </c>
    </row>
    <row r="1310" spans="1:1" x14ac:dyDescent="0.2">
      <c r="A1310" t="s">
        <v>3459</v>
      </c>
    </row>
    <row r="1311" spans="1:1" x14ac:dyDescent="0.2">
      <c r="A1311" t="s">
        <v>3460</v>
      </c>
    </row>
    <row r="1312" spans="1:1" x14ac:dyDescent="0.2">
      <c r="A1312" t="s">
        <v>3461</v>
      </c>
    </row>
    <row r="1313" spans="1:1" x14ac:dyDescent="0.2">
      <c r="A1313" t="s">
        <v>3462</v>
      </c>
    </row>
    <row r="1314" spans="1:1" x14ac:dyDescent="0.2">
      <c r="A1314" t="s">
        <v>3463</v>
      </c>
    </row>
    <row r="1315" spans="1:1" x14ac:dyDescent="0.2">
      <c r="A1315" t="s">
        <v>3464</v>
      </c>
    </row>
    <row r="1316" spans="1:1" x14ac:dyDescent="0.2">
      <c r="A1316" t="s">
        <v>3465</v>
      </c>
    </row>
    <row r="1317" spans="1:1" x14ac:dyDescent="0.2">
      <c r="A1317" t="s">
        <v>3466</v>
      </c>
    </row>
    <row r="1318" spans="1:1" x14ac:dyDescent="0.2">
      <c r="A1318" t="s">
        <v>3467</v>
      </c>
    </row>
    <row r="1319" spans="1:1" x14ac:dyDescent="0.2">
      <c r="A1319" t="s">
        <v>3468</v>
      </c>
    </row>
    <row r="1320" spans="1:1" x14ac:dyDescent="0.2">
      <c r="A1320" t="s">
        <v>3469</v>
      </c>
    </row>
    <row r="1321" spans="1:1" x14ac:dyDescent="0.2">
      <c r="A1321" t="s">
        <v>3470</v>
      </c>
    </row>
    <row r="1322" spans="1:1" x14ac:dyDescent="0.2">
      <c r="A1322" t="s">
        <v>2169</v>
      </c>
    </row>
    <row r="1323" spans="1:1" x14ac:dyDescent="0.2">
      <c r="A1323" t="s">
        <v>2194</v>
      </c>
    </row>
    <row r="1324" spans="1:1" x14ac:dyDescent="0.2">
      <c r="A1324" t="s">
        <v>2208</v>
      </c>
    </row>
    <row r="1325" spans="1:1" x14ac:dyDescent="0.2">
      <c r="A1325" t="s">
        <v>3471</v>
      </c>
    </row>
    <row r="1326" spans="1:1" x14ac:dyDescent="0.2">
      <c r="A1326" t="s">
        <v>2171</v>
      </c>
    </row>
    <row r="1327" spans="1:1" x14ac:dyDescent="0.2">
      <c r="A1327" t="s">
        <v>2180</v>
      </c>
    </row>
    <row r="1328" spans="1:1" x14ac:dyDescent="0.2">
      <c r="A1328" t="s">
        <v>3472</v>
      </c>
    </row>
    <row r="1329" spans="1:1" x14ac:dyDescent="0.2">
      <c r="A1329" t="s">
        <v>2152</v>
      </c>
    </row>
    <row r="1330" spans="1:1" x14ac:dyDescent="0.2">
      <c r="A1330" t="s">
        <v>2166</v>
      </c>
    </row>
    <row r="1331" spans="1:1" x14ac:dyDescent="0.2">
      <c r="A1331" t="s">
        <v>2191</v>
      </c>
    </row>
    <row r="1332" spans="1:1" x14ac:dyDescent="0.2">
      <c r="A1332" t="s">
        <v>2213</v>
      </c>
    </row>
    <row r="1333" spans="1:1" x14ac:dyDescent="0.2">
      <c r="A1333" t="s">
        <v>3473</v>
      </c>
    </row>
    <row r="1334" spans="1:1" x14ac:dyDescent="0.2">
      <c r="A1334" t="s">
        <v>3474</v>
      </c>
    </row>
    <row r="1335" spans="1:1" x14ac:dyDescent="0.2">
      <c r="A1335" t="s">
        <v>3475</v>
      </c>
    </row>
    <row r="1336" spans="1:1" x14ac:dyDescent="0.2">
      <c r="A1336" t="s">
        <v>3476</v>
      </c>
    </row>
    <row r="1337" spans="1:1" x14ac:dyDescent="0.2">
      <c r="A1337" t="s">
        <v>3477</v>
      </c>
    </row>
    <row r="1338" spans="1:1" x14ac:dyDescent="0.2">
      <c r="A1338" t="s">
        <v>3478</v>
      </c>
    </row>
    <row r="1339" spans="1:1" x14ac:dyDescent="0.2">
      <c r="A1339" t="s">
        <v>3479</v>
      </c>
    </row>
    <row r="1340" spans="1:1" x14ac:dyDescent="0.2">
      <c r="A1340" t="s">
        <v>3480</v>
      </c>
    </row>
    <row r="1341" spans="1:1" x14ac:dyDescent="0.2">
      <c r="A1341" t="s">
        <v>3481</v>
      </c>
    </row>
    <row r="1342" spans="1:1" x14ac:dyDescent="0.2">
      <c r="A1342" t="s">
        <v>3482</v>
      </c>
    </row>
    <row r="1343" spans="1:1" x14ac:dyDescent="0.2">
      <c r="A1343" t="s">
        <v>3483</v>
      </c>
    </row>
    <row r="1344" spans="1:1" x14ac:dyDescent="0.2">
      <c r="A1344" t="s">
        <v>3484</v>
      </c>
    </row>
    <row r="1345" spans="1:1" x14ac:dyDescent="0.2">
      <c r="A1345" t="s">
        <v>3485</v>
      </c>
    </row>
    <row r="1346" spans="1:1" x14ac:dyDescent="0.2">
      <c r="A1346" t="s">
        <v>3486</v>
      </c>
    </row>
    <row r="1347" spans="1:1" x14ac:dyDescent="0.2">
      <c r="A1347" t="s">
        <v>3487</v>
      </c>
    </row>
    <row r="1348" spans="1:1" x14ac:dyDescent="0.2">
      <c r="A1348" t="s">
        <v>3488</v>
      </c>
    </row>
    <row r="1349" spans="1:1" x14ac:dyDescent="0.2">
      <c r="A1349" t="s">
        <v>3489</v>
      </c>
    </row>
    <row r="1350" spans="1:1" x14ac:dyDescent="0.2">
      <c r="A1350" t="s">
        <v>3490</v>
      </c>
    </row>
    <row r="1351" spans="1:1" x14ac:dyDescent="0.2">
      <c r="A1351" t="s">
        <v>3491</v>
      </c>
    </row>
    <row r="1352" spans="1:1" x14ac:dyDescent="0.2">
      <c r="A1352" t="s">
        <v>3492</v>
      </c>
    </row>
    <row r="1353" spans="1:1" x14ac:dyDescent="0.2">
      <c r="A1353" t="s">
        <v>3493</v>
      </c>
    </row>
    <row r="1354" spans="1:1" x14ac:dyDescent="0.2">
      <c r="A1354" t="s">
        <v>3494</v>
      </c>
    </row>
    <row r="1355" spans="1:1" x14ac:dyDescent="0.2">
      <c r="A1355" t="s">
        <v>3495</v>
      </c>
    </row>
    <row r="1356" spans="1:1" x14ac:dyDescent="0.2">
      <c r="A1356" t="s">
        <v>3496</v>
      </c>
    </row>
    <row r="1357" spans="1:1" x14ac:dyDescent="0.2">
      <c r="A1357" t="s">
        <v>3497</v>
      </c>
    </row>
    <row r="1358" spans="1:1" x14ac:dyDescent="0.2">
      <c r="A1358" t="s">
        <v>3498</v>
      </c>
    </row>
    <row r="1359" spans="1:1" x14ac:dyDescent="0.2">
      <c r="A1359" t="s">
        <v>3499</v>
      </c>
    </row>
    <row r="1360" spans="1:1" x14ac:dyDescent="0.2">
      <c r="A1360" t="s">
        <v>3500</v>
      </c>
    </row>
    <row r="1361" spans="1:1" x14ac:dyDescent="0.2">
      <c r="A1361" t="s">
        <v>3501</v>
      </c>
    </row>
    <row r="1362" spans="1:1" x14ac:dyDescent="0.2">
      <c r="A1362" t="s">
        <v>3502</v>
      </c>
    </row>
    <row r="1363" spans="1:1" x14ac:dyDescent="0.2">
      <c r="A1363" t="s">
        <v>3503</v>
      </c>
    </row>
    <row r="1364" spans="1:1" x14ac:dyDescent="0.2">
      <c r="A1364" t="s">
        <v>3504</v>
      </c>
    </row>
    <row r="1365" spans="1:1" x14ac:dyDescent="0.2">
      <c r="A1365" t="s">
        <v>3505</v>
      </c>
    </row>
    <row r="1366" spans="1:1" x14ac:dyDescent="0.2">
      <c r="A1366" t="s">
        <v>3506</v>
      </c>
    </row>
    <row r="1367" spans="1:1" x14ac:dyDescent="0.2">
      <c r="A1367" t="s">
        <v>3507</v>
      </c>
    </row>
    <row r="1368" spans="1:1" x14ac:dyDescent="0.2">
      <c r="A1368" t="s">
        <v>3508</v>
      </c>
    </row>
    <row r="1369" spans="1:1" x14ac:dyDescent="0.2">
      <c r="A1369" t="s">
        <v>3509</v>
      </c>
    </row>
    <row r="1370" spans="1:1" x14ac:dyDescent="0.2">
      <c r="A1370" t="s">
        <v>3510</v>
      </c>
    </row>
    <row r="1371" spans="1:1" x14ac:dyDescent="0.2">
      <c r="A1371" t="s">
        <v>3511</v>
      </c>
    </row>
    <row r="1372" spans="1:1" x14ac:dyDescent="0.2">
      <c r="A1372" t="s">
        <v>3512</v>
      </c>
    </row>
    <row r="1373" spans="1:1" x14ac:dyDescent="0.2">
      <c r="A1373" t="s">
        <v>3513</v>
      </c>
    </row>
    <row r="1374" spans="1:1" x14ac:dyDescent="0.2">
      <c r="A1374" t="s">
        <v>3514</v>
      </c>
    </row>
    <row r="1375" spans="1:1" x14ac:dyDescent="0.2">
      <c r="A1375" t="s">
        <v>3515</v>
      </c>
    </row>
    <row r="1376" spans="1:1" x14ac:dyDescent="0.2">
      <c r="A1376" t="s">
        <v>3516</v>
      </c>
    </row>
    <row r="1377" spans="1:1" x14ac:dyDescent="0.2">
      <c r="A1377" t="s">
        <v>3517</v>
      </c>
    </row>
    <row r="1378" spans="1:1" x14ac:dyDescent="0.2">
      <c r="A1378" t="s">
        <v>3518</v>
      </c>
    </row>
    <row r="1379" spans="1:1" x14ac:dyDescent="0.2">
      <c r="A1379" t="s">
        <v>3519</v>
      </c>
    </row>
    <row r="1380" spans="1:1" x14ac:dyDescent="0.2">
      <c r="A1380" t="s">
        <v>3520</v>
      </c>
    </row>
    <row r="1381" spans="1:1" x14ac:dyDescent="0.2">
      <c r="A1381" t="s">
        <v>3521</v>
      </c>
    </row>
    <row r="1382" spans="1:1" x14ac:dyDescent="0.2">
      <c r="A1382" t="s">
        <v>3522</v>
      </c>
    </row>
    <row r="1383" spans="1:1" x14ac:dyDescent="0.2">
      <c r="A1383" t="s">
        <v>3523</v>
      </c>
    </row>
    <row r="1384" spans="1:1" x14ac:dyDescent="0.2">
      <c r="A1384" t="s">
        <v>3524</v>
      </c>
    </row>
    <row r="1385" spans="1:1" x14ac:dyDescent="0.2">
      <c r="A1385" t="s">
        <v>3525</v>
      </c>
    </row>
    <row r="1386" spans="1:1" x14ac:dyDescent="0.2">
      <c r="A1386" t="s">
        <v>3526</v>
      </c>
    </row>
    <row r="1387" spans="1:1" x14ac:dyDescent="0.2">
      <c r="A1387" t="s">
        <v>3527</v>
      </c>
    </row>
    <row r="1388" spans="1:1" x14ac:dyDescent="0.2">
      <c r="A1388" t="s">
        <v>3528</v>
      </c>
    </row>
    <row r="1389" spans="1:1" x14ac:dyDescent="0.2">
      <c r="A1389" t="s">
        <v>3529</v>
      </c>
    </row>
    <row r="1390" spans="1:1" x14ac:dyDescent="0.2">
      <c r="A1390" t="s">
        <v>3530</v>
      </c>
    </row>
    <row r="1391" spans="1:1" x14ac:dyDescent="0.2">
      <c r="A1391" t="s">
        <v>3531</v>
      </c>
    </row>
    <row r="1392" spans="1:1" x14ac:dyDescent="0.2">
      <c r="A1392" t="s">
        <v>3532</v>
      </c>
    </row>
    <row r="1393" spans="1:1" x14ac:dyDescent="0.2">
      <c r="A1393" t="s">
        <v>3533</v>
      </c>
    </row>
    <row r="1394" spans="1:1" x14ac:dyDescent="0.2">
      <c r="A1394" t="s">
        <v>3534</v>
      </c>
    </row>
    <row r="1395" spans="1:1" x14ac:dyDescent="0.2">
      <c r="A1395" t="s">
        <v>3535</v>
      </c>
    </row>
    <row r="1396" spans="1:1" x14ac:dyDescent="0.2">
      <c r="A1396" t="s">
        <v>3536</v>
      </c>
    </row>
    <row r="1397" spans="1:1" x14ac:dyDescent="0.2">
      <c r="A1397" t="s">
        <v>3537</v>
      </c>
    </row>
    <row r="1398" spans="1:1" x14ac:dyDescent="0.2">
      <c r="A1398" t="s">
        <v>3538</v>
      </c>
    </row>
    <row r="1399" spans="1:1" x14ac:dyDescent="0.2">
      <c r="A1399" t="s">
        <v>3539</v>
      </c>
    </row>
    <row r="1400" spans="1:1" x14ac:dyDescent="0.2">
      <c r="A1400" t="s">
        <v>3540</v>
      </c>
    </row>
    <row r="1401" spans="1:1" x14ac:dyDescent="0.2">
      <c r="A1401" t="s">
        <v>3541</v>
      </c>
    </row>
    <row r="1402" spans="1:1" x14ac:dyDescent="0.2">
      <c r="A1402" t="s">
        <v>3542</v>
      </c>
    </row>
    <row r="1403" spans="1:1" x14ac:dyDescent="0.2">
      <c r="A1403" t="s">
        <v>3543</v>
      </c>
    </row>
    <row r="1404" spans="1:1" x14ac:dyDescent="0.2">
      <c r="A1404" t="s">
        <v>3544</v>
      </c>
    </row>
    <row r="1405" spans="1:1" x14ac:dyDescent="0.2">
      <c r="A1405" t="s">
        <v>3545</v>
      </c>
    </row>
    <row r="1406" spans="1:1" x14ac:dyDescent="0.2">
      <c r="A1406" t="s">
        <v>3546</v>
      </c>
    </row>
    <row r="1407" spans="1:1" x14ac:dyDescent="0.2">
      <c r="A1407" t="s">
        <v>3547</v>
      </c>
    </row>
    <row r="1408" spans="1:1" x14ac:dyDescent="0.2">
      <c r="A1408" t="s">
        <v>3548</v>
      </c>
    </row>
    <row r="1409" spans="1:1" x14ac:dyDescent="0.2">
      <c r="A1409" t="s">
        <v>3549</v>
      </c>
    </row>
    <row r="1410" spans="1:1" x14ac:dyDescent="0.2">
      <c r="A1410" t="s">
        <v>3550</v>
      </c>
    </row>
    <row r="1411" spans="1:1" x14ac:dyDescent="0.2">
      <c r="A1411" t="s">
        <v>3551</v>
      </c>
    </row>
    <row r="1412" spans="1:1" x14ac:dyDescent="0.2">
      <c r="A1412" t="s">
        <v>3552</v>
      </c>
    </row>
    <row r="1413" spans="1:1" x14ac:dyDescent="0.2">
      <c r="A1413" t="s">
        <v>3553</v>
      </c>
    </row>
    <row r="1414" spans="1:1" x14ac:dyDescent="0.2">
      <c r="A1414" t="s">
        <v>3554</v>
      </c>
    </row>
    <row r="1415" spans="1:1" x14ac:dyDescent="0.2">
      <c r="A1415" t="s">
        <v>3555</v>
      </c>
    </row>
    <row r="1416" spans="1:1" x14ac:dyDescent="0.2">
      <c r="A1416" t="s">
        <v>3556</v>
      </c>
    </row>
    <row r="1417" spans="1:1" x14ac:dyDescent="0.2">
      <c r="A1417" t="s">
        <v>3557</v>
      </c>
    </row>
    <row r="1418" spans="1:1" x14ac:dyDescent="0.2">
      <c r="A1418" t="s">
        <v>3558</v>
      </c>
    </row>
    <row r="1419" spans="1:1" x14ac:dyDescent="0.2">
      <c r="A1419" t="s">
        <v>3559</v>
      </c>
    </row>
    <row r="1420" spans="1:1" x14ac:dyDescent="0.2">
      <c r="A1420" t="s">
        <v>3560</v>
      </c>
    </row>
    <row r="1421" spans="1:1" x14ac:dyDescent="0.2">
      <c r="A1421" t="s">
        <v>3561</v>
      </c>
    </row>
    <row r="1422" spans="1:1" x14ac:dyDescent="0.2">
      <c r="A1422" t="s">
        <v>3562</v>
      </c>
    </row>
    <row r="1423" spans="1:1" x14ac:dyDescent="0.2">
      <c r="A1423" t="s">
        <v>3563</v>
      </c>
    </row>
    <row r="1424" spans="1:1" x14ac:dyDescent="0.2">
      <c r="A1424" t="s">
        <v>3564</v>
      </c>
    </row>
    <row r="1425" spans="1:1" x14ac:dyDescent="0.2">
      <c r="A1425" t="s">
        <v>3565</v>
      </c>
    </row>
    <row r="1426" spans="1:1" x14ac:dyDescent="0.2">
      <c r="A1426" t="s">
        <v>3566</v>
      </c>
    </row>
    <row r="1427" spans="1:1" x14ac:dyDescent="0.2">
      <c r="A1427" t="s">
        <v>3567</v>
      </c>
    </row>
    <row r="1428" spans="1:1" x14ac:dyDescent="0.2">
      <c r="A1428" t="s">
        <v>3568</v>
      </c>
    </row>
    <row r="1429" spans="1:1" x14ac:dyDescent="0.2">
      <c r="A1429" t="s">
        <v>3569</v>
      </c>
    </row>
    <row r="1430" spans="1:1" x14ac:dyDescent="0.2">
      <c r="A1430" t="s">
        <v>3570</v>
      </c>
    </row>
    <row r="1431" spans="1:1" x14ac:dyDescent="0.2">
      <c r="A1431" t="s">
        <v>3571</v>
      </c>
    </row>
    <row r="1432" spans="1:1" x14ac:dyDescent="0.2">
      <c r="A1432" t="s">
        <v>3572</v>
      </c>
    </row>
    <row r="1433" spans="1:1" x14ac:dyDescent="0.2">
      <c r="A1433" t="s">
        <v>3572</v>
      </c>
    </row>
    <row r="1434" spans="1:1" x14ac:dyDescent="0.2">
      <c r="A1434" t="s">
        <v>3573</v>
      </c>
    </row>
    <row r="1435" spans="1:1" x14ac:dyDescent="0.2">
      <c r="A1435" t="s">
        <v>3574</v>
      </c>
    </row>
    <row r="1436" spans="1:1" x14ac:dyDescent="0.2">
      <c r="A1436" t="s">
        <v>3575</v>
      </c>
    </row>
    <row r="1437" spans="1:1" x14ac:dyDescent="0.2">
      <c r="A1437" t="s">
        <v>3576</v>
      </c>
    </row>
    <row r="1438" spans="1:1" x14ac:dyDescent="0.2">
      <c r="A1438" t="s">
        <v>3577</v>
      </c>
    </row>
    <row r="1439" spans="1:1" x14ac:dyDescent="0.2">
      <c r="A1439" t="s">
        <v>3577</v>
      </c>
    </row>
    <row r="1440" spans="1:1" x14ac:dyDescent="0.2">
      <c r="A1440" t="s">
        <v>3578</v>
      </c>
    </row>
    <row r="1441" spans="1:1" x14ac:dyDescent="0.2">
      <c r="A1441" t="s">
        <v>3579</v>
      </c>
    </row>
    <row r="1442" spans="1:1" x14ac:dyDescent="0.2">
      <c r="A1442" t="s">
        <v>3580</v>
      </c>
    </row>
    <row r="1443" spans="1:1" x14ac:dyDescent="0.2">
      <c r="A1443" t="s">
        <v>3581</v>
      </c>
    </row>
    <row r="1444" spans="1:1" x14ac:dyDescent="0.2">
      <c r="A1444" t="s">
        <v>3582</v>
      </c>
    </row>
    <row r="1445" spans="1:1" x14ac:dyDescent="0.2">
      <c r="A1445" t="s">
        <v>3583</v>
      </c>
    </row>
    <row r="1446" spans="1:1" x14ac:dyDescent="0.2">
      <c r="A1446" t="s">
        <v>3584</v>
      </c>
    </row>
    <row r="1447" spans="1:1" x14ac:dyDescent="0.2">
      <c r="A1447" t="s">
        <v>3585</v>
      </c>
    </row>
    <row r="1448" spans="1:1" x14ac:dyDescent="0.2">
      <c r="A1448" t="s">
        <v>3586</v>
      </c>
    </row>
    <row r="1449" spans="1:1" x14ac:dyDescent="0.2">
      <c r="A1449" t="s">
        <v>3587</v>
      </c>
    </row>
    <row r="1450" spans="1:1" x14ac:dyDescent="0.2">
      <c r="A1450" t="s">
        <v>3588</v>
      </c>
    </row>
    <row r="1451" spans="1:1" x14ac:dyDescent="0.2">
      <c r="A1451" t="s">
        <v>3589</v>
      </c>
    </row>
    <row r="1452" spans="1:1" x14ac:dyDescent="0.2">
      <c r="A1452" t="s">
        <v>3590</v>
      </c>
    </row>
    <row r="1453" spans="1:1" x14ac:dyDescent="0.2">
      <c r="A1453" t="s">
        <v>3591</v>
      </c>
    </row>
    <row r="1454" spans="1:1" x14ac:dyDescent="0.2">
      <c r="A1454" t="s">
        <v>3592</v>
      </c>
    </row>
    <row r="1455" spans="1:1" x14ac:dyDescent="0.2">
      <c r="A1455" t="s">
        <v>3593</v>
      </c>
    </row>
    <row r="1456" spans="1:1" x14ac:dyDescent="0.2">
      <c r="A1456" t="s">
        <v>3594</v>
      </c>
    </row>
    <row r="1457" spans="1:1" x14ac:dyDescent="0.2">
      <c r="A1457" t="s">
        <v>3595</v>
      </c>
    </row>
    <row r="1458" spans="1:1" x14ac:dyDescent="0.2">
      <c r="A1458" t="s">
        <v>3596</v>
      </c>
    </row>
    <row r="1459" spans="1:1" x14ac:dyDescent="0.2">
      <c r="A1459" t="s">
        <v>3597</v>
      </c>
    </row>
    <row r="1460" spans="1:1" x14ac:dyDescent="0.2">
      <c r="A1460" t="s">
        <v>3598</v>
      </c>
    </row>
    <row r="1461" spans="1:1" x14ac:dyDescent="0.2">
      <c r="A1461" t="s">
        <v>3599</v>
      </c>
    </row>
    <row r="1462" spans="1:1" x14ac:dyDescent="0.2">
      <c r="A1462" t="s">
        <v>3600</v>
      </c>
    </row>
    <row r="1463" spans="1:1" x14ac:dyDescent="0.2">
      <c r="A1463" t="s">
        <v>3601</v>
      </c>
    </row>
    <row r="1464" spans="1:1" x14ac:dyDescent="0.2">
      <c r="A1464" t="s">
        <v>3602</v>
      </c>
    </row>
    <row r="1465" spans="1:1" x14ac:dyDescent="0.2">
      <c r="A1465" t="s">
        <v>3603</v>
      </c>
    </row>
    <row r="1466" spans="1:1" x14ac:dyDescent="0.2">
      <c r="A1466" t="s">
        <v>3604</v>
      </c>
    </row>
    <row r="1467" spans="1:1" x14ac:dyDescent="0.2">
      <c r="A1467" t="s">
        <v>3605</v>
      </c>
    </row>
    <row r="1468" spans="1:1" x14ac:dyDescent="0.2">
      <c r="A1468" t="s">
        <v>3606</v>
      </c>
    </row>
    <row r="1469" spans="1:1" x14ac:dyDescent="0.2">
      <c r="A1469" t="s">
        <v>3607</v>
      </c>
    </row>
    <row r="1470" spans="1:1" x14ac:dyDescent="0.2">
      <c r="A1470" t="s">
        <v>3608</v>
      </c>
    </row>
    <row r="1471" spans="1:1" x14ac:dyDescent="0.2">
      <c r="A1471" t="s">
        <v>3609</v>
      </c>
    </row>
    <row r="1472" spans="1:1" x14ac:dyDescent="0.2">
      <c r="A1472" t="s">
        <v>3610</v>
      </c>
    </row>
    <row r="1473" spans="1:1" x14ac:dyDescent="0.2">
      <c r="A1473" t="s">
        <v>3611</v>
      </c>
    </row>
    <row r="1474" spans="1:1" x14ac:dyDescent="0.2">
      <c r="A1474" t="s">
        <v>3612</v>
      </c>
    </row>
    <row r="1475" spans="1:1" x14ac:dyDescent="0.2">
      <c r="A1475" t="s">
        <v>3613</v>
      </c>
    </row>
    <row r="1476" spans="1:1" x14ac:dyDescent="0.2">
      <c r="A1476" t="s">
        <v>3614</v>
      </c>
    </row>
    <row r="1477" spans="1:1" x14ac:dyDescent="0.2">
      <c r="A1477" t="s">
        <v>3615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D389-C9F5-B848-B172-5D94F18BC770}">
  <dimension ref="A1:H1477"/>
  <sheetViews>
    <sheetView zoomScale="119" workbookViewId="0">
      <selection activeCell="E1" sqref="E1"/>
    </sheetView>
  </sheetViews>
  <sheetFormatPr baseColWidth="10" defaultColWidth="11.33203125" defaultRowHeight="15" x14ac:dyDescent="0.2"/>
  <cols>
    <col min="1" max="1" width="10.83203125" style="1"/>
    <col min="4" max="7" width="11.33203125" style="72"/>
  </cols>
  <sheetData>
    <row r="1" spans="1:8" x14ac:dyDescent="0.2">
      <c r="A1" s="1" t="s">
        <v>4</v>
      </c>
      <c r="B1" t="s">
        <v>5</v>
      </c>
      <c r="C1" t="s">
        <v>6</v>
      </c>
      <c r="D1" s="72" t="s">
        <v>7</v>
      </c>
      <c r="E1" s="72" t="s">
        <v>8</v>
      </c>
      <c r="F1" s="72" t="s">
        <v>9</v>
      </c>
      <c r="G1" s="72" t="s">
        <v>10</v>
      </c>
      <c r="H1" t="s">
        <v>3616</v>
      </c>
    </row>
    <row r="2" spans="1:8" x14ac:dyDescent="0.2">
      <c r="A2" s="5" t="s">
        <v>26</v>
      </c>
      <c r="B2" s="6" t="s">
        <v>36</v>
      </c>
      <c r="C2" s="6" t="s">
        <v>28</v>
      </c>
      <c r="D2" s="72" t="str">
        <f t="shared" ref="D2:D65" si="0">A2&amp;"_"&amp;B2&amp;"_"&amp;C2</f>
        <v>001_O_a</v>
      </c>
      <c r="E2" s="72">
        <v>19</v>
      </c>
      <c r="F2" s="72" t="s">
        <v>34</v>
      </c>
      <c r="G2" s="72" t="s">
        <v>37</v>
      </c>
      <c r="H2">
        <f ca="1">RAND()</f>
        <v>0.94514248415488389</v>
      </c>
    </row>
    <row r="3" spans="1:8" x14ac:dyDescent="0.2">
      <c r="A3" s="5" t="s">
        <v>26</v>
      </c>
      <c r="B3" s="6" t="s">
        <v>27</v>
      </c>
      <c r="C3" s="6" t="s">
        <v>28</v>
      </c>
      <c r="D3" s="72" t="str">
        <f t="shared" si="0"/>
        <v>001_S_a</v>
      </c>
      <c r="E3" s="72">
        <v>15</v>
      </c>
      <c r="F3" s="72" t="s">
        <v>29</v>
      </c>
      <c r="G3" s="72" t="s">
        <v>30</v>
      </c>
      <c r="H3">
        <f t="shared" ref="H3:H66" ca="1" si="1">RAND()</f>
        <v>0.27865394662974396</v>
      </c>
    </row>
    <row r="4" spans="1:8" x14ac:dyDescent="0.2">
      <c r="A4" s="2" t="s">
        <v>26</v>
      </c>
      <c r="B4" t="s">
        <v>33</v>
      </c>
      <c r="C4" t="s">
        <v>28</v>
      </c>
      <c r="D4" s="72" t="str">
        <f t="shared" si="0"/>
        <v>001_V_a</v>
      </c>
      <c r="E4" s="72">
        <v>18</v>
      </c>
      <c r="F4" s="72" t="s">
        <v>34</v>
      </c>
      <c r="G4" s="72" t="s">
        <v>35</v>
      </c>
      <c r="H4">
        <f t="shared" ca="1" si="1"/>
        <v>0.96980653016080387</v>
      </c>
    </row>
    <row r="5" spans="1:8" x14ac:dyDescent="0.2">
      <c r="A5" s="5" t="s">
        <v>59</v>
      </c>
      <c r="B5" s="6" t="s">
        <v>36</v>
      </c>
      <c r="C5" s="6" t="s">
        <v>28</v>
      </c>
      <c r="D5" s="72" t="str">
        <f t="shared" si="0"/>
        <v>002_O_a</v>
      </c>
      <c r="E5" s="72">
        <v>12</v>
      </c>
      <c r="F5" s="72" t="s">
        <v>49</v>
      </c>
      <c r="G5" s="72" t="s">
        <v>62</v>
      </c>
      <c r="H5">
        <f t="shared" ca="1" si="1"/>
        <v>3.0649904176838438E-2</v>
      </c>
    </row>
    <row r="6" spans="1:8" x14ac:dyDescent="0.2">
      <c r="A6" s="5" t="s">
        <v>59</v>
      </c>
      <c r="B6" s="6" t="s">
        <v>27</v>
      </c>
      <c r="C6" s="6" t="s">
        <v>28</v>
      </c>
      <c r="D6" s="72" t="str">
        <f t="shared" si="0"/>
        <v>002_S_a</v>
      </c>
      <c r="E6" s="72">
        <v>4</v>
      </c>
      <c r="F6" s="72" t="s">
        <v>49</v>
      </c>
      <c r="G6" s="72" t="s">
        <v>60</v>
      </c>
      <c r="H6">
        <f t="shared" ca="1" si="1"/>
        <v>0.5423371486500177</v>
      </c>
    </row>
    <row r="7" spans="1:8" x14ac:dyDescent="0.2">
      <c r="A7" s="2" t="s">
        <v>59</v>
      </c>
      <c r="B7" t="s">
        <v>33</v>
      </c>
      <c r="C7" t="s">
        <v>28</v>
      </c>
      <c r="D7" s="72" t="str">
        <f t="shared" si="0"/>
        <v>002_V_a</v>
      </c>
      <c r="E7" s="72">
        <v>25</v>
      </c>
      <c r="F7" s="72" t="s">
        <v>63</v>
      </c>
      <c r="G7" s="72" t="s">
        <v>64</v>
      </c>
      <c r="H7">
        <f t="shared" ca="1" si="1"/>
        <v>0.21821013070729411</v>
      </c>
    </row>
    <row r="8" spans="1:8" x14ac:dyDescent="0.2">
      <c r="A8" s="5" t="s">
        <v>79</v>
      </c>
      <c r="B8" s="6" t="s">
        <v>36</v>
      </c>
      <c r="C8" s="6" t="s">
        <v>28</v>
      </c>
      <c r="D8" s="72" t="str">
        <f t="shared" si="0"/>
        <v>003_O_a</v>
      </c>
      <c r="E8" s="72">
        <v>34</v>
      </c>
      <c r="F8" s="72" t="s">
        <v>68</v>
      </c>
      <c r="G8" s="72" t="s">
        <v>81</v>
      </c>
      <c r="H8">
        <f t="shared" ca="1" si="1"/>
        <v>0.34660035918613519</v>
      </c>
    </row>
    <row r="9" spans="1:8" x14ac:dyDescent="0.2">
      <c r="A9" s="5" t="s">
        <v>79</v>
      </c>
      <c r="B9" s="6" t="s">
        <v>27</v>
      </c>
      <c r="C9" s="6" t="s">
        <v>28</v>
      </c>
      <c r="D9" s="72" t="str">
        <f t="shared" si="0"/>
        <v>003_S_a</v>
      </c>
      <c r="E9" s="72">
        <v>36</v>
      </c>
      <c r="F9" s="72" t="s">
        <v>82</v>
      </c>
      <c r="G9" s="72" t="s">
        <v>83</v>
      </c>
      <c r="H9">
        <f t="shared" ca="1" si="1"/>
        <v>0.49823246002672494</v>
      </c>
    </row>
    <row r="10" spans="1:8" x14ac:dyDescent="0.2">
      <c r="A10" s="2" t="s">
        <v>79</v>
      </c>
      <c r="B10" t="s">
        <v>33</v>
      </c>
      <c r="C10" t="s">
        <v>28</v>
      </c>
      <c r="D10" s="72" t="str">
        <f t="shared" si="0"/>
        <v>003_V_a</v>
      </c>
      <c r="E10" s="72">
        <v>31</v>
      </c>
      <c r="F10" s="72" t="s">
        <v>68</v>
      </c>
      <c r="G10" s="72" t="s">
        <v>80</v>
      </c>
      <c r="H10">
        <f t="shared" ca="1" si="1"/>
        <v>7.1446866688927524E-2</v>
      </c>
    </row>
    <row r="11" spans="1:8" x14ac:dyDescent="0.2">
      <c r="A11" s="5" t="s">
        <v>94</v>
      </c>
      <c r="B11" s="6" t="s">
        <v>36</v>
      </c>
      <c r="C11" s="6" t="s">
        <v>28</v>
      </c>
      <c r="D11" s="72" t="str">
        <f t="shared" si="0"/>
        <v>004_O_a</v>
      </c>
      <c r="E11" s="72">
        <v>14</v>
      </c>
      <c r="F11" s="72" t="s">
        <v>34</v>
      </c>
      <c r="G11" s="72" t="s">
        <v>95</v>
      </c>
      <c r="H11">
        <f t="shared" ca="1" si="1"/>
        <v>0.3604665711367474</v>
      </c>
    </row>
    <row r="12" spans="1:8" x14ac:dyDescent="0.2">
      <c r="A12" s="5" t="s">
        <v>94</v>
      </c>
      <c r="B12" s="6" t="s">
        <v>27</v>
      </c>
      <c r="C12" s="6" t="s">
        <v>28</v>
      </c>
      <c r="D12" s="72" t="str">
        <f t="shared" si="0"/>
        <v>004_S_a</v>
      </c>
      <c r="E12" s="72">
        <v>20</v>
      </c>
      <c r="F12" s="72" t="s">
        <v>43</v>
      </c>
      <c r="G12" s="72" t="s">
        <v>96</v>
      </c>
      <c r="H12">
        <f t="shared" ca="1" si="1"/>
        <v>0.16994173934078904</v>
      </c>
    </row>
    <row r="13" spans="1:8" x14ac:dyDescent="0.2">
      <c r="A13" s="2" t="s">
        <v>94</v>
      </c>
      <c r="B13" t="s">
        <v>33</v>
      </c>
      <c r="C13" t="s">
        <v>28</v>
      </c>
      <c r="D13" s="72" t="str">
        <f t="shared" si="0"/>
        <v>004_V_a</v>
      </c>
      <c r="E13" s="72">
        <v>24</v>
      </c>
      <c r="F13" s="72" t="s">
        <v>49</v>
      </c>
      <c r="G13" s="72" t="s">
        <v>97</v>
      </c>
      <c r="H13">
        <f t="shared" ca="1" si="1"/>
        <v>0.63907390335002723</v>
      </c>
    </row>
    <row r="14" spans="1:8" x14ac:dyDescent="0.2">
      <c r="A14" s="5" t="s">
        <v>107</v>
      </c>
      <c r="B14" s="6" t="s">
        <v>36</v>
      </c>
      <c r="C14" s="6" t="s">
        <v>28</v>
      </c>
      <c r="D14" s="72" t="str">
        <f t="shared" si="0"/>
        <v>005_O_a</v>
      </c>
      <c r="E14" s="72">
        <v>14</v>
      </c>
      <c r="F14" s="72" t="s">
        <v>82</v>
      </c>
      <c r="G14" s="72" t="s">
        <v>109</v>
      </c>
      <c r="H14">
        <f t="shared" ca="1" si="1"/>
        <v>0.56948172576541733</v>
      </c>
    </row>
    <row r="15" spans="1:8" x14ac:dyDescent="0.2">
      <c r="A15" s="5" t="s">
        <v>107</v>
      </c>
      <c r="B15" s="6" t="s">
        <v>27</v>
      </c>
      <c r="C15" s="6" t="s">
        <v>28</v>
      </c>
      <c r="D15" s="72" t="str">
        <f t="shared" si="0"/>
        <v>005_S_a</v>
      </c>
      <c r="E15" s="72">
        <v>8</v>
      </c>
      <c r="F15" s="72" t="s">
        <v>49</v>
      </c>
      <c r="G15" s="72" t="s">
        <v>108</v>
      </c>
      <c r="H15">
        <f t="shared" ca="1" si="1"/>
        <v>0.20798074626696839</v>
      </c>
    </row>
    <row r="16" spans="1:8" x14ac:dyDescent="0.2">
      <c r="A16" s="2" t="s">
        <v>107</v>
      </c>
      <c r="B16" t="s">
        <v>33</v>
      </c>
      <c r="C16" t="s">
        <v>28</v>
      </c>
      <c r="D16" s="72" t="str">
        <f t="shared" si="0"/>
        <v>005_V_a</v>
      </c>
      <c r="E16" s="72">
        <v>17</v>
      </c>
      <c r="F16" s="72" t="s">
        <v>41</v>
      </c>
      <c r="G16" s="72" t="s">
        <v>110</v>
      </c>
      <c r="H16">
        <f t="shared" ca="1" si="1"/>
        <v>0.83615677385543852</v>
      </c>
    </row>
    <row r="17" spans="1:8" x14ac:dyDescent="0.2">
      <c r="A17" s="5" t="s">
        <v>120</v>
      </c>
      <c r="B17" s="6" t="s">
        <v>36</v>
      </c>
      <c r="C17" s="6" t="s">
        <v>28</v>
      </c>
      <c r="D17" s="72" t="str">
        <f t="shared" si="0"/>
        <v>006_O_a</v>
      </c>
      <c r="E17" s="72">
        <v>23</v>
      </c>
      <c r="F17" s="72" t="s">
        <v>34</v>
      </c>
      <c r="G17" s="72" t="s">
        <v>123</v>
      </c>
      <c r="H17">
        <f t="shared" ca="1" si="1"/>
        <v>0.72989119106075595</v>
      </c>
    </row>
    <row r="18" spans="1:8" x14ac:dyDescent="0.2">
      <c r="A18" s="5" t="s">
        <v>120</v>
      </c>
      <c r="B18" s="6" t="s">
        <v>27</v>
      </c>
      <c r="C18" s="6" t="s">
        <v>28</v>
      </c>
      <c r="D18" s="72" t="str">
        <f t="shared" si="0"/>
        <v>006_S_a</v>
      </c>
      <c r="E18" s="72">
        <v>18</v>
      </c>
      <c r="F18" s="72" t="s">
        <v>68</v>
      </c>
      <c r="G18" s="72" t="s">
        <v>121</v>
      </c>
      <c r="H18">
        <f t="shared" ca="1" si="1"/>
        <v>0.86721395802678136</v>
      </c>
    </row>
    <row r="19" spans="1:8" x14ac:dyDescent="0.2">
      <c r="A19" s="2" t="s">
        <v>120</v>
      </c>
      <c r="B19" t="s">
        <v>33</v>
      </c>
      <c r="C19" t="s">
        <v>28</v>
      </c>
      <c r="D19" s="72" t="str">
        <f t="shared" si="0"/>
        <v>006_V_a</v>
      </c>
      <c r="E19" s="72">
        <v>20</v>
      </c>
      <c r="F19" s="72" t="s">
        <v>34</v>
      </c>
      <c r="G19" s="72" t="s">
        <v>122</v>
      </c>
      <c r="H19">
        <f t="shared" ca="1" si="1"/>
        <v>0.85577073852214081</v>
      </c>
    </row>
    <row r="20" spans="1:8" x14ac:dyDescent="0.2">
      <c r="A20" s="5" t="s">
        <v>134</v>
      </c>
      <c r="B20" s="6" t="s">
        <v>36</v>
      </c>
      <c r="C20" s="6" t="s">
        <v>28</v>
      </c>
      <c r="D20" s="72" t="str">
        <f t="shared" si="0"/>
        <v>007_O_a</v>
      </c>
      <c r="E20" s="72">
        <v>19</v>
      </c>
      <c r="F20" s="72" t="s">
        <v>39</v>
      </c>
      <c r="G20" s="72" t="s">
        <v>136</v>
      </c>
      <c r="H20">
        <f t="shared" ca="1" si="1"/>
        <v>0.40310164537990045</v>
      </c>
    </row>
    <row r="21" spans="1:8" x14ac:dyDescent="0.2">
      <c r="A21" s="5" t="s">
        <v>134</v>
      </c>
      <c r="B21" s="6" t="s">
        <v>27</v>
      </c>
      <c r="C21" s="6" t="s">
        <v>28</v>
      </c>
      <c r="D21" s="72" t="str">
        <f t="shared" si="0"/>
        <v>007_S_a</v>
      </c>
      <c r="E21" s="72">
        <v>11</v>
      </c>
      <c r="F21" s="72" t="s">
        <v>29</v>
      </c>
      <c r="G21" s="72" t="s">
        <v>135</v>
      </c>
      <c r="H21">
        <f t="shared" ca="1" si="1"/>
        <v>0.19697536726980214</v>
      </c>
    </row>
    <row r="22" spans="1:8" x14ac:dyDescent="0.2">
      <c r="A22" s="2" t="s">
        <v>134</v>
      </c>
      <c r="B22" t="s">
        <v>33</v>
      </c>
      <c r="C22" t="s">
        <v>28</v>
      </c>
      <c r="D22" s="72" t="str">
        <f t="shared" si="0"/>
        <v>007_V_a</v>
      </c>
      <c r="E22" s="72">
        <v>20</v>
      </c>
      <c r="F22" s="72" t="s">
        <v>29</v>
      </c>
      <c r="G22" s="72" t="s">
        <v>137</v>
      </c>
      <c r="H22">
        <f t="shared" ca="1" si="1"/>
        <v>0.44872076711445474</v>
      </c>
    </row>
    <row r="23" spans="1:8" x14ac:dyDescent="0.2">
      <c r="A23" s="5" t="s">
        <v>150</v>
      </c>
      <c r="B23" s="6" t="s">
        <v>36</v>
      </c>
      <c r="C23" s="6" t="s">
        <v>28</v>
      </c>
      <c r="D23" s="72" t="str">
        <f t="shared" si="0"/>
        <v>008_O_a</v>
      </c>
      <c r="E23" s="72">
        <v>12</v>
      </c>
      <c r="F23" s="72" t="s">
        <v>41</v>
      </c>
      <c r="G23" s="72" t="s">
        <v>152</v>
      </c>
      <c r="H23">
        <f t="shared" ca="1" si="1"/>
        <v>0.78037942089079393</v>
      </c>
    </row>
    <row r="24" spans="1:8" x14ac:dyDescent="0.2">
      <c r="A24" s="5" t="s">
        <v>150</v>
      </c>
      <c r="B24" s="6" t="s">
        <v>27</v>
      </c>
      <c r="C24" s="6" t="s">
        <v>28</v>
      </c>
      <c r="D24" s="72" t="str">
        <f t="shared" si="0"/>
        <v>008_S_a</v>
      </c>
      <c r="E24" s="72">
        <v>1</v>
      </c>
      <c r="F24" s="72" t="s">
        <v>63</v>
      </c>
      <c r="G24" s="72" t="s">
        <v>151</v>
      </c>
      <c r="H24">
        <f t="shared" ca="1" si="1"/>
        <v>0.25748742815371517</v>
      </c>
    </row>
    <row r="25" spans="1:8" x14ac:dyDescent="0.2">
      <c r="A25" s="2" t="s">
        <v>150</v>
      </c>
      <c r="B25" t="s">
        <v>33</v>
      </c>
      <c r="C25" t="s">
        <v>28</v>
      </c>
      <c r="D25" s="72" t="str">
        <f t="shared" si="0"/>
        <v>008_V_a</v>
      </c>
      <c r="E25" s="72">
        <v>31</v>
      </c>
      <c r="F25" s="72" t="s">
        <v>29</v>
      </c>
      <c r="G25" s="72" t="s">
        <v>153</v>
      </c>
      <c r="H25">
        <f t="shared" ca="1" si="1"/>
        <v>0.31015486445076734</v>
      </c>
    </row>
    <row r="26" spans="1:8" x14ac:dyDescent="0.2">
      <c r="A26" s="5" t="s">
        <v>164</v>
      </c>
      <c r="B26" s="6" t="s">
        <v>36</v>
      </c>
      <c r="C26" s="6" t="s">
        <v>28</v>
      </c>
      <c r="D26" s="72" t="str">
        <f t="shared" si="0"/>
        <v>009_O_a</v>
      </c>
      <c r="E26" s="72">
        <v>1</v>
      </c>
      <c r="F26" s="72" t="s">
        <v>29</v>
      </c>
      <c r="G26" s="72" t="s">
        <v>165</v>
      </c>
      <c r="H26">
        <f t="shared" ca="1" si="1"/>
        <v>0.45565794717914743</v>
      </c>
    </row>
    <row r="27" spans="1:8" x14ac:dyDescent="0.2">
      <c r="A27" s="5" t="s">
        <v>164</v>
      </c>
      <c r="B27" s="6" t="s">
        <v>27</v>
      </c>
      <c r="C27" s="6" t="s">
        <v>28</v>
      </c>
      <c r="D27" s="72" t="str">
        <f t="shared" si="0"/>
        <v>009_S_a</v>
      </c>
      <c r="E27" s="72">
        <v>27</v>
      </c>
      <c r="F27" s="72" t="s">
        <v>39</v>
      </c>
      <c r="G27" s="72" t="s">
        <v>167</v>
      </c>
      <c r="H27">
        <f t="shared" ca="1" si="1"/>
        <v>0.40239882949311023</v>
      </c>
    </row>
    <row r="28" spans="1:8" x14ac:dyDescent="0.2">
      <c r="A28" s="2" t="s">
        <v>164</v>
      </c>
      <c r="B28" t="s">
        <v>33</v>
      </c>
      <c r="C28" t="s">
        <v>28</v>
      </c>
      <c r="D28" s="72" t="str">
        <f t="shared" si="0"/>
        <v>009_V_a</v>
      </c>
      <c r="E28" s="72">
        <v>5</v>
      </c>
      <c r="F28" s="72" t="s">
        <v>49</v>
      </c>
      <c r="G28" s="72" t="s">
        <v>166</v>
      </c>
      <c r="H28">
        <f t="shared" ca="1" si="1"/>
        <v>0.79708189350767988</v>
      </c>
    </row>
    <row r="29" spans="1:8" x14ac:dyDescent="0.2">
      <c r="A29" s="5" t="s">
        <v>178</v>
      </c>
      <c r="B29" s="6" t="s">
        <v>36</v>
      </c>
      <c r="C29" s="6" t="s">
        <v>28</v>
      </c>
      <c r="D29" s="72" t="str">
        <f t="shared" si="0"/>
        <v>010_O_a</v>
      </c>
      <c r="E29" s="72">
        <v>21</v>
      </c>
      <c r="F29" s="72" t="s">
        <v>70</v>
      </c>
      <c r="G29" s="72" t="s">
        <v>180</v>
      </c>
      <c r="H29">
        <f t="shared" ca="1" si="1"/>
        <v>8.4859785824679901E-2</v>
      </c>
    </row>
    <row r="30" spans="1:8" x14ac:dyDescent="0.2">
      <c r="A30" s="5" t="s">
        <v>178</v>
      </c>
      <c r="B30" s="6" t="s">
        <v>27</v>
      </c>
      <c r="C30" s="6" t="s">
        <v>28</v>
      </c>
      <c r="D30" s="72" t="str">
        <f t="shared" si="0"/>
        <v>010_S_a</v>
      </c>
      <c r="E30" s="72">
        <v>8</v>
      </c>
      <c r="F30" s="72" t="s">
        <v>63</v>
      </c>
      <c r="G30" s="72" t="s">
        <v>179</v>
      </c>
      <c r="H30">
        <f t="shared" ca="1" si="1"/>
        <v>5.999713493240133E-2</v>
      </c>
    </row>
    <row r="31" spans="1:8" x14ac:dyDescent="0.2">
      <c r="A31" s="2" t="s">
        <v>178</v>
      </c>
      <c r="B31" t="s">
        <v>33</v>
      </c>
      <c r="C31" t="s">
        <v>28</v>
      </c>
      <c r="D31" s="72" t="str">
        <f t="shared" si="0"/>
        <v>010_V_a</v>
      </c>
      <c r="E31" s="72">
        <v>22</v>
      </c>
      <c r="F31" s="72" t="s">
        <v>63</v>
      </c>
      <c r="G31" s="72" t="s">
        <v>181</v>
      </c>
      <c r="H31">
        <f t="shared" ca="1" si="1"/>
        <v>0.44690904867063386</v>
      </c>
    </row>
    <row r="32" spans="1:8" x14ac:dyDescent="0.2">
      <c r="A32" s="5" t="s">
        <v>191</v>
      </c>
      <c r="B32" s="6" t="s">
        <v>36</v>
      </c>
      <c r="C32" s="6" t="s">
        <v>28</v>
      </c>
      <c r="D32" s="72" t="str">
        <f t="shared" si="0"/>
        <v>011_O_a</v>
      </c>
      <c r="E32" s="72">
        <v>18</v>
      </c>
      <c r="F32" s="72" t="s">
        <v>70</v>
      </c>
      <c r="G32" s="72" t="s">
        <v>192</v>
      </c>
      <c r="H32">
        <f t="shared" ca="1" si="1"/>
        <v>4.7110149968975112E-2</v>
      </c>
    </row>
    <row r="33" spans="1:8" x14ac:dyDescent="0.2">
      <c r="A33" s="5" t="s">
        <v>191</v>
      </c>
      <c r="B33" s="6" t="s">
        <v>27</v>
      </c>
      <c r="C33" s="6" t="s">
        <v>28</v>
      </c>
      <c r="D33" s="72" t="str">
        <f t="shared" si="0"/>
        <v>011_S_a</v>
      </c>
      <c r="E33" s="72">
        <v>25</v>
      </c>
      <c r="F33" s="72" t="s">
        <v>29</v>
      </c>
      <c r="G33" s="72" t="s">
        <v>193</v>
      </c>
      <c r="H33">
        <f t="shared" ca="1" si="1"/>
        <v>0.97440849343829483</v>
      </c>
    </row>
    <row r="34" spans="1:8" x14ac:dyDescent="0.2">
      <c r="A34" s="2" t="s">
        <v>191</v>
      </c>
      <c r="B34" t="s">
        <v>33</v>
      </c>
      <c r="C34" t="s">
        <v>28</v>
      </c>
      <c r="D34" s="72" t="str">
        <f t="shared" si="0"/>
        <v>011_V_a</v>
      </c>
      <c r="E34" s="72">
        <v>28</v>
      </c>
      <c r="F34" s="72" t="s">
        <v>39</v>
      </c>
      <c r="G34" s="72" t="s">
        <v>194</v>
      </c>
      <c r="H34">
        <f t="shared" ca="1" si="1"/>
        <v>0.4641430778854535</v>
      </c>
    </row>
    <row r="35" spans="1:8" x14ac:dyDescent="0.2">
      <c r="A35" s="5" t="s">
        <v>204</v>
      </c>
      <c r="B35" s="6" t="s">
        <v>36</v>
      </c>
      <c r="C35" s="6" t="s">
        <v>28</v>
      </c>
      <c r="D35" s="72" t="str">
        <f t="shared" si="0"/>
        <v>012_O_a</v>
      </c>
      <c r="E35" s="72">
        <v>9</v>
      </c>
      <c r="F35" s="72" t="s">
        <v>63</v>
      </c>
      <c r="G35" s="72" t="s">
        <v>205</v>
      </c>
      <c r="H35">
        <f t="shared" ca="1" si="1"/>
        <v>0.81594827584792029</v>
      </c>
    </row>
    <row r="36" spans="1:8" x14ac:dyDescent="0.2">
      <c r="A36" s="5" t="s">
        <v>204</v>
      </c>
      <c r="B36" s="6" t="s">
        <v>27</v>
      </c>
      <c r="C36" s="6" t="s">
        <v>28</v>
      </c>
      <c r="D36" s="72" t="str">
        <f t="shared" si="0"/>
        <v>012_S_a</v>
      </c>
      <c r="E36" s="72">
        <v>35</v>
      </c>
      <c r="F36" s="72" t="s">
        <v>41</v>
      </c>
      <c r="G36" s="72" t="s">
        <v>207</v>
      </c>
      <c r="H36">
        <f t="shared" ca="1" si="1"/>
        <v>0.45466135112038897</v>
      </c>
    </row>
    <row r="37" spans="1:8" x14ac:dyDescent="0.2">
      <c r="A37" s="2" t="s">
        <v>204</v>
      </c>
      <c r="B37" t="s">
        <v>33</v>
      </c>
      <c r="C37" t="s">
        <v>28</v>
      </c>
      <c r="D37" s="72" t="str">
        <f t="shared" si="0"/>
        <v>012_V_a</v>
      </c>
      <c r="E37" s="72">
        <v>24</v>
      </c>
      <c r="F37" s="72" t="s">
        <v>39</v>
      </c>
      <c r="G37" s="72" t="s">
        <v>206</v>
      </c>
      <c r="H37">
        <f t="shared" ca="1" si="1"/>
        <v>0.36866419727622224</v>
      </c>
    </row>
    <row r="38" spans="1:8" x14ac:dyDescent="0.2">
      <c r="A38" s="5" t="s">
        <v>219</v>
      </c>
      <c r="B38" s="6" t="s">
        <v>36</v>
      </c>
      <c r="C38" s="6" t="s">
        <v>28</v>
      </c>
      <c r="D38" s="72" t="str">
        <f t="shared" si="0"/>
        <v>013_O_a</v>
      </c>
      <c r="E38" s="72">
        <v>16</v>
      </c>
      <c r="F38" s="72" t="s">
        <v>43</v>
      </c>
      <c r="G38" s="72" t="s">
        <v>220</v>
      </c>
      <c r="H38">
        <f t="shared" ca="1" si="1"/>
        <v>0.84306192647079148</v>
      </c>
    </row>
    <row r="39" spans="1:8" x14ac:dyDescent="0.2">
      <c r="A39" s="5" t="s">
        <v>219</v>
      </c>
      <c r="B39" s="6" t="s">
        <v>27</v>
      </c>
      <c r="C39" s="6" t="s">
        <v>28</v>
      </c>
      <c r="D39" s="72" t="str">
        <f t="shared" si="0"/>
        <v>013_S_a</v>
      </c>
      <c r="E39" s="72">
        <v>29</v>
      </c>
      <c r="F39" s="72" t="s">
        <v>68</v>
      </c>
      <c r="G39" s="72" t="s">
        <v>221</v>
      </c>
      <c r="H39">
        <f t="shared" ca="1" si="1"/>
        <v>3.3210759905884402E-2</v>
      </c>
    </row>
    <row r="40" spans="1:8" x14ac:dyDescent="0.2">
      <c r="A40" s="2" t="s">
        <v>219</v>
      </c>
      <c r="B40" t="s">
        <v>33</v>
      </c>
      <c r="C40" t="s">
        <v>28</v>
      </c>
      <c r="D40" s="72" t="str">
        <f t="shared" si="0"/>
        <v>013_V_a</v>
      </c>
      <c r="E40" s="72">
        <v>33</v>
      </c>
      <c r="F40" s="72" t="s">
        <v>82</v>
      </c>
      <c r="G40" s="72" t="s">
        <v>222</v>
      </c>
      <c r="H40">
        <f t="shared" ca="1" si="1"/>
        <v>0.48338681145851747</v>
      </c>
    </row>
    <row r="41" spans="1:8" x14ac:dyDescent="0.2">
      <c r="A41" s="5" t="s">
        <v>232</v>
      </c>
      <c r="B41" s="6" t="s">
        <v>36</v>
      </c>
      <c r="C41" s="6" t="s">
        <v>28</v>
      </c>
      <c r="D41" s="72" t="str">
        <f t="shared" si="0"/>
        <v>014_O_a</v>
      </c>
      <c r="E41" s="72">
        <v>33</v>
      </c>
      <c r="F41" s="72" t="s">
        <v>63</v>
      </c>
      <c r="G41" s="72" t="s">
        <v>235</v>
      </c>
      <c r="H41">
        <f t="shared" ca="1" si="1"/>
        <v>0.74833421907517883</v>
      </c>
    </row>
    <row r="42" spans="1:8" x14ac:dyDescent="0.2">
      <c r="A42" s="5" t="s">
        <v>232</v>
      </c>
      <c r="B42" s="6" t="s">
        <v>27</v>
      </c>
      <c r="C42" s="6" t="s">
        <v>28</v>
      </c>
      <c r="D42" s="72" t="str">
        <f t="shared" si="0"/>
        <v>014_S_a</v>
      </c>
      <c r="E42" s="72">
        <v>23</v>
      </c>
      <c r="F42" s="72" t="s">
        <v>82</v>
      </c>
      <c r="G42" s="72" t="s">
        <v>234</v>
      </c>
      <c r="H42">
        <f t="shared" ca="1" si="1"/>
        <v>5.7112398994079605E-2</v>
      </c>
    </row>
    <row r="43" spans="1:8" x14ac:dyDescent="0.2">
      <c r="A43" s="2" t="s">
        <v>232</v>
      </c>
      <c r="B43" t="s">
        <v>33</v>
      </c>
      <c r="C43" t="s">
        <v>28</v>
      </c>
      <c r="D43" s="72" t="str">
        <f t="shared" si="0"/>
        <v>014_V_a</v>
      </c>
      <c r="E43" s="72">
        <v>23</v>
      </c>
      <c r="F43" s="72" t="s">
        <v>39</v>
      </c>
      <c r="G43" s="72" t="s">
        <v>233</v>
      </c>
      <c r="H43">
        <f t="shared" ca="1" si="1"/>
        <v>6.6709082846630019E-2</v>
      </c>
    </row>
    <row r="44" spans="1:8" x14ac:dyDescent="0.2">
      <c r="A44" s="5" t="s">
        <v>245</v>
      </c>
      <c r="B44" s="6" t="s">
        <v>36</v>
      </c>
      <c r="C44" s="6" t="s">
        <v>28</v>
      </c>
      <c r="D44" s="72" t="str">
        <f t="shared" si="0"/>
        <v>015_O_a</v>
      </c>
      <c r="E44" s="72">
        <v>1</v>
      </c>
      <c r="F44" s="72" t="s">
        <v>34</v>
      </c>
      <c r="G44" s="72" t="s">
        <v>246</v>
      </c>
      <c r="H44">
        <f t="shared" ca="1" si="1"/>
        <v>0.4644237334061897</v>
      </c>
    </row>
    <row r="45" spans="1:8" x14ac:dyDescent="0.2">
      <c r="A45" s="5" t="s">
        <v>245</v>
      </c>
      <c r="B45" s="6" t="s">
        <v>27</v>
      </c>
      <c r="C45" s="6" t="s">
        <v>28</v>
      </c>
      <c r="D45" s="72" t="str">
        <f t="shared" si="0"/>
        <v>015_S_a</v>
      </c>
      <c r="E45" s="72">
        <v>19</v>
      </c>
      <c r="F45" s="72" t="s">
        <v>43</v>
      </c>
      <c r="G45" s="72" t="s">
        <v>248</v>
      </c>
      <c r="H45">
        <f t="shared" ca="1" si="1"/>
        <v>0.63230477682981301</v>
      </c>
    </row>
    <row r="46" spans="1:8" x14ac:dyDescent="0.2">
      <c r="A46" s="2" t="s">
        <v>245</v>
      </c>
      <c r="B46" t="s">
        <v>33</v>
      </c>
      <c r="C46" t="s">
        <v>28</v>
      </c>
      <c r="D46" s="72" t="str">
        <f t="shared" si="0"/>
        <v>015_V_a</v>
      </c>
      <c r="E46" s="72">
        <v>18</v>
      </c>
      <c r="F46" s="72" t="s">
        <v>49</v>
      </c>
      <c r="G46" s="72" t="s">
        <v>247</v>
      </c>
      <c r="H46">
        <f t="shared" ca="1" si="1"/>
        <v>0.80006498245798441</v>
      </c>
    </row>
    <row r="47" spans="1:8" x14ac:dyDescent="0.2">
      <c r="A47" s="5" t="s">
        <v>258</v>
      </c>
      <c r="B47" s="6" t="s">
        <v>36</v>
      </c>
      <c r="C47" s="6" t="s">
        <v>28</v>
      </c>
      <c r="D47" s="72" t="str">
        <f t="shared" si="0"/>
        <v>016_O_a</v>
      </c>
      <c r="E47" s="72">
        <v>3</v>
      </c>
      <c r="F47" s="72" t="s">
        <v>39</v>
      </c>
      <c r="G47" s="72" t="s">
        <v>259</v>
      </c>
      <c r="H47">
        <f t="shared" ca="1" si="1"/>
        <v>5.7172657071028476E-2</v>
      </c>
    </row>
    <row r="48" spans="1:8" x14ac:dyDescent="0.2">
      <c r="A48" s="5" t="s">
        <v>258</v>
      </c>
      <c r="B48" s="6" t="s">
        <v>27</v>
      </c>
      <c r="C48" s="6" t="s">
        <v>28</v>
      </c>
      <c r="D48" s="72" t="str">
        <f t="shared" si="0"/>
        <v>016_S_a</v>
      </c>
      <c r="E48" s="72">
        <v>28</v>
      </c>
      <c r="F48" s="72" t="s">
        <v>82</v>
      </c>
      <c r="G48" s="72" t="s">
        <v>262</v>
      </c>
      <c r="H48">
        <f t="shared" ca="1" si="1"/>
        <v>0.84650710483825131</v>
      </c>
    </row>
    <row r="49" spans="1:8" x14ac:dyDescent="0.2">
      <c r="A49" s="2" t="s">
        <v>258</v>
      </c>
      <c r="B49" t="s">
        <v>33</v>
      </c>
      <c r="C49" t="s">
        <v>28</v>
      </c>
      <c r="D49" s="72" t="str">
        <f t="shared" si="0"/>
        <v>016_V_a</v>
      </c>
      <c r="E49" s="72">
        <v>25</v>
      </c>
      <c r="F49" s="72" t="s">
        <v>43</v>
      </c>
      <c r="G49" s="72" t="s">
        <v>261</v>
      </c>
      <c r="H49">
        <f t="shared" ca="1" si="1"/>
        <v>0.21031020298769287</v>
      </c>
    </row>
    <row r="50" spans="1:8" x14ac:dyDescent="0.2">
      <c r="A50" s="5" t="s">
        <v>272</v>
      </c>
      <c r="B50" s="6" t="s">
        <v>36</v>
      </c>
      <c r="C50" s="6" t="s">
        <v>28</v>
      </c>
      <c r="D50" s="72" t="str">
        <f t="shared" si="0"/>
        <v>017_O_a</v>
      </c>
      <c r="E50" s="72">
        <v>35</v>
      </c>
      <c r="F50" s="72" t="s">
        <v>63</v>
      </c>
      <c r="G50" s="72" t="s">
        <v>276</v>
      </c>
      <c r="H50">
        <f t="shared" ca="1" si="1"/>
        <v>0.98001055373145518</v>
      </c>
    </row>
    <row r="51" spans="1:8" x14ac:dyDescent="0.2">
      <c r="A51" s="5" t="s">
        <v>272</v>
      </c>
      <c r="B51" s="6" t="s">
        <v>27</v>
      </c>
      <c r="C51" s="6" t="s">
        <v>28</v>
      </c>
      <c r="D51" s="72" t="str">
        <f t="shared" si="0"/>
        <v>017_S_a</v>
      </c>
      <c r="E51" s="72">
        <v>22</v>
      </c>
      <c r="F51" s="72" t="s">
        <v>70</v>
      </c>
      <c r="G51" s="72" t="s">
        <v>275</v>
      </c>
      <c r="H51">
        <f t="shared" ca="1" si="1"/>
        <v>0.66592174849785257</v>
      </c>
    </row>
    <row r="52" spans="1:8" x14ac:dyDescent="0.2">
      <c r="A52" s="2" t="s">
        <v>272</v>
      </c>
      <c r="B52" t="s">
        <v>33</v>
      </c>
      <c r="C52" t="s">
        <v>28</v>
      </c>
      <c r="D52" s="72" t="str">
        <f t="shared" si="0"/>
        <v>017_V_a</v>
      </c>
      <c r="E52" s="72">
        <v>8</v>
      </c>
      <c r="F52" s="72" t="s">
        <v>43</v>
      </c>
      <c r="G52" s="72" t="s">
        <v>273</v>
      </c>
      <c r="H52">
        <f t="shared" ca="1" si="1"/>
        <v>0.65751217806862428</v>
      </c>
    </row>
    <row r="53" spans="1:8" x14ac:dyDescent="0.2">
      <c r="A53" s="5" t="s">
        <v>287</v>
      </c>
      <c r="B53" s="6" t="s">
        <v>36</v>
      </c>
      <c r="C53" s="6" t="s">
        <v>28</v>
      </c>
      <c r="D53" s="72" t="str">
        <f t="shared" si="0"/>
        <v>018_O_a</v>
      </c>
      <c r="E53" s="72">
        <v>27</v>
      </c>
      <c r="F53" s="72" t="s">
        <v>68</v>
      </c>
      <c r="G53" s="72" t="s">
        <v>290</v>
      </c>
      <c r="H53">
        <f t="shared" ca="1" si="1"/>
        <v>0.36861307855060044</v>
      </c>
    </row>
    <row r="54" spans="1:8" x14ac:dyDescent="0.2">
      <c r="A54" s="5" t="s">
        <v>287</v>
      </c>
      <c r="B54" s="6" t="s">
        <v>27</v>
      </c>
      <c r="C54" s="6" t="s">
        <v>28</v>
      </c>
      <c r="D54" s="72" t="str">
        <f t="shared" si="0"/>
        <v>018_S_a</v>
      </c>
      <c r="E54" s="72">
        <v>23</v>
      </c>
      <c r="F54" s="72" t="s">
        <v>43</v>
      </c>
      <c r="G54" s="72" t="s">
        <v>289</v>
      </c>
      <c r="H54">
        <f t="shared" ca="1" si="1"/>
        <v>6.2686018976590985E-3</v>
      </c>
    </row>
    <row r="55" spans="1:8" x14ac:dyDescent="0.2">
      <c r="A55" s="2" t="s">
        <v>287</v>
      </c>
      <c r="B55" t="s">
        <v>33</v>
      </c>
      <c r="C55" t="s">
        <v>28</v>
      </c>
      <c r="D55" s="72" t="str">
        <f t="shared" si="0"/>
        <v>018_V_a</v>
      </c>
      <c r="E55" s="72">
        <v>2</v>
      </c>
      <c r="F55" s="72" t="s">
        <v>41</v>
      </c>
      <c r="G55" s="72" t="s">
        <v>288</v>
      </c>
      <c r="H55">
        <f t="shared" ca="1" si="1"/>
        <v>0.51133073001481311</v>
      </c>
    </row>
    <row r="56" spans="1:8" x14ac:dyDescent="0.2">
      <c r="A56" s="5" t="s">
        <v>300</v>
      </c>
      <c r="B56" s="6" t="s">
        <v>36</v>
      </c>
      <c r="C56" s="6" t="s">
        <v>28</v>
      </c>
      <c r="D56" s="72" t="str">
        <f t="shared" si="0"/>
        <v>019_O_a</v>
      </c>
      <c r="E56" s="72">
        <v>3</v>
      </c>
      <c r="F56" s="72" t="s">
        <v>43</v>
      </c>
      <c r="G56" s="72" t="s">
        <v>301</v>
      </c>
      <c r="H56">
        <f t="shared" ca="1" si="1"/>
        <v>0.28642348212849844</v>
      </c>
    </row>
    <row r="57" spans="1:8" x14ac:dyDescent="0.2">
      <c r="A57" s="5" t="s">
        <v>300</v>
      </c>
      <c r="B57" s="6" t="s">
        <v>27</v>
      </c>
      <c r="C57" s="6" t="s">
        <v>28</v>
      </c>
      <c r="D57" s="72" t="str">
        <f t="shared" si="0"/>
        <v>019_S_a</v>
      </c>
      <c r="E57" s="72">
        <v>30</v>
      </c>
      <c r="F57" s="72" t="s">
        <v>63</v>
      </c>
      <c r="G57" s="72" t="s">
        <v>303</v>
      </c>
      <c r="H57">
        <f t="shared" ca="1" si="1"/>
        <v>0.3796089827480339</v>
      </c>
    </row>
    <row r="58" spans="1:8" x14ac:dyDescent="0.2">
      <c r="A58" s="2" t="s">
        <v>300</v>
      </c>
      <c r="B58" t="s">
        <v>33</v>
      </c>
      <c r="C58" t="s">
        <v>28</v>
      </c>
      <c r="D58" s="72" t="str">
        <f t="shared" si="0"/>
        <v>019_V_a</v>
      </c>
      <c r="E58" s="72">
        <v>26</v>
      </c>
      <c r="F58" s="72" t="s">
        <v>82</v>
      </c>
      <c r="G58" s="72" t="s">
        <v>302</v>
      </c>
      <c r="H58">
        <f t="shared" ca="1" si="1"/>
        <v>0.8295002842942234</v>
      </c>
    </row>
    <row r="59" spans="1:8" x14ac:dyDescent="0.2">
      <c r="A59" s="5" t="s">
        <v>313</v>
      </c>
      <c r="B59" s="6" t="s">
        <v>36</v>
      </c>
      <c r="C59" s="6" t="s">
        <v>28</v>
      </c>
      <c r="D59" s="72" t="str">
        <f t="shared" si="0"/>
        <v>020_O_a</v>
      </c>
      <c r="E59" s="72">
        <v>13</v>
      </c>
      <c r="F59" s="72" t="s">
        <v>39</v>
      </c>
      <c r="G59" s="72" t="s">
        <v>314</v>
      </c>
      <c r="H59">
        <f t="shared" ca="1" si="1"/>
        <v>0.8432970220245487</v>
      </c>
    </row>
    <row r="60" spans="1:8" x14ac:dyDescent="0.2">
      <c r="A60" s="5" t="s">
        <v>313</v>
      </c>
      <c r="B60" s="6" t="s">
        <v>27</v>
      </c>
      <c r="C60" s="6" t="s">
        <v>28</v>
      </c>
      <c r="D60" s="72" t="str">
        <f t="shared" si="0"/>
        <v>020_S_a</v>
      </c>
      <c r="E60" s="72">
        <v>16</v>
      </c>
      <c r="F60" s="72" t="s">
        <v>49</v>
      </c>
      <c r="G60" s="72" t="s">
        <v>315</v>
      </c>
      <c r="H60">
        <f t="shared" ca="1" si="1"/>
        <v>0.51871328808518247</v>
      </c>
    </row>
    <row r="61" spans="1:8" x14ac:dyDescent="0.2">
      <c r="A61" s="2" t="s">
        <v>313</v>
      </c>
      <c r="B61" t="s">
        <v>33</v>
      </c>
      <c r="C61" t="s">
        <v>28</v>
      </c>
      <c r="D61" s="72" t="str">
        <f t="shared" si="0"/>
        <v>020_V_a</v>
      </c>
      <c r="E61" s="72">
        <v>21</v>
      </c>
      <c r="F61" s="72" t="s">
        <v>39</v>
      </c>
      <c r="G61" s="72" t="s">
        <v>316</v>
      </c>
      <c r="H61">
        <f t="shared" ca="1" si="1"/>
        <v>0.21564029373809424</v>
      </c>
    </row>
    <row r="62" spans="1:8" x14ac:dyDescent="0.2">
      <c r="A62" s="5" t="s">
        <v>326</v>
      </c>
      <c r="B62" s="6" t="s">
        <v>36</v>
      </c>
      <c r="C62" s="6" t="s">
        <v>28</v>
      </c>
      <c r="D62" s="72" t="str">
        <f t="shared" si="0"/>
        <v>021_O_a</v>
      </c>
      <c r="E62" s="72">
        <v>5</v>
      </c>
      <c r="F62" s="72" t="s">
        <v>43</v>
      </c>
      <c r="G62" s="72" t="s">
        <v>327</v>
      </c>
      <c r="H62">
        <f t="shared" ca="1" si="1"/>
        <v>0.15711816365186826</v>
      </c>
    </row>
    <row r="63" spans="1:8" x14ac:dyDescent="0.2">
      <c r="A63" s="5" t="s">
        <v>326</v>
      </c>
      <c r="B63" s="6" t="s">
        <v>27</v>
      </c>
      <c r="C63" s="6" t="s">
        <v>28</v>
      </c>
      <c r="D63" s="72" t="str">
        <f t="shared" si="0"/>
        <v>021_S_a</v>
      </c>
      <c r="E63" s="72">
        <v>21</v>
      </c>
      <c r="F63" s="72" t="s">
        <v>43</v>
      </c>
      <c r="G63" s="72" t="s">
        <v>328</v>
      </c>
      <c r="H63">
        <f t="shared" ca="1" si="1"/>
        <v>0.30260695760048961</v>
      </c>
    </row>
    <row r="64" spans="1:8" x14ac:dyDescent="0.2">
      <c r="A64" s="2" t="s">
        <v>326</v>
      </c>
      <c r="B64" t="s">
        <v>33</v>
      </c>
      <c r="C64" t="s">
        <v>28</v>
      </c>
      <c r="D64" s="72" t="str">
        <f t="shared" si="0"/>
        <v>021_V_a</v>
      </c>
      <c r="E64" s="72">
        <v>29</v>
      </c>
      <c r="F64" s="72" t="s">
        <v>70</v>
      </c>
      <c r="G64" s="72" t="s">
        <v>329</v>
      </c>
      <c r="H64">
        <f t="shared" ca="1" si="1"/>
        <v>0.745127786974912</v>
      </c>
    </row>
    <row r="65" spans="1:8" x14ac:dyDescent="0.2">
      <c r="A65" s="5" t="s">
        <v>339</v>
      </c>
      <c r="B65" s="6" t="s">
        <v>36</v>
      </c>
      <c r="C65" s="6" t="s">
        <v>28</v>
      </c>
      <c r="D65" s="72" t="str">
        <f t="shared" si="0"/>
        <v>022_O_a</v>
      </c>
      <c r="E65" s="72">
        <v>4</v>
      </c>
      <c r="F65" s="72" t="s">
        <v>41</v>
      </c>
      <c r="G65" s="72" t="s">
        <v>340</v>
      </c>
      <c r="H65">
        <f t="shared" ca="1" si="1"/>
        <v>0.35158423570144981</v>
      </c>
    </row>
    <row r="66" spans="1:8" x14ac:dyDescent="0.2">
      <c r="A66" s="5" t="s">
        <v>339</v>
      </c>
      <c r="B66" s="6" t="s">
        <v>27</v>
      </c>
      <c r="C66" s="6" t="s">
        <v>28</v>
      </c>
      <c r="D66" s="72" t="str">
        <f t="shared" ref="D66:D129" si="2">A66&amp;"_"&amp;B66&amp;"_"&amp;C66</f>
        <v>022_S_a</v>
      </c>
      <c r="E66" s="72">
        <v>35</v>
      </c>
      <c r="F66" s="72" t="s">
        <v>82</v>
      </c>
      <c r="G66" s="72" t="s">
        <v>342</v>
      </c>
      <c r="H66">
        <f t="shared" ca="1" si="1"/>
        <v>0.53312310637051508</v>
      </c>
    </row>
    <row r="67" spans="1:8" x14ac:dyDescent="0.2">
      <c r="A67" s="2" t="s">
        <v>339</v>
      </c>
      <c r="B67" t="s">
        <v>33</v>
      </c>
      <c r="C67" t="s">
        <v>28</v>
      </c>
      <c r="D67" s="72" t="str">
        <f t="shared" si="2"/>
        <v>022_V_a</v>
      </c>
      <c r="E67" s="72">
        <v>15</v>
      </c>
      <c r="F67" s="72" t="s">
        <v>39</v>
      </c>
      <c r="G67" s="72" t="s">
        <v>341</v>
      </c>
      <c r="H67">
        <f t="shared" ref="H67:H130" ca="1" si="3">RAND()</f>
        <v>0.31057157038581651</v>
      </c>
    </row>
    <row r="68" spans="1:8" x14ac:dyDescent="0.2">
      <c r="A68" s="5" t="s">
        <v>352</v>
      </c>
      <c r="B68" s="6" t="s">
        <v>36</v>
      </c>
      <c r="C68" s="6" t="s">
        <v>28</v>
      </c>
      <c r="D68" s="72" t="str">
        <f t="shared" si="2"/>
        <v>023_O_a</v>
      </c>
      <c r="E68" s="72">
        <v>7</v>
      </c>
      <c r="F68" s="72" t="s">
        <v>34</v>
      </c>
      <c r="G68" s="72" t="s">
        <v>353</v>
      </c>
      <c r="H68">
        <f t="shared" ca="1" si="3"/>
        <v>0.45394242379960736</v>
      </c>
    </row>
    <row r="69" spans="1:8" x14ac:dyDescent="0.2">
      <c r="A69" s="5" t="s">
        <v>352</v>
      </c>
      <c r="B69" s="6" t="s">
        <v>27</v>
      </c>
      <c r="C69" s="6" t="s">
        <v>28</v>
      </c>
      <c r="D69" s="72" t="str">
        <f t="shared" si="2"/>
        <v>023_S_a</v>
      </c>
      <c r="E69" s="72">
        <v>26</v>
      </c>
      <c r="F69" s="72" t="s">
        <v>70</v>
      </c>
      <c r="G69" s="72" t="s">
        <v>354</v>
      </c>
      <c r="H69">
        <f t="shared" ca="1" si="3"/>
        <v>0.24659371495122306</v>
      </c>
    </row>
    <row r="70" spans="1:8" x14ac:dyDescent="0.2">
      <c r="A70" s="2" t="s">
        <v>352</v>
      </c>
      <c r="B70" t="s">
        <v>33</v>
      </c>
      <c r="C70" t="s">
        <v>28</v>
      </c>
      <c r="D70" s="72" t="str">
        <f t="shared" si="2"/>
        <v>023_V_a</v>
      </c>
      <c r="E70" s="72">
        <v>32</v>
      </c>
      <c r="F70" s="72" t="s">
        <v>29</v>
      </c>
      <c r="G70" s="72" t="s">
        <v>355</v>
      </c>
      <c r="H70">
        <f t="shared" ca="1" si="3"/>
        <v>5.2177659462564363E-2</v>
      </c>
    </row>
    <row r="71" spans="1:8" x14ac:dyDescent="0.2">
      <c r="A71" s="5" t="s">
        <v>365</v>
      </c>
      <c r="B71" s="6" t="s">
        <v>36</v>
      </c>
      <c r="C71" s="6" t="s">
        <v>28</v>
      </c>
      <c r="D71" s="72" t="str">
        <f t="shared" si="2"/>
        <v>024_O_a</v>
      </c>
      <c r="E71" s="72">
        <v>24</v>
      </c>
      <c r="F71" s="72" t="s">
        <v>34</v>
      </c>
      <c r="G71" s="72" t="s">
        <v>366</v>
      </c>
      <c r="H71">
        <f t="shared" ca="1" si="3"/>
        <v>0.26604592325380727</v>
      </c>
    </row>
    <row r="72" spans="1:8" x14ac:dyDescent="0.2">
      <c r="A72" s="5" t="s">
        <v>365</v>
      </c>
      <c r="B72" s="6" t="s">
        <v>27</v>
      </c>
      <c r="C72" s="6" t="s">
        <v>28</v>
      </c>
      <c r="D72" s="72" t="str">
        <f t="shared" si="2"/>
        <v>024_S_a</v>
      </c>
      <c r="E72" s="72">
        <v>32</v>
      </c>
      <c r="F72" s="72" t="s">
        <v>63</v>
      </c>
      <c r="G72" s="72" t="s">
        <v>368</v>
      </c>
      <c r="H72">
        <f t="shared" ca="1" si="3"/>
        <v>0.93399278113031592</v>
      </c>
    </row>
    <row r="73" spans="1:8" x14ac:dyDescent="0.2">
      <c r="A73" s="2" t="s">
        <v>365</v>
      </c>
      <c r="B73" t="s">
        <v>33</v>
      </c>
      <c r="C73" t="s">
        <v>28</v>
      </c>
      <c r="D73" s="72" t="str">
        <f t="shared" si="2"/>
        <v>024_V_a</v>
      </c>
      <c r="E73" s="72">
        <v>27</v>
      </c>
      <c r="F73" s="72" t="s">
        <v>41</v>
      </c>
      <c r="G73" s="72" t="s">
        <v>367</v>
      </c>
      <c r="H73">
        <f t="shared" ca="1" si="3"/>
        <v>0.5092030921324352</v>
      </c>
    </row>
    <row r="74" spans="1:8" x14ac:dyDescent="0.2">
      <c r="A74" s="5" t="s">
        <v>378</v>
      </c>
      <c r="B74" s="6" t="s">
        <v>36</v>
      </c>
      <c r="C74" s="6" t="s">
        <v>28</v>
      </c>
      <c r="D74" s="72" t="str">
        <f t="shared" si="2"/>
        <v>025_O_a</v>
      </c>
      <c r="E74" s="72">
        <v>26</v>
      </c>
      <c r="F74" s="72" t="s">
        <v>68</v>
      </c>
      <c r="G74" s="72" t="s">
        <v>380</v>
      </c>
      <c r="H74">
        <f t="shared" ca="1" si="3"/>
        <v>0.46692053579414172</v>
      </c>
    </row>
    <row r="75" spans="1:8" x14ac:dyDescent="0.2">
      <c r="A75" s="5" t="s">
        <v>378</v>
      </c>
      <c r="B75" s="6" t="s">
        <v>27</v>
      </c>
      <c r="C75" s="6" t="s">
        <v>28</v>
      </c>
      <c r="D75" s="72" t="str">
        <f t="shared" si="2"/>
        <v>025_S_a</v>
      </c>
      <c r="E75" s="72">
        <v>33</v>
      </c>
      <c r="F75" s="72" t="s">
        <v>68</v>
      </c>
      <c r="G75" s="72" t="s">
        <v>381</v>
      </c>
      <c r="H75">
        <f t="shared" ca="1" si="3"/>
        <v>0.91000693706660818</v>
      </c>
    </row>
    <row r="76" spans="1:8" x14ac:dyDescent="0.2">
      <c r="A76" s="2" t="s">
        <v>378</v>
      </c>
      <c r="B76" t="s">
        <v>33</v>
      </c>
      <c r="C76" t="s">
        <v>28</v>
      </c>
      <c r="D76" s="72" t="str">
        <f t="shared" si="2"/>
        <v>025_V_a</v>
      </c>
      <c r="E76" s="72">
        <v>19</v>
      </c>
      <c r="F76" s="72" t="s">
        <v>68</v>
      </c>
      <c r="G76" s="72" t="s">
        <v>379</v>
      </c>
      <c r="H76">
        <f t="shared" ca="1" si="3"/>
        <v>7.9861547166504621E-2</v>
      </c>
    </row>
    <row r="77" spans="1:8" x14ac:dyDescent="0.2">
      <c r="A77" s="5" t="s">
        <v>391</v>
      </c>
      <c r="B77" s="6" t="s">
        <v>36</v>
      </c>
      <c r="C77" s="6" t="s">
        <v>28</v>
      </c>
      <c r="D77" s="72" t="str">
        <f t="shared" si="2"/>
        <v>026_O_a</v>
      </c>
      <c r="E77" s="72">
        <v>6</v>
      </c>
      <c r="F77" s="72" t="s">
        <v>49</v>
      </c>
      <c r="G77" s="72" t="s">
        <v>392</v>
      </c>
      <c r="H77">
        <f t="shared" ca="1" si="3"/>
        <v>5.096672688467152E-2</v>
      </c>
    </row>
    <row r="78" spans="1:8" x14ac:dyDescent="0.2">
      <c r="A78" s="5" t="s">
        <v>391</v>
      </c>
      <c r="B78" s="6" t="s">
        <v>27</v>
      </c>
      <c r="C78" s="6" t="s">
        <v>28</v>
      </c>
      <c r="D78" s="72" t="str">
        <f t="shared" si="2"/>
        <v>026_S_a</v>
      </c>
      <c r="E78" s="72">
        <v>26</v>
      </c>
      <c r="F78" s="72" t="s">
        <v>29</v>
      </c>
      <c r="G78" s="72" t="s">
        <v>394</v>
      </c>
      <c r="H78">
        <f t="shared" ca="1" si="3"/>
        <v>0.51690235808832941</v>
      </c>
    </row>
    <row r="79" spans="1:8" x14ac:dyDescent="0.2">
      <c r="A79" s="2" t="s">
        <v>391</v>
      </c>
      <c r="B79" t="s">
        <v>33</v>
      </c>
      <c r="C79" t="s">
        <v>28</v>
      </c>
      <c r="D79" s="72" t="str">
        <f t="shared" si="2"/>
        <v>026_V_a</v>
      </c>
      <c r="E79" s="72">
        <v>25</v>
      </c>
      <c r="F79" s="72" t="s">
        <v>41</v>
      </c>
      <c r="G79" s="72" t="s">
        <v>393</v>
      </c>
      <c r="H79">
        <f t="shared" ca="1" si="3"/>
        <v>0.52431155814749764</v>
      </c>
    </row>
    <row r="80" spans="1:8" x14ac:dyDescent="0.2">
      <c r="A80" s="5" t="s">
        <v>404</v>
      </c>
      <c r="B80" s="6" t="s">
        <v>36</v>
      </c>
      <c r="C80" s="6" t="s">
        <v>28</v>
      </c>
      <c r="D80" s="72" t="str">
        <f t="shared" si="2"/>
        <v>028_O_a</v>
      </c>
      <c r="E80" s="72">
        <v>7</v>
      </c>
      <c r="F80" s="72" t="s">
        <v>68</v>
      </c>
      <c r="G80" s="72" t="s">
        <v>406</v>
      </c>
      <c r="H80">
        <f t="shared" ca="1" si="3"/>
        <v>0.78719995642621565</v>
      </c>
    </row>
    <row r="81" spans="1:8" x14ac:dyDescent="0.2">
      <c r="A81" s="5" t="s">
        <v>404</v>
      </c>
      <c r="B81" s="6" t="s">
        <v>27</v>
      </c>
      <c r="C81" s="6" t="s">
        <v>28</v>
      </c>
      <c r="D81" s="72" t="str">
        <f t="shared" si="2"/>
        <v>028_S_a</v>
      </c>
      <c r="E81" s="72">
        <v>29</v>
      </c>
      <c r="F81" s="72" t="s">
        <v>82</v>
      </c>
      <c r="G81" s="72" t="s">
        <v>407</v>
      </c>
      <c r="H81">
        <f t="shared" ca="1" si="3"/>
        <v>0.67459744334516214</v>
      </c>
    </row>
    <row r="82" spans="1:8" x14ac:dyDescent="0.2">
      <c r="A82" s="2" t="s">
        <v>404</v>
      </c>
      <c r="B82" t="s">
        <v>33</v>
      </c>
      <c r="C82" t="s">
        <v>28</v>
      </c>
      <c r="D82" s="72" t="str">
        <f t="shared" si="2"/>
        <v>028_V_a</v>
      </c>
      <c r="E82" s="72">
        <v>3</v>
      </c>
      <c r="F82" s="72" t="s">
        <v>41</v>
      </c>
      <c r="G82" s="72" t="s">
        <v>405</v>
      </c>
      <c r="H82">
        <f t="shared" ca="1" si="3"/>
        <v>0.43782530879453208</v>
      </c>
    </row>
    <row r="83" spans="1:8" x14ac:dyDescent="0.2">
      <c r="A83" s="5" t="s">
        <v>417</v>
      </c>
      <c r="B83" s="6" t="s">
        <v>36</v>
      </c>
      <c r="C83" s="6" t="s">
        <v>28</v>
      </c>
      <c r="D83" s="72" t="str">
        <f t="shared" si="2"/>
        <v>029_O_a</v>
      </c>
      <c r="E83" s="72">
        <v>33</v>
      </c>
      <c r="F83" s="72" t="s">
        <v>43</v>
      </c>
      <c r="G83" s="72" t="s">
        <v>420</v>
      </c>
      <c r="H83">
        <f t="shared" ca="1" si="3"/>
        <v>0.83663176537279338</v>
      </c>
    </row>
    <row r="84" spans="1:8" x14ac:dyDescent="0.2">
      <c r="A84" s="5" t="s">
        <v>417</v>
      </c>
      <c r="B84" s="6" t="s">
        <v>27</v>
      </c>
      <c r="C84" s="6" t="s">
        <v>28</v>
      </c>
      <c r="D84" s="72" t="str">
        <f t="shared" si="2"/>
        <v>029_S_a</v>
      </c>
      <c r="E84" s="72">
        <v>21</v>
      </c>
      <c r="F84" s="72" t="s">
        <v>34</v>
      </c>
      <c r="G84" s="72" t="s">
        <v>418</v>
      </c>
      <c r="H84">
        <f t="shared" ca="1" si="3"/>
        <v>0.45839646120318656</v>
      </c>
    </row>
    <row r="85" spans="1:8" x14ac:dyDescent="0.2">
      <c r="A85" s="2" t="s">
        <v>417</v>
      </c>
      <c r="B85" t="s">
        <v>33</v>
      </c>
      <c r="C85" t="s">
        <v>28</v>
      </c>
      <c r="D85" s="72" t="str">
        <f t="shared" si="2"/>
        <v>029_V_a</v>
      </c>
      <c r="E85" s="72">
        <v>33</v>
      </c>
      <c r="F85" s="72" t="s">
        <v>39</v>
      </c>
      <c r="G85" s="72" t="s">
        <v>419</v>
      </c>
      <c r="H85">
        <f t="shared" ca="1" si="3"/>
        <v>0.36804385988974087</v>
      </c>
    </row>
    <row r="86" spans="1:8" x14ac:dyDescent="0.2">
      <c r="A86" s="5" t="s">
        <v>430</v>
      </c>
      <c r="B86" s="6" t="s">
        <v>36</v>
      </c>
      <c r="C86" s="6" t="s">
        <v>28</v>
      </c>
      <c r="D86" s="72" t="str">
        <f t="shared" si="2"/>
        <v>030_O_a</v>
      </c>
      <c r="E86" s="72">
        <v>14</v>
      </c>
      <c r="F86" s="72" t="s">
        <v>68</v>
      </c>
      <c r="G86" s="72" t="s">
        <v>432</v>
      </c>
      <c r="H86">
        <f t="shared" ca="1" si="3"/>
        <v>0.69323408201247538</v>
      </c>
    </row>
    <row r="87" spans="1:8" x14ac:dyDescent="0.2">
      <c r="A87" s="5" t="s">
        <v>430</v>
      </c>
      <c r="B87" s="6" t="s">
        <v>27</v>
      </c>
      <c r="C87" s="6" t="s">
        <v>28</v>
      </c>
      <c r="D87" s="72" t="str">
        <f t="shared" si="2"/>
        <v>030_S_a</v>
      </c>
      <c r="E87" s="72">
        <v>11</v>
      </c>
      <c r="F87" s="72" t="s">
        <v>41</v>
      </c>
      <c r="G87" s="72" t="s">
        <v>431</v>
      </c>
      <c r="H87">
        <f t="shared" ca="1" si="3"/>
        <v>0.65850420352860306</v>
      </c>
    </row>
    <row r="88" spans="1:8" x14ac:dyDescent="0.2">
      <c r="A88" s="2" t="s">
        <v>430</v>
      </c>
      <c r="B88" t="s">
        <v>33</v>
      </c>
      <c r="C88" t="s">
        <v>28</v>
      </c>
      <c r="D88" s="72" t="str">
        <f t="shared" si="2"/>
        <v>030_V_a</v>
      </c>
      <c r="E88" s="72">
        <v>30</v>
      </c>
      <c r="F88" s="72" t="s">
        <v>39</v>
      </c>
      <c r="G88" s="72" t="s">
        <v>433</v>
      </c>
      <c r="H88">
        <f t="shared" ca="1" si="3"/>
        <v>0.83178553642476094</v>
      </c>
    </row>
    <row r="89" spans="1:8" x14ac:dyDescent="0.2">
      <c r="A89" s="5" t="s">
        <v>443</v>
      </c>
      <c r="B89" s="6" t="s">
        <v>36</v>
      </c>
      <c r="C89" s="6" t="s">
        <v>28</v>
      </c>
      <c r="D89" s="72" t="str">
        <f t="shared" si="2"/>
        <v>031_O_a</v>
      </c>
      <c r="E89" s="72">
        <v>2</v>
      </c>
      <c r="F89" s="72" t="s">
        <v>49</v>
      </c>
      <c r="G89" s="72" t="s">
        <v>444</v>
      </c>
      <c r="H89">
        <f t="shared" ca="1" si="3"/>
        <v>0.58754440724616341</v>
      </c>
    </row>
    <row r="90" spans="1:8" x14ac:dyDescent="0.2">
      <c r="A90" s="5" t="s">
        <v>443</v>
      </c>
      <c r="B90" s="6" t="s">
        <v>27</v>
      </c>
      <c r="C90" s="6" t="s">
        <v>28</v>
      </c>
      <c r="D90" s="72" t="str">
        <f t="shared" si="2"/>
        <v>031_S_a</v>
      </c>
      <c r="E90" s="72">
        <v>3</v>
      </c>
      <c r="F90" s="72" t="s">
        <v>34</v>
      </c>
      <c r="G90" s="72" t="s">
        <v>445</v>
      </c>
      <c r="H90">
        <f t="shared" ca="1" si="3"/>
        <v>0.34389208319907782</v>
      </c>
    </row>
    <row r="91" spans="1:8" x14ac:dyDescent="0.2">
      <c r="A91" s="1" t="s">
        <v>443</v>
      </c>
      <c r="B91" t="s">
        <v>33</v>
      </c>
      <c r="C91" t="s">
        <v>28</v>
      </c>
      <c r="D91" s="72" t="str">
        <f t="shared" si="2"/>
        <v>031_V_a</v>
      </c>
      <c r="E91" s="72">
        <v>19</v>
      </c>
      <c r="F91" s="72" t="s">
        <v>29</v>
      </c>
      <c r="G91" s="72" t="s">
        <v>446</v>
      </c>
      <c r="H91">
        <f t="shared" ca="1" si="3"/>
        <v>0.38501815924090976</v>
      </c>
    </row>
    <row r="92" spans="1:8" x14ac:dyDescent="0.2">
      <c r="A92" s="5" t="s">
        <v>456</v>
      </c>
      <c r="B92" s="6" t="s">
        <v>36</v>
      </c>
      <c r="C92" s="6" t="s">
        <v>28</v>
      </c>
      <c r="D92" s="72" t="str">
        <f t="shared" si="2"/>
        <v>032_O_a</v>
      </c>
      <c r="E92" s="72">
        <v>7</v>
      </c>
      <c r="F92" s="72" t="s">
        <v>39</v>
      </c>
      <c r="G92" s="72" t="s">
        <v>458</v>
      </c>
      <c r="H92">
        <f t="shared" ca="1" si="3"/>
        <v>0.60842027122739684</v>
      </c>
    </row>
    <row r="93" spans="1:8" x14ac:dyDescent="0.2">
      <c r="A93" s="5" t="s">
        <v>456</v>
      </c>
      <c r="B93" s="6" t="s">
        <v>27</v>
      </c>
      <c r="C93" s="6" t="s">
        <v>28</v>
      </c>
      <c r="D93" s="72" t="str">
        <f t="shared" si="2"/>
        <v>032_S_a</v>
      </c>
      <c r="E93" s="72">
        <v>6</v>
      </c>
      <c r="F93" s="72" t="s">
        <v>34</v>
      </c>
      <c r="G93" s="72" t="s">
        <v>457</v>
      </c>
      <c r="H93">
        <f t="shared" ca="1" si="3"/>
        <v>0.74428834921963305</v>
      </c>
    </row>
    <row r="94" spans="1:8" x14ac:dyDescent="0.2">
      <c r="A94" s="1" t="s">
        <v>456</v>
      </c>
      <c r="B94" t="s">
        <v>33</v>
      </c>
      <c r="C94" t="s">
        <v>28</v>
      </c>
      <c r="D94" s="72" t="str">
        <f t="shared" si="2"/>
        <v>032_V_a</v>
      </c>
      <c r="E94" s="72">
        <v>35</v>
      </c>
      <c r="F94" s="72" t="s">
        <v>70</v>
      </c>
      <c r="G94" s="72" t="s">
        <v>459</v>
      </c>
      <c r="H94">
        <f t="shared" ca="1" si="3"/>
        <v>0.61321367827374351</v>
      </c>
    </row>
    <row r="95" spans="1:8" x14ac:dyDescent="0.2">
      <c r="A95" s="5" t="s">
        <v>469</v>
      </c>
      <c r="B95" s="6" t="s">
        <v>36</v>
      </c>
      <c r="C95" s="6" t="s">
        <v>28</v>
      </c>
      <c r="D95" s="72" t="str">
        <f t="shared" si="2"/>
        <v>033_O_a</v>
      </c>
      <c r="E95" s="72">
        <v>10</v>
      </c>
      <c r="F95" s="72" t="s">
        <v>63</v>
      </c>
      <c r="G95" s="72" t="s">
        <v>471</v>
      </c>
      <c r="H95">
        <f t="shared" ca="1" si="3"/>
        <v>0.50436346311313374</v>
      </c>
    </row>
    <row r="96" spans="1:8" x14ac:dyDescent="0.2">
      <c r="A96" s="5" t="s">
        <v>469</v>
      </c>
      <c r="B96" s="6" t="s">
        <v>27</v>
      </c>
      <c r="C96" s="6" t="s">
        <v>28</v>
      </c>
      <c r="D96" s="72" t="str">
        <f t="shared" si="2"/>
        <v>033_S_a</v>
      </c>
      <c r="E96" s="72">
        <v>12</v>
      </c>
      <c r="F96" s="72" t="s">
        <v>68</v>
      </c>
      <c r="G96" s="72" t="s">
        <v>472</v>
      </c>
      <c r="H96">
        <f t="shared" ca="1" si="3"/>
        <v>0.30157523376560935</v>
      </c>
    </row>
    <row r="97" spans="1:8" x14ac:dyDescent="0.2">
      <c r="A97" s="1" t="s">
        <v>469</v>
      </c>
      <c r="B97" t="s">
        <v>33</v>
      </c>
      <c r="C97" t="s">
        <v>28</v>
      </c>
      <c r="D97" s="72" t="str">
        <f t="shared" si="2"/>
        <v>033_V_a</v>
      </c>
      <c r="E97" s="72">
        <v>4</v>
      </c>
      <c r="F97" s="72" t="s">
        <v>43</v>
      </c>
      <c r="G97" s="72" t="s">
        <v>470</v>
      </c>
      <c r="H97">
        <f t="shared" ca="1" si="3"/>
        <v>2.8356514197067306E-2</v>
      </c>
    </row>
    <row r="98" spans="1:8" x14ac:dyDescent="0.2">
      <c r="A98" s="5" t="s">
        <v>482</v>
      </c>
      <c r="B98" s="6" t="s">
        <v>36</v>
      </c>
      <c r="C98" s="6" t="s">
        <v>28</v>
      </c>
      <c r="D98" s="72" t="str">
        <f t="shared" si="2"/>
        <v>034_O_a</v>
      </c>
      <c r="E98" s="72">
        <v>2</v>
      </c>
      <c r="F98" s="72" t="s">
        <v>34</v>
      </c>
      <c r="G98" s="72" t="s">
        <v>483</v>
      </c>
      <c r="H98">
        <f t="shared" ca="1" si="3"/>
        <v>0.38009205833644888</v>
      </c>
    </row>
    <row r="99" spans="1:8" x14ac:dyDescent="0.2">
      <c r="A99" s="5" t="s">
        <v>482</v>
      </c>
      <c r="B99" s="6" t="s">
        <v>27</v>
      </c>
      <c r="C99" s="6" t="s">
        <v>28</v>
      </c>
      <c r="D99" s="72" t="str">
        <f t="shared" si="2"/>
        <v>034_S_a</v>
      </c>
      <c r="E99" s="72">
        <v>36</v>
      </c>
      <c r="F99" s="72" t="s">
        <v>43</v>
      </c>
      <c r="G99" s="72" t="s">
        <v>485</v>
      </c>
      <c r="H99">
        <f t="shared" ca="1" si="3"/>
        <v>0.44671965214041043</v>
      </c>
    </row>
    <row r="100" spans="1:8" x14ac:dyDescent="0.2">
      <c r="A100" s="1" t="s">
        <v>482</v>
      </c>
      <c r="B100" t="s">
        <v>33</v>
      </c>
      <c r="C100" t="s">
        <v>28</v>
      </c>
      <c r="D100" s="72" t="str">
        <f t="shared" si="2"/>
        <v>034_V_a</v>
      </c>
      <c r="E100" s="72">
        <v>28</v>
      </c>
      <c r="F100" s="72" t="s">
        <v>43</v>
      </c>
      <c r="G100" s="72" t="s">
        <v>484</v>
      </c>
      <c r="H100">
        <f t="shared" ca="1" si="3"/>
        <v>0.81190867271952927</v>
      </c>
    </row>
    <row r="101" spans="1:8" x14ac:dyDescent="0.2">
      <c r="A101" s="5" t="s">
        <v>495</v>
      </c>
      <c r="B101" s="6" t="s">
        <v>36</v>
      </c>
      <c r="C101" s="6" t="s">
        <v>28</v>
      </c>
      <c r="D101" s="72" t="str">
        <f t="shared" si="2"/>
        <v>035_O_a</v>
      </c>
      <c r="E101" s="72">
        <v>7</v>
      </c>
      <c r="F101" s="72" t="s">
        <v>43</v>
      </c>
      <c r="G101" s="72" t="s">
        <v>496</v>
      </c>
      <c r="H101">
        <f t="shared" ca="1" si="3"/>
        <v>0.89278762463509076</v>
      </c>
    </row>
    <row r="102" spans="1:8" x14ac:dyDescent="0.2">
      <c r="A102" s="5" t="s">
        <v>495</v>
      </c>
      <c r="B102" s="6" t="s">
        <v>27</v>
      </c>
      <c r="C102" s="6" t="s">
        <v>28</v>
      </c>
      <c r="D102" s="72" t="str">
        <f t="shared" si="2"/>
        <v>035_S_a</v>
      </c>
      <c r="E102" s="72">
        <v>23</v>
      </c>
      <c r="F102" s="72" t="s">
        <v>63</v>
      </c>
      <c r="G102" s="72" t="s">
        <v>498</v>
      </c>
      <c r="H102">
        <f t="shared" ca="1" si="3"/>
        <v>0.65199079258195825</v>
      </c>
    </row>
    <row r="103" spans="1:8" x14ac:dyDescent="0.2">
      <c r="A103" s="1" t="s">
        <v>495</v>
      </c>
      <c r="B103" t="s">
        <v>33</v>
      </c>
      <c r="C103" t="s">
        <v>28</v>
      </c>
      <c r="D103" s="72" t="str">
        <f t="shared" si="2"/>
        <v>035_V_a</v>
      </c>
      <c r="E103" s="72">
        <v>11</v>
      </c>
      <c r="F103" s="72" t="s">
        <v>82</v>
      </c>
      <c r="G103" s="72" t="s">
        <v>497</v>
      </c>
      <c r="H103">
        <f t="shared" ca="1" si="3"/>
        <v>0.19234446864779986</v>
      </c>
    </row>
    <row r="104" spans="1:8" x14ac:dyDescent="0.2">
      <c r="A104" s="5" t="s">
        <v>508</v>
      </c>
      <c r="B104" s="6" t="s">
        <v>36</v>
      </c>
      <c r="C104" s="6" t="s">
        <v>28</v>
      </c>
      <c r="D104" s="72" t="str">
        <f t="shared" si="2"/>
        <v>037_O_a</v>
      </c>
      <c r="E104" s="72">
        <v>35</v>
      </c>
      <c r="F104" s="72" t="s">
        <v>34</v>
      </c>
      <c r="G104" s="72" t="s">
        <v>511</v>
      </c>
      <c r="H104">
        <f t="shared" ca="1" si="3"/>
        <v>1.8774908704980553E-2</v>
      </c>
    </row>
    <row r="105" spans="1:8" x14ac:dyDescent="0.2">
      <c r="A105" s="5" t="s">
        <v>508</v>
      </c>
      <c r="B105" s="6" t="s">
        <v>27</v>
      </c>
      <c r="C105" s="6" t="s">
        <v>28</v>
      </c>
      <c r="D105" s="72" t="str">
        <f t="shared" si="2"/>
        <v>037_S_a</v>
      </c>
      <c r="E105" s="72">
        <v>8</v>
      </c>
      <c r="F105" s="72" t="s">
        <v>39</v>
      </c>
      <c r="G105" s="72" t="s">
        <v>510</v>
      </c>
      <c r="H105">
        <f t="shared" ca="1" si="3"/>
        <v>0.60011420219519551</v>
      </c>
    </row>
    <row r="106" spans="1:8" x14ac:dyDescent="0.2">
      <c r="A106" s="1" t="s">
        <v>508</v>
      </c>
      <c r="B106" t="s">
        <v>33</v>
      </c>
      <c r="C106" t="s">
        <v>28</v>
      </c>
      <c r="D106" s="72" t="str">
        <f t="shared" si="2"/>
        <v>037_V_a</v>
      </c>
      <c r="E106" s="72">
        <v>2</v>
      </c>
      <c r="F106" s="72" t="s">
        <v>70</v>
      </c>
      <c r="G106" s="72" t="s">
        <v>509</v>
      </c>
      <c r="H106">
        <f t="shared" ca="1" si="3"/>
        <v>0.926353389081359</v>
      </c>
    </row>
    <row r="107" spans="1:8" x14ac:dyDescent="0.2">
      <c r="A107" s="5" t="s">
        <v>523</v>
      </c>
      <c r="B107" s="6" t="s">
        <v>36</v>
      </c>
      <c r="C107" s="6" t="s">
        <v>28</v>
      </c>
      <c r="D107" s="72" t="str">
        <f t="shared" si="2"/>
        <v>038_O_a</v>
      </c>
      <c r="E107" s="72">
        <v>10</v>
      </c>
      <c r="F107" s="72" t="s">
        <v>41</v>
      </c>
      <c r="G107" s="72" t="s">
        <v>525</v>
      </c>
      <c r="H107">
        <f t="shared" ca="1" si="3"/>
        <v>0.69148122329078965</v>
      </c>
    </row>
    <row r="108" spans="1:8" x14ac:dyDescent="0.2">
      <c r="A108" s="5" t="s">
        <v>523</v>
      </c>
      <c r="B108" s="6" t="s">
        <v>27</v>
      </c>
      <c r="C108" s="6" t="s">
        <v>28</v>
      </c>
      <c r="D108" s="72" t="str">
        <f t="shared" si="2"/>
        <v>038_S_a</v>
      </c>
      <c r="E108" s="72">
        <v>15</v>
      </c>
      <c r="F108" s="72" t="s">
        <v>68</v>
      </c>
      <c r="G108" s="72" t="s">
        <v>526</v>
      </c>
      <c r="H108">
        <f t="shared" ca="1" si="3"/>
        <v>0.891004458353989</v>
      </c>
    </row>
    <row r="109" spans="1:8" x14ac:dyDescent="0.2">
      <c r="A109" s="1" t="s">
        <v>523</v>
      </c>
      <c r="B109" t="s">
        <v>33</v>
      </c>
      <c r="C109" t="s">
        <v>28</v>
      </c>
      <c r="D109" s="72" t="str">
        <f t="shared" si="2"/>
        <v>038_V_a</v>
      </c>
      <c r="E109" s="72">
        <v>5</v>
      </c>
      <c r="F109" s="72" t="s">
        <v>68</v>
      </c>
      <c r="G109" s="72" t="s">
        <v>524</v>
      </c>
      <c r="H109">
        <f t="shared" ca="1" si="3"/>
        <v>0.49254238524415406</v>
      </c>
    </row>
    <row r="110" spans="1:8" x14ac:dyDescent="0.2">
      <c r="A110" s="5" t="s">
        <v>536</v>
      </c>
      <c r="B110" s="6" t="s">
        <v>36</v>
      </c>
      <c r="C110" s="6" t="s">
        <v>28</v>
      </c>
      <c r="D110" s="72" t="str">
        <f t="shared" si="2"/>
        <v>039_O_a</v>
      </c>
      <c r="E110" s="72">
        <v>10</v>
      </c>
      <c r="F110" s="72" t="s">
        <v>29</v>
      </c>
      <c r="G110" s="72" t="s">
        <v>538</v>
      </c>
      <c r="H110">
        <f t="shared" ca="1" si="3"/>
        <v>0.66177669581872223</v>
      </c>
    </row>
    <row r="111" spans="1:8" x14ac:dyDescent="0.2">
      <c r="A111" s="5" t="s">
        <v>536</v>
      </c>
      <c r="B111" s="6" t="s">
        <v>27</v>
      </c>
      <c r="C111" s="6" t="s">
        <v>28</v>
      </c>
      <c r="D111" s="72" t="str">
        <f t="shared" si="2"/>
        <v>039_S_a</v>
      </c>
      <c r="E111" s="72">
        <v>27</v>
      </c>
      <c r="F111" s="72" t="s">
        <v>63</v>
      </c>
      <c r="G111" s="72" t="s">
        <v>539</v>
      </c>
      <c r="H111">
        <f t="shared" ca="1" si="3"/>
        <v>0.38140129942150869</v>
      </c>
    </row>
    <row r="112" spans="1:8" x14ac:dyDescent="0.2">
      <c r="A112" s="1" t="s">
        <v>536</v>
      </c>
      <c r="B112" t="s">
        <v>33</v>
      </c>
      <c r="C112" t="s">
        <v>28</v>
      </c>
      <c r="D112" s="72" t="str">
        <f t="shared" si="2"/>
        <v>039_V_a</v>
      </c>
      <c r="E112" s="72">
        <v>5</v>
      </c>
      <c r="F112" s="72" t="s">
        <v>82</v>
      </c>
      <c r="G112" s="72" t="s">
        <v>537</v>
      </c>
      <c r="H112">
        <f t="shared" ca="1" si="3"/>
        <v>6.4043956249248968E-4</v>
      </c>
    </row>
    <row r="113" spans="1:8" x14ac:dyDescent="0.2">
      <c r="A113" s="5" t="s">
        <v>550</v>
      </c>
      <c r="B113" s="6" t="s">
        <v>36</v>
      </c>
      <c r="C113" s="6" t="s">
        <v>28</v>
      </c>
      <c r="D113" s="72" t="str">
        <f t="shared" si="2"/>
        <v>041_O_a</v>
      </c>
      <c r="E113" s="72">
        <v>28</v>
      </c>
      <c r="F113" s="72" t="s">
        <v>63</v>
      </c>
      <c r="G113" s="72" t="s">
        <v>554</v>
      </c>
      <c r="H113">
        <f t="shared" ca="1" si="3"/>
        <v>0.29414207832617933</v>
      </c>
    </row>
    <row r="114" spans="1:8" x14ac:dyDescent="0.2">
      <c r="A114" s="5" t="s">
        <v>550</v>
      </c>
      <c r="B114" s="6" t="s">
        <v>27</v>
      </c>
      <c r="C114" s="6" t="s">
        <v>28</v>
      </c>
      <c r="D114" s="72" t="str">
        <f t="shared" si="2"/>
        <v>041_S_a</v>
      </c>
      <c r="E114" s="72">
        <v>3</v>
      </c>
      <c r="F114" s="72" t="s">
        <v>70</v>
      </c>
      <c r="G114" s="72" t="s">
        <v>551</v>
      </c>
      <c r="H114">
        <f t="shared" ca="1" si="3"/>
        <v>2.3902410837965959E-3</v>
      </c>
    </row>
    <row r="115" spans="1:8" x14ac:dyDescent="0.2">
      <c r="A115" s="1" t="s">
        <v>550</v>
      </c>
      <c r="B115" t="s">
        <v>33</v>
      </c>
      <c r="C115" t="s">
        <v>28</v>
      </c>
      <c r="D115" s="72" t="str">
        <f t="shared" si="2"/>
        <v>041_V_a</v>
      </c>
      <c r="E115" s="72">
        <v>23</v>
      </c>
      <c r="F115" s="72" t="s">
        <v>29</v>
      </c>
      <c r="G115" s="72" t="s">
        <v>552</v>
      </c>
      <c r="H115">
        <f t="shared" ca="1" si="3"/>
        <v>0.24365355915348397</v>
      </c>
    </row>
    <row r="116" spans="1:8" x14ac:dyDescent="0.2">
      <c r="A116" s="5" t="s">
        <v>564</v>
      </c>
      <c r="B116" s="6" t="s">
        <v>36</v>
      </c>
      <c r="C116" s="6" t="s">
        <v>28</v>
      </c>
      <c r="D116" s="72" t="str">
        <f t="shared" si="2"/>
        <v>042_O_a</v>
      </c>
      <c r="E116" s="72">
        <v>2</v>
      </c>
      <c r="F116" s="72" t="s">
        <v>43</v>
      </c>
      <c r="G116" s="72" t="s">
        <v>565</v>
      </c>
      <c r="H116">
        <f t="shared" ca="1" si="3"/>
        <v>0.93246516492656695</v>
      </c>
    </row>
    <row r="117" spans="1:8" x14ac:dyDescent="0.2">
      <c r="A117" s="5" t="s">
        <v>564</v>
      </c>
      <c r="B117" s="6" t="s">
        <v>27</v>
      </c>
      <c r="C117" s="6" t="s">
        <v>28</v>
      </c>
      <c r="D117" s="72" t="str">
        <f t="shared" si="2"/>
        <v>042_S_a</v>
      </c>
      <c r="E117" s="72">
        <v>25</v>
      </c>
      <c r="F117" s="72" t="s">
        <v>82</v>
      </c>
      <c r="G117" s="72" t="s">
        <v>567</v>
      </c>
      <c r="H117">
        <f t="shared" ca="1" si="3"/>
        <v>0.89299587398250824</v>
      </c>
    </row>
    <row r="118" spans="1:8" x14ac:dyDescent="0.2">
      <c r="A118" s="1" t="s">
        <v>564</v>
      </c>
      <c r="B118" t="s">
        <v>33</v>
      </c>
      <c r="C118" t="s">
        <v>28</v>
      </c>
      <c r="D118" s="72" t="str">
        <f t="shared" si="2"/>
        <v>042_V_a</v>
      </c>
      <c r="E118" s="72">
        <v>14</v>
      </c>
      <c r="F118" s="72" t="s">
        <v>70</v>
      </c>
      <c r="G118" s="72" t="s">
        <v>566</v>
      </c>
      <c r="H118">
        <f t="shared" ca="1" si="3"/>
        <v>0.67490017896362964</v>
      </c>
    </row>
    <row r="119" spans="1:8" x14ac:dyDescent="0.2">
      <c r="A119" s="5" t="s">
        <v>577</v>
      </c>
      <c r="B119" s="6" t="s">
        <v>36</v>
      </c>
      <c r="C119" s="6" t="s">
        <v>28</v>
      </c>
      <c r="D119" s="72" t="str">
        <f t="shared" si="2"/>
        <v>043_O_a</v>
      </c>
      <c r="E119" s="72">
        <v>17</v>
      </c>
      <c r="F119" s="72" t="s">
        <v>68</v>
      </c>
      <c r="G119" s="72" t="s">
        <v>579</v>
      </c>
      <c r="H119">
        <f t="shared" ca="1" si="3"/>
        <v>0.75393068597151847</v>
      </c>
    </row>
    <row r="120" spans="1:8" x14ac:dyDescent="0.2">
      <c r="A120" s="5" t="s">
        <v>577</v>
      </c>
      <c r="B120" s="6" t="s">
        <v>27</v>
      </c>
      <c r="C120" s="6" t="s">
        <v>28</v>
      </c>
      <c r="D120" s="72" t="str">
        <f t="shared" si="2"/>
        <v>043_S_a</v>
      </c>
      <c r="E120" s="72">
        <v>13</v>
      </c>
      <c r="F120" s="72" t="s">
        <v>82</v>
      </c>
      <c r="G120" s="72" t="s">
        <v>578</v>
      </c>
      <c r="H120">
        <f t="shared" ca="1" si="3"/>
        <v>0.28693610037889783</v>
      </c>
    </row>
    <row r="121" spans="1:8" x14ac:dyDescent="0.2">
      <c r="A121" s="1" t="s">
        <v>577</v>
      </c>
      <c r="B121" t="s">
        <v>33</v>
      </c>
      <c r="C121" t="s">
        <v>28</v>
      </c>
      <c r="D121" s="72" t="str">
        <f t="shared" si="2"/>
        <v>043_V_a</v>
      </c>
      <c r="E121" s="72">
        <v>21</v>
      </c>
      <c r="F121" s="72" t="s">
        <v>41</v>
      </c>
      <c r="G121" s="72" t="s">
        <v>580</v>
      </c>
      <c r="H121">
        <f t="shared" ca="1" si="3"/>
        <v>0.83632957785686712</v>
      </c>
    </row>
    <row r="122" spans="1:8" x14ac:dyDescent="0.2">
      <c r="A122" s="5" t="s">
        <v>590</v>
      </c>
      <c r="B122" s="6" t="s">
        <v>36</v>
      </c>
      <c r="C122" s="6" t="s">
        <v>28</v>
      </c>
      <c r="D122" s="72" t="str">
        <f t="shared" si="2"/>
        <v>044_O_a</v>
      </c>
      <c r="E122" s="72">
        <v>16</v>
      </c>
      <c r="F122" s="72" t="s">
        <v>70</v>
      </c>
      <c r="G122" s="72" t="s">
        <v>591</v>
      </c>
      <c r="H122">
        <f t="shared" ca="1" si="3"/>
        <v>0.54554216566972014</v>
      </c>
    </row>
    <row r="123" spans="1:8" x14ac:dyDescent="0.2">
      <c r="A123" s="5" t="s">
        <v>590</v>
      </c>
      <c r="B123" s="6" t="s">
        <v>27</v>
      </c>
      <c r="C123" s="6" t="s">
        <v>28</v>
      </c>
      <c r="D123" s="72" t="str">
        <f t="shared" si="2"/>
        <v>044_S_a</v>
      </c>
      <c r="E123" s="72">
        <v>19</v>
      </c>
      <c r="F123" s="72" t="s">
        <v>70</v>
      </c>
      <c r="G123" s="72" t="s">
        <v>593</v>
      </c>
      <c r="H123">
        <f t="shared" ca="1" si="3"/>
        <v>0.55563873924231166</v>
      </c>
    </row>
    <row r="124" spans="1:8" x14ac:dyDescent="0.2">
      <c r="A124" s="1" t="s">
        <v>590</v>
      </c>
      <c r="B124" t="s">
        <v>33</v>
      </c>
      <c r="C124" t="s">
        <v>28</v>
      </c>
      <c r="D124" s="72" t="str">
        <f t="shared" si="2"/>
        <v>044_V_a</v>
      </c>
      <c r="E124" s="72">
        <v>18</v>
      </c>
      <c r="F124" s="72" t="s">
        <v>39</v>
      </c>
      <c r="G124" s="72" t="s">
        <v>592</v>
      </c>
      <c r="H124">
        <f t="shared" ca="1" si="3"/>
        <v>0.90595188964476658</v>
      </c>
    </row>
    <row r="125" spans="1:8" x14ac:dyDescent="0.2">
      <c r="A125" s="5" t="s">
        <v>603</v>
      </c>
      <c r="B125" s="6" t="s">
        <v>36</v>
      </c>
      <c r="C125" s="6" t="s">
        <v>28</v>
      </c>
      <c r="D125" s="72" t="str">
        <f t="shared" si="2"/>
        <v>045_O_a</v>
      </c>
      <c r="E125" s="72">
        <v>16</v>
      </c>
      <c r="F125" s="72" t="s">
        <v>68</v>
      </c>
      <c r="G125" s="72" t="s">
        <v>605</v>
      </c>
      <c r="H125">
        <f t="shared" ca="1" si="3"/>
        <v>0.51305346216012815</v>
      </c>
    </row>
    <row r="126" spans="1:8" x14ac:dyDescent="0.2">
      <c r="A126" s="5" t="s">
        <v>603</v>
      </c>
      <c r="B126" s="6" t="s">
        <v>27</v>
      </c>
      <c r="C126" s="6" t="s">
        <v>28</v>
      </c>
      <c r="D126" s="72" t="str">
        <f t="shared" si="2"/>
        <v>045_S_a</v>
      </c>
      <c r="E126" s="72">
        <v>34</v>
      </c>
      <c r="F126" s="72" t="s">
        <v>43</v>
      </c>
      <c r="G126" s="72" t="s">
        <v>606</v>
      </c>
      <c r="H126">
        <f t="shared" ca="1" si="3"/>
        <v>0.43512535953059062</v>
      </c>
    </row>
    <row r="127" spans="1:8" x14ac:dyDescent="0.2">
      <c r="A127" s="1" t="s">
        <v>603</v>
      </c>
      <c r="B127" t="s">
        <v>33</v>
      </c>
      <c r="C127" t="s">
        <v>28</v>
      </c>
      <c r="D127" s="72" t="str">
        <f t="shared" si="2"/>
        <v>045_V_a</v>
      </c>
      <c r="E127" s="72">
        <v>15</v>
      </c>
      <c r="F127" s="72" t="s">
        <v>63</v>
      </c>
      <c r="G127" s="72" t="s">
        <v>604</v>
      </c>
      <c r="H127">
        <f t="shared" ca="1" si="3"/>
        <v>0.96455625720470628</v>
      </c>
    </row>
    <row r="128" spans="1:8" x14ac:dyDescent="0.2">
      <c r="A128" s="5" t="s">
        <v>616</v>
      </c>
      <c r="B128" s="6" t="s">
        <v>36</v>
      </c>
      <c r="C128" s="6" t="s">
        <v>28</v>
      </c>
      <c r="D128" s="72" t="str">
        <f t="shared" si="2"/>
        <v>046_O_a</v>
      </c>
      <c r="E128" s="72">
        <v>23</v>
      </c>
      <c r="F128" s="72" t="s">
        <v>41</v>
      </c>
      <c r="G128" s="72" t="s">
        <v>619</v>
      </c>
      <c r="H128">
        <f t="shared" ca="1" si="3"/>
        <v>0.67292822840548838</v>
      </c>
    </row>
    <row r="129" spans="1:8" x14ac:dyDescent="0.2">
      <c r="A129" s="5" t="s">
        <v>616</v>
      </c>
      <c r="B129" s="6" t="s">
        <v>27</v>
      </c>
      <c r="C129" s="6" t="s">
        <v>28</v>
      </c>
      <c r="D129" s="72" t="str">
        <f t="shared" si="2"/>
        <v>046_S_a</v>
      </c>
      <c r="E129" s="72">
        <v>12</v>
      </c>
      <c r="F129" s="72" t="s">
        <v>82</v>
      </c>
      <c r="G129" s="72" t="s">
        <v>617</v>
      </c>
      <c r="H129">
        <f t="shared" ca="1" si="3"/>
        <v>5.4142445311971543E-2</v>
      </c>
    </row>
    <row r="130" spans="1:8" x14ac:dyDescent="0.2">
      <c r="A130" s="1" t="s">
        <v>616</v>
      </c>
      <c r="B130" t="s">
        <v>33</v>
      </c>
      <c r="C130" t="s">
        <v>28</v>
      </c>
      <c r="D130" s="72" t="str">
        <f t="shared" ref="D130:D193" si="4">A130&amp;"_"&amp;B130&amp;"_"&amp;C130</f>
        <v>046_V_a</v>
      </c>
      <c r="E130" s="72">
        <v>18</v>
      </c>
      <c r="F130" s="72" t="s">
        <v>29</v>
      </c>
      <c r="G130" s="72" t="s">
        <v>618</v>
      </c>
      <c r="H130">
        <f t="shared" ca="1" si="3"/>
        <v>0.96515835359542534</v>
      </c>
    </row>
    <row r="131" spans="1:8" x14ac:dyDescent="0.2">
      <c r="A131" s="5" t="s">
        <v>629</v>
      </c>
      <c r="B131" s="6" t="s">
        <v>36</v>
      </c>
      <c r="C131" s="6" t="s">
        <v>28</v>
      </c>
      <c r="D131" s="72" t="str">
        <f t="shared" si="4"/>
        <v>047_O_a</v>
      </c>
      <c r="E131" s="72">
        <v>33</v>
      </c>
      <c r="F131" s="72" t="s">
        <v>34</v>
      </c>
      <c r="G131" s="72" t="s">
        <v>632</v>
      </c>
      <c r="H131">
        <f t="shared" ref="H131:H169" ca="1" si="5">RAND()</f>
        <v>0.93588875837344876</v>
      </c>
    </row>
    <row r="132" spans="1:8" x14ac:dyDescent="0.2">
      <c r="A132" s="5" t="s">
        <v>629</v>
      </c>
      <c r="B132" s="6" t="s">
        <v>27</v>
      </c>
      <c r="C132" s="6" t="s">
        <v>28</v>
      </c>
      <c r="D132" s="72" t="str">
        <f t="shared" si="4"/>
        <v>047_S_a</v>
      </c>
      <c r="E132" s="72">
        <v>20</v>
      </c>
      <c r="F132" s="72" t="s">
        <v>49</v>
      </c>
      <c r="G132" s="72" t="s">
        <v>630</v>
      </c>
      <c r="H132">
        <f t="shared" ca="1" si="5"/>
        <v>0.81735958568255673</v>
      </c>
    </row>
    <row r="133" spans="1:8" x14ac:dyDescent="0.2">
      <c r="A133" s="1" t="s">
        <v>629</v>
      </c>
      <c r="B133" t="s">
        <v>33</v>
      </c>
      <c r="C133" t="s">
        <v>28</v>
      </c>
      <c r="D133" s="72" t="str">
        <f t="shared" si="4"/>
        <v>047_V_a</v>
      </c>
      <c r="E133" s="72">
        <v>24</v>
      </c>
      <c r="F133" s="72" t="s">
        <v>29</v>
      </c>
      <c r="G133" s="72" t="s">
        <v>631</v>
      </c>
      <c r="H133">
        <f t="shared" ca="1" si="5"/>
        <v>0.72381720605031419</v>
      </c>
    </row>
    <row r="134" spans="1:8" x14ac:dyDescent="0.2">
      <c r="A134" s="5" t="s">
        <v>642</v>
      </c>
      <c r="B134" s="6" t="s">
        <v>36</v>
      </c>
      <c r="C134" s="6" t="s">
        <v>28</v>
      </c>
      <c r="D134" s="72" t="str">
        <f t="shared" si="4"/>
        <v>048_O_a</v>
      </c>
      <c r="E134" s="72">
        <v>27</v>
      </c>
      <c r="F134" s="72" t="s">
        <v>82</v>
      </c>
      <c r="G134" s="72" t="s">
        <v>645</v>
      </c>
      <c r="H134">
        <f t="shared" ca="1" si="5"/>
        <v>0.715135936964446</v>
      </c>
    </row>
    <row r="135" spans="1:8" x14ac:dyDescent="0.2">
      <c r="A135" s="5" t="s">
        <v>642</v>
      </c>
      <c r="B135" s="6" t="s">
        <v>27</v>
      </c>
      <c r="C135" s="6" t="s">
        <v>28</v>
      </c>
      <c r="D135" s="72" t="str">
        <f t="shared" si="4"/>
        <v>048_S_a</v>
      </c>
      <c r="E135" s="72">
        <v>25</v>
      </c>
      <c r="F135" s="72" t="s">
        <v>49</v>
      </c>
      <c r="G135" s="72" t="s">
        <v>644</v>
      </c>
      <c r="H135">
        <f t="shared" ca="1" si="5"/>
        <v>0.48767147225506624</v>
      </c>
    </row>
    <row r="136" spans="1:8" x14ac:dyDescent="0.2">
      <c r="A136" s="1" t="s">
        <v>642</v>
      </c>
      <c r="B136" t="s">
        <v>33</v>
      </c>
      <c r="C136" t="s">
        <v>28</v>
      </c>
      <c r="D136" s="72" t="str">
        <f t="shared" si="4"/>
        <v>048_V_a</v>
      </c>
      <c r="E136" s="72">
        <v>12</v>
      </c>
      <c r="F136" s="72" t="s">
        <v>70</v>
      </c>
      <c r="G136" s="72" t="s">
        <v>643</v>
      </c>
      <c r="H136">
        <f t="shared" ca="1" si="5"/>
        <v>0.82925753653411549</v>
      </c>
    </row>
    <row r="137" spans="1:8" x14ac:dyDescent="0.2">
      <c r="A137" s="5" t="s">
        <v>655</v>
      </c>
      <c r="B137" s="6" t="s">
        <v>36</v>
      </c>
      <c r="C137" s="6" t="s">
        <v>28</v>
      </c>
      <c r="D137" s="72" t="str">
        <f t="shared" si="4"/>
        <v>049_O_a</v>
      </c>
      <c r="E137" s="72">
        <v>15</v>
      </c>
      <c r="F137" s="72" t="s">
        <v>34</v>
      </c>
      <c r="G137" s="72" t="s">
        <v>658</v>
      </c>
      <c r="H137">
        <f t="shared" ca="1" si="5"/>
        <v>0.73488514487764534</v>
      </c>
    </row>
    <row r="138" spans="1:8" x14ac:dyDescent="0.2">
      <c r="A138" s="5" t="s">
        <v>655</v>
      </c>
      <c r="B138" s="6" t="s">
        <v>27</v>
      </c>
      <c r="C138" s="6" t="s">
        <v>28</v>
      </c>
      <c r="D138" s="72" t="str">
        <f t="shared" si="4"/>
        <v>049_S_a</v>
      </c>
      <c r="E138" s="72">
        <v>6</v>
      </c>
      <c r="F138" s="72" t="s">
        <v>29</v>
      </c>
      <c r="G138" s="72" t="s">
        <v>657</v>
      </c>
      <c r="H138">
        <f t="shared" ca="1" si="5"/>
        <v>0.47865669908048725</v>
      </c>
    </row>
    <row r="139" spans="1:8" x14ac:dyDescent="0.2">
      <c r="A139" s="1" t="s">
        <v>655</v>
      </c>
      <c r="B139" t="s">
        <v>33</v>
      </c>
      <c r="C139" t="s">
        <v>28</v>
      </c>
      <c r="D139" s="72" t="str">
        <f t="shared" si="4"/>
        <v>049_V_a</v>
      </c>
      <c r="E139" s="72">
        <v>2</v>
      </c>
      <c r="F139" s="72" t="s">
        <v>39</v>
      </c>
      <c r="G139" s="72" t="s">
        <v>656</v>
      </c>
      <c r="H139">
        <f t="shared" ca="1" si="5"/>
        <v>0.34750498613961567</v>
      </c>
    </row>
    <row r="140" spans="1:8" x14ac:dyDescent="0.2">
      <c r="A140" s="5" t="s">
        <v>668</v>
      </c>
      <c r="B140" s="6" t="s">
        <v>36</v>
      </c>
      <c r="C140" s="6" t="s">
        <v>28</v>
      </c>
      <c r="D140" s="72" t="str">
        <f t="shared" si="4"/>
        <v>050_O_a</v>
      </c>
      <c r="E140" s="72">
        <v>34</v>
      </c>
      <c r="F140" s="72" t="s">
        <v>63</v>
      </c>
      <c r="G140" s="72" t="s">
        <v>671</v>
      </c>
      <c r="H140">
        <f t="shared" ca="1" si="5"/>
        <v>6.9439618797748626E-2</v>
      </c>
    </row>
    <row r="141" spans="1:8" x14ac:dyDescent="0.2">
      <c r="A141" s="5" t="s">
        <v>668</v>
      </c>
      <c r="B141" s="6" t="s">
        <v>27</v>
      </c>
      <c r="C141" s="6" t="s">
        <v>28</v>
      </c>
      <c r="D141" s="72" t="str">
        <f t="shared" si="4"/>
        <v>050_S_a</v>
      </c>
      <c r="E141" s="72">
        <v>14</v>
      </c>
      <c r="F141" s="72" t="s">
        <v>63</v>
      </c>
      <c r="G141" s="72" t="s">
        <v>669</v>
      </c>
      <c r="H141">
        <f t="shared" ca="1" si="5"/>
        <v>0.66207833694658524</v>
      </c>
    </row>
    <row r="142" spans="1:8" x14ac:dyDescent="0.2">
      <c r="A142" s="1" t="s">
        <v>668</v>
      </c>
      <c r="B142" t="s">
        <v>33</v>
      </c>
      <c r="C142" t="s">
        <v>28</v>
      </c>
      <c r="D142" s="72" t="str">
        <f t="shared" si="4"/>
        <v>050_V_a</v>
      </c>
      <c r="E142" s="72">
        <v>33</v>
      </c>
      <c r="F142" s="72" t="s">
        <v>29</v>
      </c>
      <c r="G142" s="72" t="s">
        <v>670</v>
      </c>
      <c r="H142">
        <f t="shared" ca="1" si="5"/>
        <v>0.9161892851754535</v>
      </c>
    </row>
    <row r="143" spans="1:8" x14ac:dyDescent="0.2">
      <c r="A143" s="5" t="s">
        <v>681</v>
      </c>
      <c r="B143" s="6" t="s">
        <v>36</v>
      </c>
      <c r="C143" s="6" t="s">
        <v>28</v>
      </c>
      <c r="D143" s="72" t="str">
        <f t="shared" si="4"/>
        <v>052_O_a</v>
      </c>
      <c r="E143" s="72">
        <v>34</v>
      </c>
      <c r="F143" s="72" t="s">
        <v>70</v>
      </c>
      <c r="G143" s="72" t="s">
        <v>684</v>
      </c>
      <c r="H143">
        <f t="shared" ca="1" si="5"/>
        <v>2.6989085642483701E-3</v>
      </c>
    </row>
    <row r="144" spans="1:8" x14ac:dyDescent="0.2">
      <c r="A144" s="5" t="s">
        <v>681</v>
      </c>
      <c r="B144" s="6" t="s">
        <v>27</v>
      </c>
      <c r="C144" s="6" t="s">
        <v>28</v>
      </c>
      <c r="D144" s="72" t="str">
        <f t="shared" si="4"/>
        <v>052_S_a</v>
      </c>
      <c r="E144" s="72">
        <v>1</v>
      </c>
      <c r="F144" s="72" t="s">
        <v>68</v>
      </c>
      <c r="G144" s="72" t="s">
        <v>682</v>
      </c>
      <c r="H144">
        <f t="shared" ca="1" si="5"/>
        <v>0.88154955713599437</v>
      </c>
    </row>
    <row r="145" spans="1:8" x14ac:dyDescent="0.2">
      <c r="A145" s="1" t="s">
        <v>681</v>
      </c>
      <c r="B145" t="s">
        <v>33</v>
      </c>
      <c r="C145" t="s">
        <v>28</v>
      </c>
      <c r="D145" s="72" t="str">
        <f t="shared" si="4"/>
        <v>052_V_a</v>
      </c>
      <c r="E145" s="72">
        <v>11</v>
      </c>
      <c r="F145" s="72" t="s">
        <v>70</v>
      </c>
      <c r="G145" s="72" t="s">
        <v>683</v>
      </c>
      <c r="H145">
        <f t="shared" ca="1" si="5"/>
        <v>1.8533619875851115E-2</v>
      </c>
    </row>
    <row r="146" spans="1:8" x14ac:dyDescent="0.2">
      <c r="A146" s="5" t="s">
        <v>694</v>
      </c>
      <c r="B146" s="6" t="s">
        <v>36</v>
      </c>
      <c r="C146" s="6" t="s">
        <v>28</v>
      </c>
      <c r="D146" s="72" t="str">
        <f t="shared" si="4"/>
        <v>053_O_a</v>
      </c>
      <c r="E146" s="72">
        <v>27</v>
      </c>
      <c r="F146" s="72" t="s">
        <v>43</v>
      </c>
      <c r="G146" s="72" t="s">
        <v>697</v>
      </c>
      <c r="H146">
        <f t="shared" ca="1" si="5"/>
        <v>4.3765549223522271E-3</v>
      </c>
    </row>
    <row r="147" spans="1:8" x14ac:dyDescent="0.2">
      <c r="A147" s="5" t="s">
        <v>694</v>
      </c>
      <c r="B147" s="6" t="s">
        <v>27</v>
      </c>
      <c r="C147" s="6" t="s">
        <v>28</v>
      </c>
      <c r="D147" s="72" t="str">
        <f t="shared" si="4"/>
        <v>053_S_a</v>
      </c>
      <c r="E147" s="72">
        <v>11</v>
      </c>
      <c r="F147" s="72" t="s">
        <v>63</v>
      </c>
      <c r="G147" s="72" t="s">
        <v>696</v>
      </c>
      <c r="H147">
        <f t="shared" ca="1" si="5"/>
        <v>4.8596026355660848E-2</v>
      </c>
    </row>
    <row r="148" spans="1:8" x14ac:dyDescent="0.2">
      <c r="A148" s="1" t="s">
        <v>694</v>
      </c>
      <c r="B148" t="s">
        <v>33</v>
      </c>
      <c r="C148" t="s">
        <v>28</v>
      </c>
      <c r="D148" s="72" t="str">
        <f t="shared" si="4"/>
        <v>053_V_a</v>
      </c>
      <c r="E148" s="72">
        <v>10</v>
      </c>
      <c r="F148" s="72" t="s">
        <v>70</v>
      </c>
      <c r="G148" s="72" t="s">
        <v>695</v>
      </c>
      <c r="H148">
        <f t="shared" ca="1" si="5"/>
        <v>0.64827408803439246</v>
      </c>
    </row>
    <row r="149" spans="1:8" x14ac:dyDescent="0.2">
      <c r="A149" s="5" t="s">
        <v>709</v>
      </c>
      <c r="B149" s="6" t="s">
        <v>36</v>
      </c>
      <c r="C149" s="6" t="s">
        <v>28</v>
      </c>
      <c r="D149" s="72" t="str">
        <f t="shared" si="4"/>
        <v>054_O_a</v>
      </c>
      <c r="E149" s="72">
        <v>19</v>
      </c>
      <c r="F149" s="72" t="s">
        <v>41</v>
      </c>
      <c r="G149" s="72" t="s">
        <v>711</v>
      </c>
      <c r="H149">
        <f t="shared" ca="1" si="5"/>
        <v>0.58670176789341766</v>
      </c>
    </row>
    <row r="150" spans="1:8" x14ac:dyDescent="0.2">
      <c r="A150" s="5" t="s">
        <v>709</v>
      </c>
      <c r="B150" s="6" t="s">
        <v>27</v>
      </c>
      <c r="C150" s="6" t="s">
        <v>28</v>
      </c>
      <c r="D150" s="72" t="str">
        <f t="shared" si="4"/>
        <v>054_S_a</v>
      </c>
      <c r="E150" s="72">
        <v>7</v>
      </c>
      <c r="F150" s="72" t="s">
        <v>82</v>
      </c>
      <c r="G150" s="72" t="s">
        <v>710</v>
      </c>
      <c r="H150">
        <f t="shared" ca="1" si="5"/>
        <v>0.17815210992908459</v>
      </c>
    </row>
    <row r="151" spans="1:8" x14ac:dyDescent="0.2">
      <c r="A151" s="1" t="s">
        <v>709</v>
      </c>
      <c r="B151" t="s">
        <v>33</v>
      </c>
      <c r="C151" t="s">
        <v>28</v>
      </c>
      <c r="D151" s="72" t="str">
        <f t="shared" si="4"/>
        <v>054_V_a</v>
      </c>
      <c r="E151" s="72">
        <v>20</v>
      </c>
      <c r="F151" s="72" t="s">
        <v>63</v>
      </c>
      <c r="G151" s="72" t="s">
        <v>712</v>
      </c>
      <c r="H151">
        <f t="shared" ca="1" si="5"/>
        <v>0.47268147117109338</v>
      </c>
    </row>
    <row r="152" spans="1:8" x14ac:dyDescent="0.2">
      <c r="A152" s="5" t="s">
        <v>722</v>
      </c>
      <c r="B152" s="6" t="s">
        <v>36</v>
      </c>
      <c r="C152" s="6" t="s">
        <v>28</v>
      </c>
      <c r="D152" s="72" t="str">
        <f t="shared" si="4"/>
        <v>055_O_a</v>
      </c>
      <c r="E152" s="72">
        <v>19</v>
      </c>
      <c r="F152" s="72" t="s">
        <v>49</v>
      </c>
      <c r="G152" s="72" t="s">
        <v>724</v>
      </c>
      <c r="H152">
        <f t="shared" ca="1" si="5"/>
        <v>0.93691923662134569</v>
      </c>
    </row>
    <row r="153" spans="1:8" x14ac:dyDescent="0.2">
      <c r="A153" s="5" t="s">
        <v>722</v>
      </c>
      <c r="B153" s="6" t="s">
        <v>27</v>
      </c>
      <c r="C153" s="6" t="s">
        <v>28</v>
      </c>
      <c r="D153" s="72" t="str">
        <f t="shared" si="4"/>
        <v>055_S_a</v>
      </c>
      <c r="E153" s="72">
        <v>32</v>
      </c>
      <c r="F153" s="72" t="s">
        <v>68</v>
      </c>
      <c r="G153" s="72" t="s">
        <v>725</v>
      </c>
      <c r="H153">
        <f t="shared" ca="1" si="5"/>
        <v>0.57253600549836925</v>
      </c>
    </row>
    <row r="154" spans="1:8" x14ac:dyDescent="0.2">
      <c r="A154" s="1" t="s">
        <v>722</v>
      </c>
      <c r="B154" t="s">
        <v>33</v>
      </c>
      <c r="C154" t="s">
        <v>28</v>
      </c>
      <c r="D154" s="72" t="str">
        <f t="shared" si="4"/>
        <v>055_V_a</v>
      </c>
      <c r="E154" s="72">
        <v>7</v>
      </c>
      <c r="F154" s="72" t="s">
        <v>29</v>
      </c>
      <c r="G154" s="72" t="s">
        <v>723</v>
      </c>
      <c r="H154">
        <f t="shared" ca="1" si="5"/>
        <v>0.66907468427567374</v>
      </c>
    </row>
    <row r="155" spans="1:8" x14ac:dyDescent="0.2">
      <c r="A155" s="5" t="s">
        <v>736</v>
      </c>
      <c r="B155" s="6" t="s">
        <v>36</v>
      </c>
      <c r="C155" s="6" t="s">
        <v>28</v>
      </c>
      <c r="D155" s="72" t="str">
        <f t="shared" si="4"/>
        <v>056_O_a</v>
      </c>
      <c r="E155" s="72">
        <v>36</v>
      </c>
      <c r="F155" s="72" t="s">
        <v>34</v>
      </c>
      <c r="G155" s="72" t="s">
        <v>739</v>
      </c>
      <c r="H155">
        <f t="shared" ca="1" si="5"/>
        <v>0.74361314946395352</v>
      </c>
    </row>
    <row r="156" spans="1:8" x14ac:dyDescent="0.2">
      <c r="A156" s="5" t="s">
        <v>736</v>
      </c>
      <c r="B156" s="6" t="s">
        <v>27</v>
      </c>
      <c r="C156" s="6" t="s">
        <v>28</v>
      </c>
      <c r="D156" s="72" t="str">
        <f t="shared" si="4"/>
        <v>056_S_a</v>
      </c>
      <c r="E156" s="72">
        <v>28</v>
      </c>
      <c r="F156" s="72" t="s">
        <v>49</v>
      </c>
      <c r="G156" s="72" t="s">
        <v>738</v>
      </c>
      <c r="H156">
        <f t="shared" ca="1" si="5"/>
        <v>0.49078956590180822</v>
      </c>
    </row>
    <row r="157" spans="1:8" x14ac:dyDescent="0.2">
      <c r="A157" s="1" t="s">
        <v>736</v>
      </c>
      <c r="B157" t="s">
        <v>33</v>
      </c>
      <c r="C157" t="s">
        <v>28</v>
      </c>
      <c r="D157" s="72" t="str">
        <f t="shared" si="4"/>
        <v>056_V_a</v>
      </c>
      <c r="E157" s="72">
        <v>14</v>
      </c>
      <c r="F157" s="72" t="s">
        <v>41</v>
      </c>
      <c r="G157" s="72" t="s">
        <v>737</v>
      </c>
      <c r="H157">
        <f t="shared" ca="1" si="5"/>
        <v>0.11379167594083772</v>
      </c>
    </row>
    <row r="158" spans="1:8" x14ac:dyDescent="0.2">
      <c r="A158" s="5" t="s">
        <v>749</v>
      </c>
      <c r="B158" s="6" t="s">
        <v>36</v>
      </c>
      <c r="C158" s="6" t="s">
        <v>28</v>
      </c>
      <c r="D158" s="72" t="str">
        <f t="shared" si="4"/>
        <v>057_O_a</v>
      </c>
      <c r="E158" s="72">
        <v>26</v>
      </c>
      <c r="F158" s="72" t="s">
        <v>41</v>
      </c>
      <c r="G158" s="72" t="s">
        <v>752</v>
      </c>
      <c r="H158">
        <f t="shared" ca="1" si="5"/>
        <v>0.21993483900420996</v>
      </c>
    </row>
    <row r="159" spans="1:8" x14ac:dyDescent="0.2">
      <c r="A159" s="5" t="s">
        <v>749</v>
      </c>
      <c r="B159" s="6" t="s">
        <v>27</v>
      </c>
      <c r="C159" s="6" t="s">
        <v>28</v>
      </c>
      <c r="D159" s="72" t="str">
        <f t="shared" si="4"/>
        <v>057_S_a</v>
      </c>
      <c r="E159" s="72">
        <v>17</v>
      </c>
      <c r="F159" s="72" t="s">
        <v>39</v>
      </c>
      <c r="G159" s="72" t="s">
        <v>751</v>
      </c>
      <c r="H159">
        <f t="shared" ca="1" si="5"/>
        <v>0.42353383455218774</v>
      </c>
    </row>
    <row r="160" spans="1:8" x14ac:dyDescent="0.2">
      <c r="A160" s="1" t="s">
        <v>749</v>
      </c>
      <c r="B160" t="s">
        <v>33</v>
      </c>
      <c r="C160" t="s">
        <v>28</v>
      </c>
      <c r="D160" s="72" t="str">
        <f t="shared" si="4"/>
        <v>057_V_a</v>
      </c>
      <c r="E160" s="72">
        <v>5</v>
      </c>
      <c r="F160" s="72" t="s">
        <v>41</v>
      </c>
      <c r="G160" s="72" t="s">
        <v>750</v>
      </c>
      <c r="H160">
        <f t="shared" ca="1" si="5"/>
        <v>0.49851109766700885</v>
      </c>
    </row>
    <row r="161" spans="1:8" x14ac:dyDescent="0.2">
      <c r="A161" s="5" t="s">
        <v>762</v>
      </c>
      <c r="B161" s="6" t="s">
        <v>36</v>
      </c>
      <c r="C161" s="6" t="s">
        <v>28</v>
      </c>
      <c r="D161" s="72" t="str">
        <f t="shared" si="4"/>
        <v>058_O_a</v>
      </c>
      <c r="E161" s="72">
        <v>31</v>
      </c>
      <c r="F161" s="72" t="s">
        <v>82</v>
      </c>
      <c r="G161" s="72" t="s">
        <v>765</v>
      </c>
      <c r="H161">
        <f t="shared" ca="1" si="5"/>
        <v>0.92901259416657045</v>
      </c>
    </row>
    <row r="162" spans="1:8" x14ac:dyDescent="0.2">
      <c r="A162" s="5" t="s">
        <v>762</v>
      </c>
      <c r="B162" s="6" t="s">
        <v>27</v>
      </c>
      <c r="C162" s="6" t="s">
        <v>28</v>
      </c>
      <c r="D162" s="72" t="str">
        <f t="shared" si="4"/>
        <v>058_S_a</v>
      </c>
      <c r="E162" s="72">
        <v>31</v>
      </c>
      <c r="F162" s="72" t="s">
        <v>49</v>
      </c>
      <c r="G162" s="72" t="s">
        <v>764</v>
      </c>
      <c r="H162">
        <f t="shared" ca="1" si="5"/>
        <v>0.33824538313697017</v>
      </c>
    </row>
    <row r="163" spans="1:8" x14ac:dyDescent="0.2">
      <c r="A163" s="1" t="s">
        <v>762</v>
      </c>
      <c r="B163" t="s">
        <v>33</v>
      </c>
      <c r="C163" t="s">
        <v>28</v>
      </c>
      <c r="D163" s="72" t="str">
        <f t="shared" si="4"/>
        <v>058_V_a</v>
      </c>
      <c r="E163" s="72">
        <v>20</v>
      </c>
      <c r="F163" s="72" t="s">
        <v>41</v>
      </c>
      <c r="G163" s="72" t="s">
        <v>763</v>
      </c>
      <c r="H163">
        <f t="shared" ca="1" si="5"/>
        <v>0.96504751681756129</v>
      </c>
    </row>
    <row r="164" spans="1:8" x14ac:dyDescent="0.2">
      <c r="A164" s="5" t="s">
        <v>775</v>
      </c>
      <c r="B164" s="6" t="s">
        <v>36</v>
      </c>
      <c r="C164" s="6" t="s">
        <v>28</v>
      </c>
      <c r="D164" s="72" t="str">
        <f t="shared" si="4"/>
        <v>059_O_a</v>
      </c>
      <c r="E164" s="72">
        <v>16</v>
      </c>
      <c r="F164" s="72" t="s">
        <v>29</v>
      </c>
      <c r="G164" s="72" t="s">
        <v>778</v>
      </c>
      <c r="H164">
        <f t="shared" ca="1" si="5"/>
        <v>9.0471344860578062E-2</v>
      </c>
    </row>
    <row r="165" spans="1:8" x14ac:dyDescent="0.2">
      <c r="A165" s="5" t="s">
        <v>775</v>
      </c>
      <c r="B165" s="6" t="s">
        <v>27</v>
      </c>
      <c r="C165" s="6" t="s">
        <v>28</v>
      </c>
      <c r="D165" s="72" t="str">
        <f t="shared" si="4"/>
        <v>059_S_a</v>
      </c>
      <c r="E165" s="72">
        <v>7</v>
      </c>
      <c r="F165" s="72" t="s">
        <v>41</v>
      </c>
      <c r="G165" s="72" t="s">
        <v>776</v>
      </c>
      <c r="H165">
        <f t="shared" ca="1" si="5"/>
        <v>0.6403969699359785</v>
      </c>
    </row>
    <row r="166" spans="1:8" x14ac:dyDescent="0.2">
      <c r="A166" s="1" t="s">
        <v>775</v>
      </c>
      <c r="B166" t="s">
        <v>33</v>
      </c>
      <c r="C166" t="s">
        <v>28</v>
      </c>
      <c r="D166" s="72" t="str">
        <f t="shared" si="4"/>
        <v>059_V_a</v>
      </c>
      <c r="E166" s="72">
        <v>15</v>
      </c>
      <c r="F166" s="72" t="s">
        <v>82</v>
      </c>
      <c r="G166" s="72" t="s">
        <v>777</v>
      </c>
      <c r="H166">
        <f t="shared" ca="1" si="5"/>
        <v>0.37365319845174627</v>
      </c>
    </row>
    <row r="167" spans="1:8" x14ac:dyDescent="0.2">
      <c r="A167" s="5" t="s">
        <v>788</v>
      </c>
      <c r="B167" s="6" t="s">
        <v>36</v>
      </c>
      <c r="C167" s="6" t="s">
        <v>28</v>
      </c>
      <c r="D167" s="72" t="str">
        <f t="shared" si="4"/>
        <v>060_O_a</v>
      </c>
      <c r="E167" s="72">
        <v>13</v>
      </c>
      <c r="F167" s="72" t="s">
        <v>43</v>
      </c>
      <c r="G167" s="72" t="s">
        <v>790</v>
      </c>
      <c r="H167">
        <f t="shared" ca="1" si="5"/>
        <v>3.5295632940440136E-2</v>
      </c>
    </row>
    <row r="168" spans="1:8" x14ac:dyDescent="0.2">
      <c r="A168" s="5" t="s">
        <v>788</v>
      </c>
      <c r="B168" s="6" t="s">
        <v>27</v>
      </c>
      <c r="C168" s="6" t="s">
        <v>28</v>
      </c>
      <c r="D168" s="72" t="str">
        <f t="shared" si="4"/>
        <v>060_S_a</v>
      </c>
      <c r="E168" s="72">
        <v>9</v>
      </c>
      <c r="F168" s="72" t="s">
        <v>82</v>
      </c>
      <c r="G168" s="72" t="s">
        <v>789</v>
      </c>
      <c r="H168">
        <f t="shared" ca="1" si="5"/>
        <v>0.22985533355754351</v>
      </c>
    </row>
    <row r="169" spans="1:8" x14ac:dyDescent="0.2">
      <c r="A169" s="1" t="s">
        <v>788</v>
      </c>
      <c r="B169" t="s">
        <v>33</v>
      </c>
      <c r="C169" t="s">
        <v>28</v>
      </c>
      <c r="D169" s="72" t="str">
        <f t="shared" si="4"/>
        <v>060_V_a</v>
      </c>
      <c r="E169" s="72">
        <v>22</v>
      </c>
      <c r="F169" s="72" t="s">
        <v>41</v>
      </c>
      <c r="G169" s="72" t="s">
        <v>791</v>
      </c>
      <c r="H169">
        <f t="shared" ca="1" si="5"/>
        <v>0.56790895090350191</v>
      </c>
    </row>
    <row r="170" spans="1:8" x14ac:dyDescent="0.2">
      <c r="A170" s="5" t="s">
        <v>801</v>
      </c>
      <c r="B170" s="6" t="s">
        <v>36</v>
      </c>
      <c r="C170" s="6" t="s">
        <v>28</v>
      </c>
      <c r="D170" s="72" t="str">
        <f t="shared" si="4"/>
        <v>062_O_a</v>
      </c>
      <c r="E170" s="72">
        <v>10</v>
      </c>
      <c r="F170" s="72" t="s">
        <v>82</v>
      </c>
      <c r="G170" s="72" t="s">
        <v>802</v>
      </c>
    </row>
    <row r="171" spans="1:8" x14ac:dyDescent="0.2">
      <c r="A171" s="5" t="s">
        <v>801</v>
      </c>
      <c r="B171" s="6" t="s">
        <v>27</v>
      </c>
      <c r="C171" s="6" t="s">
        <v>28</v>
      </c>
      <c r="D171" s="72" t="str">
        <f t="shared" si="4"/>
        <v>062_S_a</v>
      </c>
      <c r="E171" s="72">
        <v>12</v>
      </c>
      <c r="F171" s="72" t="s">
        <v>39</v>
      </c>
      <c r="G171" s="72" t="s">
        <v>804</v>
      </c>
    </row>
    <row r="172" spans="1:8" x14ac:dyDescent="0.2">
      <c r="A172" s="1" t="s">
        <v>801</v>
      </c>
      <c r="B172" t="s">
        <v>33</v>
      </c>
      <c r="C172" t="s">
        <v>28</v>
      </c>
      <c r="D172" s="72" t="str">
        <f t="shared" si="4"/>
        <v>062_V_a</v>
      </c>
      <c r="E172" s="72">
        <v>11</v>
      </c>
      <c r="F172" s="72" t="s">
        <v>68</v>
      </c>
      <c r="G172" s="72" t="s">
        <v>803</v>
      </c>
    </row>
    <row r="173" spans="1:8" x14ac:dyDescent="0.2">
      <c r="A173" s="5" t="s">
        <v>814</v>
      </c>
      <c r="B173" s="6" t="s">
        <v>36</v>
      </c>
      <c r="C173" s="6" t="s">
        <v>28</v>
      </c>
      <c r="D173" s="72" t="str">
        <f t="shared" si="4"/>
        <v>063_O_a</v>
      </c>
      <c r="E173" s="72">
        <v>33</v>
      </c>
      <c r="F173" s="72" t="s">
        <v>70</v>
      </c>
      <c r="G173" s="72" t="s">
        <v>817</v>
      </c>
    </row>
    <row r="174" spans="1:8" x14ac:dyDescent="0.2">
      <c r="A174" s="5" t="s">
        <v>814</v>
      </c>
      <c r="B174" s="6" t="s">
        <v>27</v>
      </c>
      <c r="C174" s="6" t="s">
        <v>28</v>
      </c>
      <c r="D174" s="72" t="str">
        <f t="shared" si="4"/>
        <v>063_S_a</v>
      </c>
      <c r="E174" s="72">
        <v>1</v>
      </c>
      <c r="F174" s="72" t="s">
        <v>43</v>
      </c>
      <c r="G174" s="72" t="s">
        <v>815</v>
      </c>
    </row>
    <row r="175" spans="1:8" x14ac:dyDescent="0.2">
      <c r="A175" s="1" t="s">
        <v>814</v>
      </c>
      <c r="B175" t="s">
        <v>33</v>
      </c>
      <c r="C175" t="s">
        <v>28</v>
      </c>
      <c r="D175" s="72" t="str">
        <f t="shared" si="4"/>
        <v>063_V_a</v>
      </c>
      <c r="E175" s="72">
        <v>5</v>
      </c>
      <c r="F175" s="72" t="s">
        <v>34</v>
      </c>
      <c r="G175" s="72" t="s">
        <v>816</v>
      </c>
    </row>
    <row r="176" spans="1:8" x14ac:dyDescent="0.2">
      <c r="A176" s="5" t="s">
        <v>827</v>
      </c>
      <c r="B176" s="6" t="s">
        <v>36</v>
      </c>
      <c r="C176" s="6" t="s">
        <v>28</v>
      </c>
      <c r="D176" s="72" t="str">
        <f t="shared" si="4"/>
        <v>064_O_a</v>
      </c>
      <c r="E176" s="72">
        <v>9</v>
      </c>
      <c r="F176" s="72" t="s">
        <v>68</v>
      </c>
      <c r="G176" s="72" t="s">
        <v>828</v>
      </c>
    </row>
    <row r="177" spans="1:7" x14ac:dyDescent="0.2">
      <c r="A177" s="5" t="s">
        <v>827</v>
      </c>
      <c r="B177" s="6" t="s">
        <v>27</v>
      </c>
      <c r="C177" s="6" t="s">
        <v>28</v>
      </c>
      <c r="D177" s="72" t="str">
        <f t="shared" si="4"/>
        <v>064_S_a</v>
      </c>
      <c r="E177" s="72">
        <v>17</v>
      </c>
      <c r="F177" s="72" t="s">
        <v>34</v>
      </c>
      <c r="G177" s="72" t="s">
        <v>829</v>
      </c>
    </row>
    <row r="178" spans="1:7" x14ac:dyDescent="0.2">
      <c r="A178" s="1" t="s">
        <v>827</v>
      </c>
      <c r="B178" t="s">
        <v>33</v>
      </c>
      <c r="C178" t="s">
        <v>28</v>
      </c>
      <c r="D178" s="72" t="str">
        <f t="shared" si="4"/>
        <v>064_V_a</v>
      </c>
      <c r="E178" s="72">
        <v>26</v>
      </c>
      <c r="F178" s="72" t="s">
        <v>63</v>
      </c>
      <c r="G178" s="72" t="s">
        <v>830</v>
      </c>
    </row>
    <row r="179" spans="1:7" x14ac:dyDescent="0.2">
      <c r="A179" s="5" t="s">
        <v>840</v>
      </c>
      <c r="B179" s="6" t="s">
        <v>36</v>
      </c>
      <c r="C179" s="6" t="s">
        <v>28</v>
      </c>
      <c r="D179" s="72" t="str">
        <f t="shared" si="4"/>
        <v>065_O_a</v>
      </c>
      <c r="E179" s="72">
        <v>2</v>
      </c>
      <c r="F179" s="72" t="s">
        <v>29</v>
      </c>
      <c r="G179" s="72" t="s">
        <v>842</v>
      </c>
    </row>
    <row r="180" spans="1:7" x14ac:dyDescent="0.2">
      <c r="A180" s="5" t="s">
        <v>840</v>
      </c>
      <c r="B180" s="6" t="s">
        <v>27</v>
      </c>
      <c r="C180" s="6" t="s">
        <v>28</v>
      </c>
      <c r="D180" s="72" t="str">
        <f t="shared" si="4"/>
        <v>065_S_a</v>
      </c>
      <c r="E180" s="72">
        <v>1</v>
      </c>
      <c r="F180" s="72" t="s">
        <v>41</v>
      </c>
      <c r="G180" s="72" t="s">
        <v>841</v>
      </c>
    </row>
    <row r="181" spans="1:7" x14ac:dyDescent="0.2">
      <c r="A181" s="1" t="s">
        <v>840</v>
      </c>
      <c r="B181" t="s">
        <v>33</v>
      </c>
      <c r="C181" t="s">
        <v>28</v>
      </c>
      <c r="D181" s="72" t="str">
        <f t="shared" si="4"/>
        <v>065_V_a</v>
      </c>
      <c r="E181" s="72">
        <v>3</v>
      </c>
      <c r="F181" s="72" t="s">
        <v>82</v>
      </c>
      <c r="G181" s="72" t="s">
        <v>843</v>
      </c>
    </row>
    <row r="182" spans="1:7" x14ac:dyDescent="0.2">
      <c r="A182" s="5" t="s">
        <v>853</v>
      </c>
      <c r="B182" s="6" t="s">
        <v>36</v>
      </c>
      <c r="C182" s="6" t="s">
        <v>28</v>
      </c>
      <c r="D182" s="72" t="str">
        <f t="shared" si="4"/>
        <v>067_O_a</v>
      </c>
      <c r="E182" s="72">
        <v>15</v>
      </c>
      <c r="F182" s="72" t="s">
        <v>49</v>
      </c>
      <c r="G182" s="72" t="s">
        <v>855</v>
      </c>
    </row>
    <row r="183" spans="1:7" x14ac:dyDescent="0.2">
      <c r="A183" s="5" t="s">
        <v>853</v>
      </c>
      <c r="B183" s="6" t="s">
        <v>27</v>
      </c>
      <c r="C183" s="6" t="s">
        <v>28</v>
      </c>
      <c r="D183" s="72" t="str">
        <f t="shared" si="4"/>
        <v>067_S_a</v>
      </c>
      <c r="E183" s="72">
        <v>34</v>
      </c>
      <c r="F183" s="72" t="s">
        <v>39</v>
      </c>
      <c r="G183" s="72" t="s">
        <v>856</v>
      </c>
    </row>
    <row r="184" spans="1:7" x14ac:dyDescent="0.2">
      <c r="A184" s="1" t="s">
        <v>853</v>
      </c>
      <c r="B184" t="s">
        <v>33</v>
      </c>
      <c r="C184" t="s">
        <v>28</v>
      </c>
      <c r="D184" s="72" t="str">
        <f t="shared" si="4"/>
        <v>067_V_a</v>
      </c>
      <c r="E184" s="72">
        <v>2</v>
      </c>
      <c r="F184" s="72" t="s">
        <v>63</v>
      </c>
      <c r="G184" s="72" t="s">
        <v>854</v>
      </c>
    </row>
    <row r="185" spans="1:7" x14ac:dyDescent="0.2">
      <c r="A185" s="5" t="s">
        <v>866</v>
      </c>
      <c r="B185" s="6" t="s">
        <v>36</v>
      </c>
      <c r="C185" s="6" t="s">
        <v>28</v>
      </c>
      <c r="D185" s="72" t="str">
        <f t="shared" si="4"/>
        <v>068_O_a</v>
      </c>
      <c r="E185" s="72">
        <v>33</v>
      </c>
      <c r="F185" s="72" t="s">
        <v>49</v>
      </c>
      <c r="G185" s="72" t="s">
        <v>870</v>
      </c>
    </row>
    <row r="186" spans="1:7" x14ac:dyDescent="0.2">
      <c r="A186" s="5" t="s">
        <v>866</v>
      </c>
      <c r="B186" s="6" t="s">
        <v>27</v>
      </c>
      <c r="C186" s="6" t="s">
        <v>28</v>
      </c>
      <c r="D186" s="72" t="str">
        <f t="shared" si="4"/>
        <v>068_S_a</v>
      </c>
      <c r="E186" s="72">
        <v>30</v>
      </c>
      <c r="F186" s="72" t="s">
        <v>41</v>
      </c>
      <c r="G186" s="72" t="s">
        <v>869</v>
      </c>
    </row>
    <row r="187" spans="1:7" x14ac:dyDescent="0.2">
      <c r="A187" s="1" t="s">
        <v>866</v>
      </c>
      <c r="B187" t="s">
        <v>33</v>
      </c>
      <c r="C187" t="s">
        <v>28</v>
      </c>
      <c r="D187" s="72" t="str">
        <f t="shared" si="4"/>
        <v>068_V_a</v>
      </c>
      <c r="E187" s="72">
        <v>8</v>
      </c>
      <c r="F187" s="72" t="s">
        <v>82</v>
      </c>
      <c r="G187" s="72" t="s">
        <v>867</v>
      </c>
    </row>
    <row r="188" spans="1:7" x14ac:dyDescent="0.2">
      <c r="A188" s="5" t="s">
        <v>880</v>
      </c>
      <c r="B188" s="6" t="s">
        <v>36</v>
      </c>
      <c r="C188" s="6" t="s">
        <v>28</v>
      </c>
      <c r="D188" s="72" t="str">
        <f t="shared" si="4"/>
        <v>069_O_a</v>
      </c>
      <c r="E188" s="72">
        <v>3</v>
      </c>
      <c r="F188" s="72" t="s">
        <v>29</v>
      </c>
      <c r="G188" s="72" t="s">
        <v>881</v>
      </c>
    </row>
    <row r="189" spans="1:7" x14ac:dyDescent="0.2">
      <c r="A189" s="5" t="s">
        <v>880</v>
      </c>
      <c r="B189" s="6" t="s">
        <v>27</v>
      </c>
      <c r="C189" s="6" t="s">
        <v>28</v>
      </c>
      <c r="D189" s="72" t="str">
        <f t="shared" si="4"/>
        <v>069_S_a</v>
      </c>
      <c r="E189" s="72">
        <v>24</v>
      </c>
      <c r="F189" s="72" t="s">
        <v>82</v>
      </c>
      <c r="G189" s="72" t="s">
        <v>883</v>
      </c>
    </row>
    <row r="190" spans="1:7" x14ac:dyDescent="0.2">
      <c r="A190" s="1" t="s">
        <v>880</v>
      </c>
      <c r="B190" t="s">
        <v>33</v>
      </c>
      <c r="C190" t="s">
        <v>28</v>
      </c>
      <c r="D190" s="72" t="str">
        <f t="shared" si="4"/>
        <v>069_V_a</v>
      </c>
      <c r="E190" s="72">
        <v>10</v>
      </c>
      <c r="F190" s="72" t="s">
        <v>49</v>
      </c>
      <c r="G190" s="72" t="s">
        <v>882</v>
      </c>
    </row>
    <row r="191" spans="1:7" x14ac:dyDescent="0.2">
      <c r="A191" s="5" t="s">
        <v>893</v>
      </c>
      <c r="B191" s="6" t="s">
        <v>36</v>
      </c>
      <c r="C191" s="6" t="s">
        <v>28</v>
      </c>
      <c r="D191" s="72" t="str">
        <f t="shared" si="4"/>
        <v>070_O_a</v>
      </c>
      <c r="E191" s="72">
        <v>13</v>
      </c>
      <c r="F191" s="72" t="s">
        <v>63</v>
      </c>
      <c r="G191" s="72" t="s">
        <v>894</v>
      </c>
    </row>
    <row r="192" spans="1:7" x14ac:dyDescent="0.2">
      <c r="A192" s="5" t="s">
        <v>893</v>
      </c>
      <c r="B192" s="6" t="s">
        <v>27</v>
      </c>
      <c r="C192" s="6" t="s">
        <v>28</v>
      </c>
      <c r="D192" s="72" t="str">
        <f t="shared" si="4"/>
        <v>070_S_a</v>
      </c>
      <c r="E192" s="72">
        <v>29</v>
      </c>
      <c r="F192" s="72" t="s">
        <v>49</v>
      </c>
      <c r="G192" s="72" t="s">
        <v>895</v>
      </c>
    </row>
    <row r="193" spans="1:7" x14ac:dyDescent="0.2">
      <c r="A193" s="1" t="s">
        <v>893</v>
      </c>
      <c r="B193" t="s">
        <v>33</v>
      </c>
      <c r="C193" t="s">
        <v>28</v>
      </c>
      <c r="D193" s="72" t="str">
        <f t="shared" si="4"/>
        <v>070_V_a</v>
      </c>
      <c r="E193" s="72">
        <v>32</v>
      </c>
      <c r="F193" s="72" t="s">
        <v>70</v>
      </c>
      <c r="G193" s="72" t="s">
        <v>896</v>
      </c>
    </row>
    <row r="194" spans="1:7" x14ac:dyDescent="0.2">
      <c r="A194" s="5" t="s">
        <v>907</v>
      </c>
      <c r="B194" s="6" t="s">
        <v>36</v>
      </c>
      <c r="C194" s="6" t="s">
        <v>28</v>
      </c>
      <c r="D194" s="72" t="str">
        <f t="shared" ref="D194:D257" si="6">A194&amp;"_"&amp;B194&amp;"_"&amp;C194</f>
        <v>071_O_a</v>
      </c>
      <c r="E194" s="72">
        <v>6</v>
      </c>
      <c r="F194" s="72" t="s">
        <v>41</v>
      </c>
      <c r="G194" s="72" t="s">
        <v>908</v>
      </c>
    </row>
    <row r="195" spans="1:7" x14ac:dyDescent="0.2">
      <c r="A195" s="5" t="s">
        <v>907</v>
      </c>
      <c r="B195" s="6" t="s">
        <v>27</v>
      </c>
      <c r="C195" s="6" t="s">
        <v>28</v>
      </c>
      <c r="D195" s="72" t="str">
        <f t="shared" si="6"/>
        <v>071_S_a</v>
      </c>
      <c r="E195" s="72">
        <v>34</v>
      </c>
      <c r="F195" s="72" t="s">
        <v>49</v>
      </c>
      <c r="G195" s="72" t="s">
        <v>910</v>
      </c>
    </row>
    <row r="196" spans="1:7" x14ac:dyDescent="0.2">
      <c r="A196" s="1" t="s">
        <v>907</v>
      </c>
      <c r="B196" t="s">
        <v>33</v>
      </c>
      <c r="C196" t="s">
        <v>28</v>
      </c>
      <c r="D196" s="72" t="str">
        <f t="shared" si="6"/>
        <v>071_V_a</v>
      </c>
      <c r="E196" s="72">
        <v>14</v>
      </c>
      <c r="F196" s="72" t="s">
        <v>39</v>
      </c>
      <c r="G196" s="72" t="s">
        <v>909</v>
      </c>
    </row>
    <row r="197" spans="1:7" x14ac:dyDescent="0.2">
      <c r="A197" s="5" t="s">
        <v>920</v>
      </c>
      <c r="B197" s="6" t="s">
        <v>36</v>
      </c>
      <c r="C197" s="6" t="s">
        <v>28</v>
      </c>
      <c r="D197" s="72" t="str">
        <f t="shared" si="6"/>
        <v>072_O_a</v>
      </c>
      <c r="E197" s="72">
        <v>8</v>
      </c>
      <c r="F197" s="72" t="s">
        <v>68</v>
      </c>
      <c r="G197" s="72" t="s">
        <v>922</v>
      </c>
    </row>
    <row r="198" spans="1:7" x14ac:dyDescent="0.2">
      <c r="A198" s="5" t="s">
        <v>920</v>
      </c>
      <c r="B198" s="6" t="s">
        <v>27</v>
      </c>
      <c r="C198" s="6" t="s">
        <v>28</v>
      </c>
      <c r="D198" s="72" t="str">
        <f t="shared" si="6"/>
        <v>072_S_a</v>
      </c>
      <c r="E198" s="72">
        <v>4</v>
      </c>
      <c r="F198" s="72" t="s">
        <v>70</v>
      </c>
      <c r="G198" s="72" t="s">
        <v>921</v>
      </c>
    </row>
    <row r="199" spans="1:7" x14ac:dyDescent="0.2">
      <c r="A199" s="1" t="s">
        <v>920</v>
      </c>
      <c r="B199" t="s">
        <v>33</v>
      </c>
      <c r="C199" t="s">
        <v>28</v>
      </c>
      <c r="D199" s="72" t="str">
        <f t="shared" si="6"/>
        <v>072_V_a</v>
      </c>
      <c r="E199" s="72">
        <v>31</v>
      </c>
      <c r="F199" s="72" t="s">
        <v>70</v>
      </c>
      <c r="G199" s="72" t="s">
        <v>923</v>
      </c>
    </row>
    <row r="200" spans="1:7" x14ac:dyDescent="0.2">
      <c r="A200" s="5" t="s">
        <v>933</v>
      </c>
      <c r="B200" s="6" t="s">
        <v>36</v>
      </c>
      <c r="C200" s="6" t="s">
        <v>28</v>
      </c>
      <c r="D200" s="72" t="str">
        <f t="shared" si="6"/>
        <v>073_O_a</v>
      </c>
      <c r="E200" s="72">
        <v>2</v>
      </c>
      <c r="F200" s="72" t="s">
        <v>68</v>
      </c>
      <c r="G200" s="72" t="s">
        <v>934</v>
      </c>
    </row>
    <row r="201" spans="1:7" x14ac:dyDescent="0.2">
      <c r="A201" s="5" t="s">
        <v>933</v>
      </c>
      <c r="B201" s="6" t="s">
        <v>27</v>
      </c>
      <c r="C201" s="6" t="s">
        <v>28</v>
      </c>
      <c r="D201" s="72" t="str">
        <f t="shared" si="6"/>
        <v>073_S_a</v>
      </c>
      <c r="E201" s="72">
        <v>25</v>
      </c>
      <c r="F201" s="72" t="s">
        <v>39</v>
      </c>
      <c r="G201" s="72" t="s">
        <v>935</v>
      </c>
    </row>
    <row r="202" spans="1:7" x14ac:dyDescent="0.2">
      <c r="A202" s="1" t="s">
        <v>933</v>
      </c>
      <c r="B202" t="s">
        <v>33</v>
      </c>
      <c r="C202" t="s">
        <v>28</v>
      </c>
      <c r="D202" s="72" t="str">
        <f t="shared" si="6"/>
        <v>073_V_a</v>
      </c>
      <c r="E202" s="72">
        <v>30</v>
      </c>
      <c r="F202" s="72" t="s">
        <v>34</v>
      </c>
      <c r="G202" s="72" t="s">
        <v>936</v>
      </c>
    </row>
    <row r="203" spans="1:7" x14ac:dyDescent="0.2">
      <c r="A203" s="5" t="s">
        <v>946</v>
      </c>
      <c r="B203" s="6" t="s">
        <v>36</v>
      </c>
      <c r="C203" s="6" t="s">
        <v>28</v>
      </c>
      <c r="D203" s="72" t="str">
        <f t="shared" si="6"/>
        <v>074_O_a</v>
      </c>
      <c r="E203" s="72">
        <v>11</v>
      </c>
      <c r="F203" s="72" t="s">
        <v>39</v>
      </c>
      <c r="G203" s="72" t="s">
        <v>947</v>
      </c>
    </row>
    <row r="204" spans="1:7" x14ac:dyDescent="0.2">
      <c r="A204" s="5" t="s">
        <v>946</v>
      </c>
      <c r="B204" s="6" t="s">
        <v>27</v>
      </c>
      <c r="C204" s="6" t="s">
        <v>28</v>
      </c>
      <c r="D204" s="72" t="str">
        <f t="shared" si="6"/>
        <v>074_S_a</v>
      </c>
      <c r="E204" s="72">
        <v>36</v>
      </c>
      <c r="F204" s="72" t="s">
        <v>41</v>
      </c>
      <c r="G204" s="72" t="s">
        <v>949</v>
      </c>
    </row>
    <row r="205" spans="1:7" x14ac:dyDescent="0.2">
      <c r="A205" s="1" t="s">
        <v>946</v>
      </c>
      <c r="B205" t="s">
        <v>33</v>
      </c>
      <c r="C205" t="s">
        <v>28</v>
      </c>
      <c r="D205" s="72" t="str">
        <f t="shared" si="6"/>
        <v>074_V_a</v>
      </c>
      <c r="E205" s="72">
        <v>17</v>
      </c>
      <c r="F205" s="72" t="s">
        <v>49</v>
      </c>
      <c r="G205" s="72" t="s">
        <v>948</v>
      </c>
    </row>
    <row r="206" spans="1:7" x14ac:dyDescent="0.2">
      <c r="A206" s="5" t="s">
        <v>959</v>
      </c>
      <c r="B206" s="6" t="s">
        <v>36</v>
      </c>
      <c r="C206" s="6" t="s">
        <v>28</v>
      </c>
      <c r="D206" s="72" t="str">
        <f t="shared" si="6"/>
        <v>075_O_a</v>
      </c>
      <c r="E206" s="72">
        <v>18</v>
      </c>
      <c r="F206" s="72" t="s">
        <v>82</v>
      </c>
      <c r="G206" s="72" t="s">
        <v>961</v>
      </c>
    </row>
    <row r="207" spans="1:7" x14ac:dyDescent="0.2">
      <c r="A207" s="5" t="s">
        <v>959</v>
      </c>
      <c r="B207" s="6" t="s">
        <v>27</v>
      </c>
      <c r="C207" s="6" t="s">
        <v>28</v>
      </c>
      <c r="D207" s="72" t="str">
        <f t="shared" si="6"/>
        <v>075_S_a</v>
      </c>
      <c r="E207" s="72">
        <v>24</v>
      </c>
      <c r="F207" s="72" t="s">
        <v>43</v>
      </c>
      <c r="G207" s="72" t="s">
        <v>962</v>
      </c>
    </row>
    <row r="208" spans="1:7" x14ac:dyDescent="0.2">
      <c r="A208" s="1" t="s">
        <v>959</v>
      </c>
      <c r="B208" t="s">
        <v>33</v>
      </c>
      <c r="C208" t="s">
        <v>28</v>
      </c>
      <c r="D208" s="72" t="str">
        <f t="shared" si="6"/>
        <v>075_V_a</v>
      </c>
      <c r="E208" s="72">
        <v>16</v>
      </c>
      <c r="F208" s="72" t="s">
        <v>34</v>
      </c>
      <c r="G208" s="72" t="s">
        <v>960</v>
      </c>
    </row>
    <row r="209" spans="1:7" x14ac:dyDescent="0.2">
      <c r="A209" s="5" t="s">
        <v>972</v>
      </c>
      <c r="B209" s="6" t="s">
        <v>36</v>
      </c>
      <c r="C209" s="6" t="s">
        <v>28</v>
      </c>
      <c r="D209" s="72" t="str">
        <f t="shared" si="6"/>
        <v>076_O_a</v>
      </c>
      <c r="E209" s="72">
        <v>14</v>
      </c>
      <c r="F209" s="72" t="s">
        <v>43</v>
      </c>
      <c r="G209" s="72" t="s">
        <v>975</v>
      </c>
    </row>
    <row r="210" spans="1:7" x14ac:dyDescent="0.2">
      <c r="A210" s="5" t="s">
        <v>972</v>
      </c>
      <c r="B210" s="6" t="s">
        <v>27</v>
      </c>
      <c r="C210" s="6" t="s">
        <v>28</v>
      </c>
      <c r="D210" s="72" t="str">
        <f t="shared" si="6"/>
        <v>076_S_a</v>
      </c>
      <c r="E210" s="72">
        <v>8</v>
      </c>
      <c r="F210" s="72" t="s">
        <v>41</v>
      </c>
      <c r="G210" s="72" t="s">
        <v>973</v>
      </c>
    </row>
    <row r="211" spans="1:7" x14ac:dyDescent="0.2">
      <c r="A211" s="1" t="s">
        <v>972</v>
      </c>
      <c r="B211" t="s">
        <v>33</v>
      </c>
      <c r="C211" t="s">
        <v>28</v>
      </c>
      <c r="D211" s="72" t="str">
        <f t="shared" si="6"/>
        <v>076_V_a</v>
      </c>
      <c r="E211" s="72">
        <v>9</v>
      </c>
      <c r="F211" s="72" t="s">
        <v>43</v>
      </c>
      <c r="G211" s="72" t="s">
        <v>974</v>
      </c>
    </row>
    <row r="212" spans="1:7" x14ac:dyDescent="0.2">
      <c r="A212" s="5" t="s">
        <v>985</v>
      </c>
      <c r="B212" s="6" t="s">
        <v>36</v>
      </c>
      <c r="C212" s="6" t="s">
        <v>28</v>
      </c>
      <c r="D212" s="72" t="str">
        <f t="shared" si="6"/>
        <v>077_O_a</v>
      </c>
      <c r="E212" s="72">
        <v>29</v>
      </c>
      <c r="F212" s="72" t="s">
        <v>39</v>
      </c>
      <c r="G212" s="72" t="s">
        <v>987</v>
      </c>
    </row>
    <row r="213" spans="1:7" x14ac:dyDescent="0.2">
      <c r="A213" s="5" t="s">
        <v>985</v>
      </c>
      <c r="B213" s="6" t="s">
        <v>27</v>
      </c>
      <c r="C213" s="6" t="s">
        <v>28</v>
      </c>
      <c r="D213" s="72" t="str">
        <f t="shared" si="6"/>
        <v>077_S_a</v>
      </c>
      <c r="E213" s="72">
        <v>32</v>
      </c>
      <c r="F213" s="72" t="s">
        <v>82</v>
      </c>
      <c r="G213" s="72" t="s">
        <v>988</v>
      </c>
    </row>
    <row r="214" spans="1:7" x14ac:dyDescent="0.2">
      <c r="A214" s="1" t="s">
        <v>985</v>
      </c>
      <c r="B214" t="s">
        <v>33</v>
      </c>
      <c r="C214" t="s">
        <v>28</v>
      </c>
      <c r="D214" s="72" t="str">
        <f t="shared" si="6"/>
        <v>077_V_a</v>
      </c>
      <c r="E214" s="72">
        <v>22</v>
      </c>
      <c r="F214" s="72" t="s">
        <v>43</v>
      </c>
      <c r="G214" s="72" t="s">
        <v>986</v>
      </c>
    </row>
    <row r="215" spans="1:7" x14ac:dyDescent="0.2">
      <c r="A215" s="5" t="s">
        <v>998</v>
      </c>
      <c r="B215" s="6" t="s">
        <v>36</v>
      </c>
      <c r="C215" s="6" t="s">
        <v>28</v>
      </c>
      <c r="D215" s="72" t="str">
        <f t="shared" si="6"/>
        <v>078_O_a</v>
      </c>
      <c r="E215" s="72">
        <v>5</v>
      </c>
      <c r="F215" s="72" t="s">
        <v>39</v>
      </c>
      <c r="G215" s="72" t="s">
        <v>999</v>
      </c>
    </row>
    <row r="216" spans="1:7" x14ac:dyDescent="0.2">
      <c r="A216" s="5" t="s">
        <v>998</v>
      </c>
      <c r="B216" s="6" t="s">
        <v>27</v>
      </c>
      <c r="C216" s="6" t="s">
        <v>28</v>
      </c>
      <c r="D216" s="72" t="str">
        <f t="shared" si="6"/>
        <v>078_S_a</v>
      </c>
      <c r="E216" s="72">
        <v>6</v>
      </c>
      <c r="F216" s="72" t="s">
        <v>39</v>
      </c>
      <c r="G216" s="72" t="s">
        <v>1000</v>
      </c>
    </row>
    <row r="217" spans="1:7" x14ac:dyDescent="0.2">
      <c r="A217" s="1" t="s">
        <v>998</v>
      </c>
      <c r="B217" t="s">
        <v>33</v>
      </c>
      <c r="C217" t="s">
        <v>28</v>
      </c>
      <c r="D217" s="72" t="str">
        <f t="shared" si="6"/>
        <v>078_V_a</v>
      </c>
      <c r="E217" s="72">
        <v>6</v>
      </c>
      <c r="F217" s="72" t="s">
        <v>63</v>
      </c>
      <c r="G217" s="72" t="s">
        <v>1001</v>
      </c>
    </row>
    <row r="218" spans="1:7" x14ac:dyDescent="0.2">
      <c r="A218" s="5" t="s">
        <v>1013</v>
      </c>
      <c r="B218" s="6" t="s">
        <v>36</v>
      </c>
      <c r="C218" s="6" t="s">
        <v>28</v>
      </c>
      <c r="D218" s="72" t="str">
        <f t="shared" si="6"/>
        <v>079_O_a</v>
      </c>
      <c r="E218" s="72">
        <v>25</v>
      </c>
      <c r="F218" s="72" t="s">
        <v>70</v>
      </c>
      <c r="G218" s="72" t="s">
        <v>1017</v>
      </c>
    </row>
    <row r="219" spans="1:7" x14ac:dyDescent="0.2">
      <c r="A219" s="5" t="s">
        <v>1013</v>
      </c>
      <c r="B219" s="6" t="s">
        <v>27</v>
      </c>
      <c r="C219" s="6" t="s">
        <v>28</v>
      </c>
      <c r="D219" s="72" t="str">
        <f t="shared" si="6"/>
        <v>079_S_a</v>
      </c>
      <c r="E219" s="72">
        <v>24</v>
      </c>
      <c r="F219" s="72" t="s">
        <v>70</v>
      </c>
      <c r="G219" s="72" t="s">
        <v>1015</v>
      </c>
    </row>
    <row r="220" spans="1:7" x14ac:dyDescent="0.2">
      <c r="A220" s="1" t="s">
        <v>1013</v>
      </c>
      <c r="B220" t="s">
        <v>33</v>
      </c>
      <c r="C220" t="s">
        <v>28</v>
      </c>
      <c r="D220" s="72" t="str">
        <f t="shared" si="6"/>
        <v>079_V_a</v>
      </c>
      <c r="E220" s="72">
        <v>21</v>
      </c>
      <c r="F220" s="72" t="s">
        <v>82</v>
      </c>
      <c r="G220" s="72" t="s">
        <v>1014</v>
      </c>
    </row>
    <row r="221" spans="1:7" x14ac:dyDescent="0.2">
      <c r="A221" s="5" t="s">
        <v>1027</v>
      </c>
      <c r="B221" s="6" t="s">
        <v>36</v>
      </c>
      <c r="C221" s="6" t="s">
        <v>28</v>
      </c>
      <c r="D221" s="72" t="str">
        <f t="shared" si="6"/>
        <v>080_O_a</v>
      </c>
      <c r="E221" s="72">
        <v>27</v>
      </c>
      <c r="F221" s="72" t="s">
        <v>34</v>
      </c>
      <c r="G221" s="72" t="s">
        <v>1029</v>
      </c>
    </row>
    <row r="222" spans="1:7" x14ac:dyDescent="0.2">
      <c r="A222" s="5" t="s">
        <v>1027</v>
      </c>
      <c r="B222" s="6" t="s">
        <v>27</v>
      </c>
      <c r="C222" s="6" t="s">
        <v>28</v>
      </c>
      <c r="D222" s="72" t="str">
        <f t="shared" si="6"/>
        <v>080_S_a</v>
      </c>
      <c r="E222" s="72">
        <v>3</v>
      </c>
      <c r="F222" s="72" t="s">
        <v>63</v>
      </c>
      <c r="G222" s="72" t="s">
        <v>1028</v>
      </c>
    </row>
    <row r="223" spans="1:7" x14ac:dyDescent="0.2">
      <c r="A223" s="1" t="s">
        <v>1027</v>
      </c>
      <c r="B223" t="s">
        <v>33</v>
      </c>
      <c r="C223" t="s">
        <v>28</v>
      </c>
      <c r="D223" s="72" t="str">
        <f t="shared" si="6"/>
        <v>080_V_a</v>
      </c>
      <c r="E223" s="72">
        <v>29</v>
      </c>
      <c r="F223" s="72" t="s">
        <v>41</v>
      </c>
      <c r="G223" s="72" t="s">
        <v>1030</v>
      </c>
    </row>
    <row r="224" spans="1:7" x14ac:dyDescent="0.2">
      <c r="A224" s="5" t="s">
        <v>1042</v>
      </c>
      <c r="B224" s="6" t="s">
        <v>36</v>
      </c>
      <c r="C224" s="6" t="s">
        <v>28</v>
      </c>
      <c r="D224" s="72" t="str">
        <f t="shared" si="6"/>
        <v>081_O_a</v>
      </c>
      <c r="E224" s="72">
        <v>4</v>
      </c>
      <c r="F224" s="72" t="s">
        <v>82</v>
      </c>
      <c r="G224" s="72" t="s">
        <v>1043</v>
      </c>
    </row>
    <row r="225" spans="1:7" x14ac:dyDescent="0.2">
      <c r="A225" s="5" t="s">
        <v>1042</v>
      </c>
      <c r="B225" s="6" t="s">
        <v>27</v>
      </c>
      <c r="C225" s="6" t="s">
        <v>28</v>
      </c>
      <c r="D225" s="72" t="str">
        <f t="shared" si="6"/>
        <v>081_S_a</v>
      </c>
      <c r="E225" s="72">
        <v>19</v>
      </c>
      <c r="F225" s="72" t="s">
        <v>82</v>
      </c>
      <c r="G225" s="72" t="s">
        <v>1044</v>
      </c>
    </row>
    <row r="226" spans="1:7" x14ac:dyDescent="0.2">
      <c r="A226" s="1" t="s">
        <v>1042</v>
      </c>
      <c r="B226" t="s">
        <v>33</v>
      </c>
      <c r="C226" t="s">
        <v>28</v>
      </c>
      <c r="D226" s="72" t="str">
        <f t="shared" si="6"/>
        <v>081_V_a</v>
      </c>
      <c r="E226" s="72">
        <v>25</v>
      </c>
      <c r="F226" s="72" t="s">
        <v>34</v>
      </c>
      <c r="G226" s="72" t="s">
        <v>1045</v>
      </c>
    </row>
    <row r="227" spans="1:7" x14ac:dyDescent="0.2">
      <c r="A227" s="5" t="s">
        <v>1056</v>
      </c>
      <c r="B227" s="6" t="s">
        <v>36</v>
      </c>
      <c r="C227" s="6" t="s">
        <v>28</v>
      </c>
      <c r="D227" s="72" t="str">
        <f t="shared" si="6"/>
        <v>082_O_a</v>
      </c>
      <c r="E227" s="72">
        <v>34</v>
      </c>
      <c r="F227" s="72" t="s">
        <v>34</v>
      </c>
      <c r="G227" s="72" t="s">
        <v>1059</v>
      </c>
    </row>
    <row r="228" spans="1:7" x14ac:dyDescent="0.2">
      <c r="A228" s="5" t="s">
        <v>1056</v>
      </c>
      <c r="B228" s="6" t="s">
        <v>27</v>
      </c>
      <c r="C228" s="6" t="s">
        <v>28</v>
      </c>
      <c r="D228" s="72" t="str">
        <f t="shared" si="6"/>
        <v>082_S_a</v>
      </c>
      <c r="E228" s="72">
        <v>23</v>
      </c>
      <c r="F228" s="72" t="s">
        <v>68</v>
      </c>
      <c r="G228" s="72" t="s">
        <v>1058</v>
      </c>
    </row>
    <row r="229" spans="1:7" x14ac:dyDescent="0.2">
      <c r="A229" s="1" t="s">
        <v>1056</v>
      </c>
      <c r="B229" t="s">
        <v>33</v>
      </c>
      <c r="C229" t="s">
        <v>28</v>
      </c>
      <c r="D229" s="72" t="str">
        <f t="shared" si="6"/>
        <v>082_V_a</v>
      </c>
      <c r="E229" s="72">
        <v>12</v>
      </c>
      <c r="F229" s="72" t="s">
        <v>63</v>
      </c>
      <c r="G229" s="72" t="s">
        <v>1057</v>
      </c>
    </row>
    <row r="230" spans="1:7" x14ac:dyDescent="0.2">
      <c r="A230" s="5" t="s">
        <v>1069</v>
      </c>
      <c r="B230" s="6" t="s">
        <v>36</v>
      </c>
      <c r="C230" s="6" t="s">
        <v>28</v>
      </c>
      <c r="D230" s="72" t="str">
        <f t="shared" si="6"/>
        <v>083_O_a</v>
      </c>
      <c r="E230" s="72">
        <v>36</v>
      </c>
      <c r="F230" s="72" t="s">
        <v>70</v>
      </c>
      <c r="G230" s="72" t="s">
        <v>1072</v>
      </c>
    </row>
    <row r="231" spans="1:7" x14ac:dyDescent="0.2">
      <c r="A231" s="5" t="s">
        <v>1069</v>
      </c>
      <c r="B231" s="6" t="s">
        <v>27</v>
      </c>
      <c r="C231" s="6" t="s">
        <v>28</v>
      </c>
      <c r="D231" s="72" t="str">
        <f t="shared" si="6"/>
        <v>083_S_a</v>
      </c>
      <c r="E231" s="72">
        <v>31</v>
      </c>
      <c r="F231" s="72" t="s">
        <v>34</v>
      </c>
      <c r="G231" s="72" t="s">
        <v>1070</v>
      </c>
    </row>
    <row r="232" spans="1:7" x14ac:dyDescent="0.2">
      <c r="A232" s="1" t="s">
        <v>1069</v>
      </c>
      <c r="B232" t="s">
        <v>33</v>
      </c>
      <c r="C232" t="s">
        <v>28</v>
      </c>
      <c r="D232" s="72" t="str">
        <f t="shared" si="6"/>
        <v>083_V_a</v>
      </c>
      <c r="E232" s="72">
        <v>34</v>
      </c>
      <c r="F232" s="72" t="s">
        <v>41</v>
      </c>
      <c r="G232" s="72" t="s">
        <v>1071</v>
      </c>
    </row>
    <row r="233" spans="1:7" x14ac:dyDescent="0.2">
      <c r="A233" s="5" t="s">
        <v>1082</v>
      </c>
      <c r="B233" s="6" t="s">
        <v>36</v>
      </c>
      <c r="C233" s="6" t="s">
        <v>28</v>
      </c>
      <c r="D233" s="72" t="str">
        <f t="shared" si="6"/>
        <v>084_O_a</v>
      </c>
      <c r="E233" s="72">
        <v>32</v>
      </c>
      <c r="F233" s="72" t="s">
        <v>41</v>
      </c>
      <c r="G233" s="72" t="s">
        <v>1085</v>
      </c>
    </row>
    <row r="234" spans="1:7" x14ac:dyDescent="0.2">
      <c r="A234" s="5" t="s">
        <v>1082</v>
      </c>
      <c r="B234" s="6" t="s">
        <v>27</v>
      </c>
      <c r="C234" s="6" t="s">
        <v>28</v>
      </c>
      <c r="D234" s="72" t="str">
        <f t="shared" si="6"/>
        <v>084_S_a</v>
      </c>
      <c r="E234" s="72">
        <v>9</v>
      </c>
      <c r="F234" s="72" t="s">
        <v>70</v>
      </c>
      <c r="G234" s="72" t="s">
        <v>1083</v>
      </c>
    </row>
    <row r="235" spans="1:7" x14ac:dyDescent="0.2">
      <c r="A235" s="1" t="s">
        <v>1082</v>
      </c>
      <c r="B235" t="s">
        <v>33</v>
      </c>
      <c r="C235" t="s">
        <v>28</v>
      </c>
      <c r="D235" s="72" t="str">
        <f t="shared" si="6"/>
        <v>084_V_a</v>
      </c>
      <c r="E235" s="72">
        <v>31</v>
      </c>
      <c r="F235" s="72" t="s">
        <v>41</v>
      </c>
      <c r="G235" s="72" t="s">
        <v>1084</v>
      </c>
    </row>
    <row r="236" spans="1:7" x14ac:dyDescent="0.2">
      <c r="A236" s="5" t="s">
        <v>1095</v>
      </c>
      <c r="B236" s="6" t="s">
        <v>36</v>
      </c>
      <c r="C236" s="6" t="s">
        <v>28</v>
      </c>
      <c r="D236" s="72" t="str">
        <f t="shared" si="6"/>
        <v>085_O_a</v>
      </c>
      <c r="E236" s="72">
        <v>10</v>
      </c>
      <c r="F236" s="72" t="s">
        <v>34</v>
      </c>
      <c r="G236" s="72" t="s">
        <v>1096</v>
      </c>
    </row>
    <row r="237" spans="1:7" x14ac:dyDescent="0.2">
      <c r="A237" s="5" t="s">
        <v>1095</v>
      </c>
      <c r="B237" s="6" t="s">
        <v>27</v>
      </c>
      <c r="C237" s="6" t="s">
        <v>28</v>
      </c>
      <c r="D237" s="72" t="str">
        <f t="shared" si="6"/>
        <v>085_S_a</v>
      </c>
      <c r="E237" s="72">
        <v>24</v>
      </c>
      <c r="F237" s="72" t="s">
        <v>68</v>
      </c>
      <c r="G237" s="72" t="s">
        <v>1098</v>
      </c>
    </row>
    <row r="238" spans="1:7" x14ac:dyDescent="0.2">
      <c r="A238" s="1" t="s">
        <v>1095</v>
      </c>
      <c r="B238" t="s">
        <v>33</v>
      </c>
      <c r="C238" t="s">
        <v>28</v>
      </c>
      <c r="D238" s="72" t="str">
        <f t="shared" si="6"/>
        <v>085_V_a</v>
      </c>
      <c r="E238" s="72">
        <v>10</v>
      </c>
      <c r="F238" s="72" t="s">
        <v>43</v>
      </c>
      <c r="G238" s="72" t="s">
        <v>1097</v>
      </c>
    </row>
    <row r="239" spans="1:7" x14ac:dyDescent="0.2">
      <c r="A239" s="5" t="s">
        <v>1108</v>
      </c>
      <c r="B239" s="6" t="s">
        <v>36</v>
      </c>
      <c r="C239" s="6" t="s">
        <v>28</v>
      </c>
      <c r="D239" s="72" t="str">
        <f t="shared" si="6"/>
        <v>086_O_a</v>
      </c>
      <c r="E239" s="72">
        <v>26</v>
      </c>
      <c r="F239" s="72" t="s">
        <v>43</v>
      </c>
      <c r="G239" s="72" t="s">
        <v>1111</v>
      </c>
    </row>
    <row r="240" spans="1:7" x14ac:dyDescent="0.2">
      <c r="A240" s="5" t="s">
        <v>1108</v>
      </c>
      <c r="B240" s="6" t="s">
        <v>27</v>
      </c>
      <c r="C240" s="6" t="s">
        <v>28</v>
      </c>
      <c r="D240" s="72" t="str">
        <f t="shared" si="6"/>
        <v>086_S_a</v>
      </c>
      <c r="E240" s="72">
        <v>17</v>
      </c>
      <c r="F240" s="72" t="s">
        <v>43</v>
      </c>
      <c r="G240" s="72" t="s">
        <v>1110</v>
      </c>
    </row>
    <row r="241" spans="1:7" x14ac:dyDescent="0.2">
      <c r="A241" s="1" t="s">
        <v>1108</v>
      </c>
      <c r="B241" t="s">
        <v>33</v>
      </c>
      <c r="C241" t="s">
        <v>28</v>
      </c>
      <c r="D241" s="72" t="str">
        <f t="shared" si="6"/>
        <v>086_V_a</v>
      </c>
      <c r="E241" s="72">
        <v>7</v>
      </c>
      <c r="F241" s="72" t="s">
        <v>49</v>
      </c>
      <c r="G241" s="72" t="s">
        <v>1109</v>
      </c>
    </row>
    <row r="242" spans="1:7" x14ac:dyDescent="0.2">
      <c r="A242" s="5" t="s">
        <v>1121</v>
      </c>
      <c r="B242" s="6" t="s">
        <v>36</v>
      </c>
      <c r="C242" s="6" t="s">
        <v>28</v>
      </c>
      <c r="D242" s="72" t="str">
        <f t="shared" si="6"/>
        <v>087_O_a</v>
      </c>
      <c r="E242" s="72">
        <v>24</v>
      </c>
      <c r="F242" s="72" t="s">
        <v>41</v>
      </c>
      <c r="G242" s="72" t="s">
        <v>1123</v>
      </c>
    </row>
    <row r="243" spans="1:7" x14ac:dyDescent="0.2">
      <c r="A243" s="5" t="s">
        <v>1121</v>
      </c>
      <c r="B243" s="6" t="s">
        <v>27</v>
      </c>
      <c r="C243" s="6" t="s">
        <v>28</v>
      </c>
      <c r="D243" s="72" t="str">
        <f t="shared" si="6"/>
        <v>087_S_a</v>
      </c>
      <c r="E243" s="72">
        <v>22</v>
      </c>
      <c r="F243" s="72" t="s">
        <v>39</v>
      </c>
      <c r="G243" s="72" t="s">
        <v>1122</v>
      </c>
    </row>
    <row r="244" spans="1:7" x14ac:dyDescent="0.2">
      <c r="A244" s="1" t="s">
        <v>1121</v>
      </c>
      <c r="B244" t="s">
        <v>33</v>
      </c>
      <c r="C244" t="s">
        <v>28</v>
      </c>
      <c r="D244" s="72" t="str">
        <f t="shared" si="6"/>
        <v>087_V_a</v>
      </c>
      <c r="E244" s="72">
        <v>36</v>
      </c>
      <c r="F244" s="72" t="s">
        <v>39</v>
      </c>
      <c r="G244" s="72" t="s">
        <v>1124</v>
      </c>
    </row>
    <row r="245" spans="1:7" x14ac:dyDescent="0.2">
      <c r="A245" s="5" t="s">
        <v>1135</v>
      </c>
      <c r="B245" s="6" t="s">
        <v>36</v>
      </c>
      <c r="C245" s="6" t="s">
        <v>28</v>
      </c>
      <c r="D245" s="72" t="str">
        <f t="shared" si="6"/>
        <v>088_O_a</v>
      </c>
      <c r="E245" s="72">
        <v>28</v>
      </c>
      <c r="F245" s="72" t="s">
        <v>68</v>
      </c>
      <c r="G245" s="72" t="s">
        <v>1137</v>
      </c>
    </row>
    <row r="246" spans="1:7" x14ac:dyDescent="0.2">
      <c r="A246" s="5" t="s">
        <v>1135</v>
      </c>
      <c r="B246" s="6" t="s">
        <v>27</v>
      </c>
      <c r="C246" s="6" t="s">
        <v>28</v>
      </c>
      <c r="D246" s="72" t="str">
        <f t="shared" si="6"/>
        <v>088_S_a</v>
      </c>
      <c r="E246" s="72">
        <v>29</v>
      </c>
      <c r="F246" s="72" t="s">
        <v>43</v>
      </c>
      <c r="G246" s="72" t="s">
        <v>1138</v>
      </c>
    </row>
    <row r="247" spans="1:7" x14ac:dyDescent="0.2">
      <c r="A247" s="1" t="s">
        <v>1135</v>
      </c>
      <c r="B247" t="s">
        <v>33</v>
      </c>
      <c r="C247" t="s">
        <v>28</v>
      </c>
      <c r="D247" s="72" t="str">
        <f t="shared" si="6"/>
        <v>088_V_a</v>
      </c>
      <c r="E247" s="72">
        <v>23</v>
      </c>
      <c r="F247" s="72" t="s">
        <v>70</v>
      </c>
      <c r="G247" s="72" t="s">
        <v>1136</v>
      </c>
    </row>
    <row r="248" spans="1:7" x14ac:dyDescent="0.2">
      <c r="A248" s="5" t="s">
        <v>1148</v>
      </c>
      <c r="B248" s="6" t="s">
        <v>36</v>
      </c>
      <c r="C248" s="6" t="s">
        <v>28</v>
      </c>
      <c r="D248" s="72" t="str">
        <f t="shared" si="6"/>
        <v>089_O_a</v>
      </c>
      <c r="E248" s="72">
        <v>35</v>
      </c>
      <c r="F248" s="72" t="s">
        <v>39</v>
      </c>
      <c r="G248" s="72" t="s">
        <v>1150</v>
      </c>
    </row>
    <row r="249" spans="1:7" x14ac:dyDescent="0.2">
      <c r="A249" s="5" t="s">
        <v>1148</v>
      </c>
      <c r="B249" s="6" t="s">
        <v>27</v>
      </c>
      <c r="C249" s="6" t="s">
        <v>28</v>
      </c>
      <c r="D249" s="72" t="str">
        <f t="shared" si="6"/>
        <v>089_S_a</v>
      </c>
      <c r="E249" s="72">
        <v>36</v>
      </c>
      <c r="F249" s="72" t="s">
        <v>68</v>
      </c>
      <c r="G249" s="72" t="s">
        <v>1151</v>
      </c>
    </row>
    <row r="250" spans="1:7" x14ac:dyDescent="0.2">
      <c r="A250" s="1" t="s">
        <v>1148</v>
      </c>
      <c r="B250" t="s">
        <v>33</v>
      </c>
      <c r="C250" t="s">
        <v>28</v>
      </c>
      <c r="D250" s="72" t="str">
        <f t="shared" si="6"/>
        <v>089_V_a</v>
      </c>
      <c r="E250" s="72">
        <v>16</v>
      </c>
      <c r="F250" s="72" t="s">
        <v>41</v>
      </c>
      <c r="G250" s="72" t="s">
        <v>1149</v>
      </c>
    </row>
    <row r="251" spans="1:7" x14ac:dyDescent="0.2">
      <c r="A251" s="5" t="s">
        <v>1161</v>
      </c>
      <c r="B251" s="6" t="s">
        <v>36</v>
      </c>
      <c r="C251" s="6" t="s">
        <v>28</v>
      </c>
      <c r="D251" s="72" t="str">
        <f t="shared" si="6"/>
        <v>090_O_a</v>
      </c>
      <c r="E251" s="72">
        <v>32</v>
      </c>
      <c r="F251" s="72" t="s">
        <v>39</v>
      </c>
      <c r="G251" s="72" t="s">
        <v>1164</v>
      </c>
    </row>
    <row r="252" spans="1:7" x14ac:dyDescent="0.2">
      <c r="A252" s="5" t="s">
        <v>1161</v>
      </c>
      <c r="B252" s="6" t="s">
        <v>27</v>
      </c>
      <c r="C252" s="6" t="s">
        <v>28</v>
      </c>
      <c r="D252" s="72" t="str">
        <f t="shared" si="6"/>
        <v>090_S_a</v>
      </c>
      <c r="E252" s="72">
        <v>6</v>
      </c>
      <c r="F252" s="72" t="s">
        <v>82</v>
      </c>
      <c r="G252" s="72" t="s">
        <v>1163</v>
      </c>
    </row>
    <row r="253" spans="1:7" x14ac:dyDescent="0.2">
      <c r="A253" s="1" t="s">
        <v>1161</v>
      </c>
      <c r="B253" t="s">
        <v>33</v>
      </c>
      <c r="C253" t="s">
        <v>28</v>
      </c>
      <c r="D253" s="72" t="str">
        <f t="shared" si="6"/>
        <v>090_V_a</v>
      </c>
      <c r="E253" s="72">
        <v>2</v>
      </c>
      <c r="F253" s="72" t="s">
        <v>82</v>
      </c>
      <c r="G253" s="72" t="s">
        <v>1162</v>
      </c>
    </row>
    <row r="254" spans="1:7" x14ac:dyDescent="0.2">
      <c r="A254" s="5" t="s">
        <v>1174</v>
      </c>
      <c r="B254" s="6" t="s">
        <v>36</v>
      </c>
      <c r="C254" s="6" t="s">
        <v>28</v>
      </c>
      <c r="D254" s="72" t="str">
        <f t="shared" si="6"/>
        <v>091_O_a</v>
      </c>
      <c r="E254" s="72">
        <v>13</v>
      </c>
      <c r="F254" s="72" t="s">
        <v>49</v>
      </c>
      <c r="G254" s="72" t="s">
        <v>1176</v>
      </c>
    </row>
    <row r="255" spans="1:7" x14ac:dyDescent="0.2">
      <c r="A255" s="5" t="s">
        <v>1174</v>
      </c>
      <c r="B255" s="6" t="s">
        <v>27</v>
      </c>
      <c r="C255" s="6" t="s">
        <v>28</v>
      </c>
      <c r="D255" s="72" t="str">
        <f t="shared" si="6"/>
        <v>091_S_a</v>
      </c>
      <c r="E255" s="72">
        <v>9</v>
      </c>
      <c r="F255" s="72" t="s">
        <v>41</v>
      </c>
      <c r="G255" s="72" t="s">
        <v>1175</v>
      </c>
    </row>
    <row r="256" spans="1:7" x14ac:dyDescent="0.2">
      <c r="A256" s="2" t="s">
        <v>1174</v>
      </c>
      <c r="B256" t="s">
        <v>33</v>
      </c>
      <c r="C256" t="s">
        <v>28</v>
      </c>
      <c r="D256" s="72" t="str">
        <f t="shared" si="6"/>
        <v>091_V_a</v>
      </c>
      <c r="E256" s="72">
        <v>22</v>
      </c>
      <c r="F256" s="72" t="s">
        <v>49</v>
      </c>
      <c r="G256" s="72" t="s">
        <v>1177</v>
      </c>
    </row>
    <row r="257" spans="1:7" x14ac:dyDescent="0.2">
      <c r="A257" s="5" t="s">
        <v>1187</v>
      </c>
      <c r="B257" s="6" t="s">
        <v>36</v>
      </c>
      <c r="C257" s="6" t="s">
        <v>28</v>
      </c>
      <c r="D257" s="72" t="str">
        <f t="shared" si="6"/>
        <v>092_O_a</v>
      </c>
      <c r="E257" s="72">
        <v>9</v>
      </c>
      <c r="F257" s="72" t="s">
        <v>34</v>
      </c>
      <c r="G257" s="72" t="s">
        <v>1188</v>
      </c>
    </row>
    <row r="258" spans="1:7" x14ac:dyDescent="0.2">
      <c r="A258" s="5" t="s">
        <v>1187</v>
      </c>
      <c r="B258" s="6" t="s">
        <v>27</v>
      </c>
      <c r="C258" s="6" t="s">
        <v>28</v>
      </c>
      <c r="D258" s="72" t="str">
        <f t="shared" ref="D258:D321" si="7">A258&amp;"_"&amp;B258&amp;"_"&amp;C258</f>
        <v>092_S_a</v>
      </c>
      <c r="E258" s="72">
        <v>11</v>
      </c>
      <c r="F258" s="72" t="s">
        <v>34</v>
      </c>
      <c r="G258" s="72" t="s">
        <v>1189</v>
      </c>
    </row>
    <row r="259" spans="1:7" x14ac:dyDescent="0.2">
      <c r="A259" s="1" t="s">
        <v>1187</v>
      </c>
      <c r="B259" t="s">
        <v>33</v>
      </c>
      <c r="C259" t="s">
        <v>28</v>
      </c>
      <c r="D259" s="72" t="str">
        <f t="shared" si="7"/>
        <v>092_V_a</v>
      </c>
      <c r="E259" s="72">
        <v>20</v>
      </c>
      <c r="F259" s="72" t="s">
        <v>39</v>
      </c>
      <c r="G259" s="72" t="s">
        <v>1190</v>
      </c>
    </row>
    <row r="260" spans="1:7" x14ac:dyDescent="0.2">
      <c r="A260" s="5" t="s">
        <v>1200</v>
      </c>
      <c r="B260" s="6" t="s">
        <v>36</v>
      </c>
      <c r="C260" s="6" t="s">
        <v>28</v>
      </c>
      <c r="D260" s="72" t="str">
        <f t="shared" si="7"/>
        <v>093_O_a</v>
      </c>
      <c r="E260" s="72">
        <v>18</v>
      </c>
      <c r="F260" s="72" t="s">
        <v>41</v>
      </c>
      <c r="G260" s="72" t="s">
        <v>1201</v>
      </c>
    </row>
    <row r="261" spans="1:7" x14ac:dyDescent="0.2">
      <c r="A261" s="5" t="s">
        <v>1200</v>
      </c>
      <c r="B261" s="6" t="s">
        <v>27</v>
      </c>
      <c r="C261" s="6" t="s">
        <v>28</v>
      </c>
      <c r="D261" s="72" t="str">
        <f t="shared" si="7"/>
        <v>093_S_a</v>
      </c>
      <c r="E261" s="72">
        <v>31</v>
      </c>
      <c r="F261" s="72" t="s">
        <v>43</v>
      </c>
      <c r="G261" s="72" t="s">
        <v>1203</v>
      </c>
    </row>
    <row r="262" spans="1:7" x14ac:dyDescent="0.2">
      <c r="A262" s="1" t="s">
        <v>1200</v>
      </c>
      <c r="B262" t="s">
        <v>33</v>
      </c>
      <c r="C262" t="s">
        <v>28</v>
      </c>
      <c r="D262" s="72" t="str">
        <f t="shared" si="7"/>
        <v>093_V_a</v>
      </c>
      <c r="E262" s="72">
        <v>28</v>
      </c>
      <c r="F262" s="72" t="s">
        <v>29</v>
      </c>
      <c r="G262" s="72" t="s">
        <v>1202</v>
      </c>
    </row>
    <row r="263" spans="1:7" x14ac:dyDescent="0.2">
      <c r="A263" s="5" t="s">
        <v>1213</v>
      </c>
      <c r="B263" s="6" t="s">
        <v>36</v>
      </c>
      <c r="C263" s="6" t="s">
        <v>28</v>
      </c>
      <c r="D263" s="72" t="str">
        <f t="shared" si="7"/>
        <v>094_O_a</v>
      </c>
      <c r="E263" s="72">
        <v>21</v>
      </c>
      <c r="F263" s="72" t="s">
        <v>29</v>
      </c>
      <c r="G263" s="72" t="s">
        <v>1216</v>
      </c>
    </row>
    <row r="264" spans="1:7" x14ac:dyDescent="0.2">
      <c r="A264" s="5" t="s">
        <v>1213</v>
      </c>
      <c r="B264" s="6" t="s">
        <v>27</v>
      </c>
      <c r="C264" s="6" t="s">
        <v>28</v>
      </c>
      <c r="D264" s="72" t="str">
        <f t="shared" si="7"/>
        <v>094_S_a</v>
      </c>
      <c r="E264" s="72">
        <v>19</v>
      </c>
      <c r="F264" s="72" t="s">
        <v>63</v>
      </c>
      <c r="G264" s="72" t="s">
        <v>1215</v>
      </c>
    </row>
    <row r="265" spans="1:7" x14ac:dyDescent="0.2">
      <c r="A265" s="1" t="s">
        <v>1213</v>
      </c>
      <c r="B265" t="s">
        <v>33</v>
      </c>
      <c r="C265" t="s">
        <v>28</v>
      </c>
      <c r="D265" s="72" t="str">
        <f t="shared" si="7"/>
        <v>094_V_a</v>
      </c>
      <c r="E265" s="72">
        <v>10</v>
      </c>
      <c r="F265" s="72" t="s">
        <v>39</v>
      </c>
      <c r="G265" s="72" t="s">
        <v>1214</v>
      </c>
    </row>
    <row r="266" spans="1:7" x14ac:dyDescent="0.2">
      <c r="A266" s="5" t="s">
        <v>1226</v>
      </c>
      <c r="B266" s="6" t="s">
        <v>36</v>
      </c>
      <c r="C266" s="6" t="s">
        <v>28</v>
      </c>
      <c r="D266" s="72" t="str">
        <f t="shared" si="7"/>
        <v>095_O_a</v>
      </c>
      <c r="E266" s="72">
        <v>29</v>
      </c>
      <c r="F266" s="72" t="s">
        <v>63</v>
      </c>
      <c r="G266" s="72" t="s">
        <v>1228</v>
      </c>
    </row>
    <row r="267" spans="1:7" x14ac:dyDescent="0.2">
      <c r="A267" s="5" t="s">
        <v>1226</v>
      </c>
      <c r="B267" s="6" t="s">
        <v>27</v>
      </c>
      <c r="C267" s="6" t="s">
        <v>28</v>
      </c>
      <c r="D267" s="72" t="str">
        <f t="shared" si="7"/>
        <v>095_S_a</v>
      </c>
      <c r="E267" s="72">
        <v>9</v>
      </c>
      <c r="F267" s="72" t="s">
        <v>49</v>
      </c>
      <c r="G267" s="72" t="s">
        <v>1227</v>
      </c>
    </row>
    <row r="268" spans="1:7" x14ac:dyDescent="0.2">
      <c r="A268" s="1" t="s">
        <v>1226</v>
      </c>
      <c r="B268" t="s">
        <v>33</v>
      </c>
      <c r="C268" t="s">
        <v>28</v>
      </c>
      <c r="D268" s="72" t="str">
        <f t="shared" si="7"/>
        <v>095_V_a</v>
      </c>
      <c r="E268" s="72">
        <v>34</v>
      </c>
      <c r="F268" s="72" t="s">
        <v>82</v>
      </c>
      <c r="G268" s="72" t="s">
        <v>1229</v>
      </c>
    </row>
    <row r="269" spans="1:7" x14ac:dyDescent="0.2">
      <c r="A269" s="5" t="s">
        <v>1239</v>
      </c>
      <c r="B269" s="6" t="s">
        <v>36</v>
      </c>
      <c r="C269" s="6" t="s">
        <v>28</v>
      </c>
      <c r="D269" s="72" t="str">
        <f t="shared" si="7"/>
        <v>096_O_a</v>
      </c>
      <c r="E269" s="72">
        <v>25</v>
      </c>
      <c r="F269" s="72" t="s">
        <v>68</v>
      </c>
      <c r="G269" s="72" t="s">
        <v>1241</v>
      </c>
    </row>
    <row r="270" spans="1:7" x14ac:dyDescent="0.2">
      <c r="A270" s="5" t="s">
        <v>1239</v>
      </c>
      <c r="B270" s="6" t="s">
        <v>27</v>
      </c>
      <c r="C270" s="6" t="s">
        <v>28</v>
      </c>
      <c r="D270" s="72" t="str">
        <f t="shared" si="7"/>
        <v>096_S_a</v>
      </c>
      <c r="E270" s="72">
        <v>30</v>
      </c>
      <c r="F270" s="72" t="s">
        <v>82</v>
      </c>
      <c r="G270" s="72" t="s">
        <v>1242</v>
      </c>
    </row>
    <row r="271" spans="1:7" x14ac:dyDescent="0.2">
      <c r="A271" s="1" t="s">
        <v>1239</v>
      </c>
      <c r="B271" t="s">
        <v>33</v>
      </c>
      <c r="C271" t="s">
        <v>28</v>
      </c>
      <c r="D271" s="72" t="str">
        <f t="shared" si="7"/>
        <v>096_V_a</v>
      </c>
      <c r="E271" s="72">
        <v>18</v>
      </c>
      <c r="F271" s="72" t="s">
        <v>63</v>
      </c>
      <c r="G271" s="72" t="s">
        <v>1240</v>
      </c>
    </row>
    <row r="272" spans="1:7" x14ac:dyDescent="0.2">
      <c r="A272" s="5" t="s">
        <v>1252</v>
      </c>
      <c r="B272" s="6" t="s">
        <v>36</v>
      </c>
      <c r="C272" s="6" t="s">
        <v>28</v>
      </c>
      <c r="D272" s="72" t="str">
        <f t="shared" si="7"/>
        <v>097_O_a</v>
      </c>
      <c r="E272" s="72">
        <v>36</v>
      </c>
      <c r="F272" s="72" t="s">
        <v>29</v>
      </c>
      <c r="G272" s="72" t="s">
        <v>1256</v>
      </c>
    </row>
    <row r="273" spans="1:7" x14ac:dyDescent="0.2">
      <c r="A273" s="5" t="s">
        <v>1252</v>
      </c>
      <c r="B273" s="6" t="s">
        <v>27</v>
      </c>
      <c r="C273" s="6" t="s">
        <v>28</v>
      </c>
      <c r="D273" s="72" t="str">
        <f t="shared" si="7"/>
        <v>097_S_a</v>
      </c>
      <c r="E273" s="72">
        <v>28</v>
      </c>
      <c r="F273" s="72" t="s">
        <v>34</v>
      </c>
      <c r="G273" s="72" t="s">
        <v>1253</v>
      </c>
    </row>
    <row r="274" spans="1:7" x14ac:dyDescent="0.2">
      <c r="A274" s="2" t="s">
        <v>1252</v>
      </c>
      <c r="B274" t="s">
        <v>33</v>
      </c>
      <c r="C274" t="s">
        <v>28</v>
      </c>
      <c r="D274" s="72" t="str">
        <f t="shared" si="7"/>
        <v>097_V_a</v>
      </c>
      <c r="E274" s="72">
        <v>28</v>
      </c>
      <c r="F274" s="72" t="s">
        <v>70</v>
      </c>
      <c r="G274" s="72" t="s">
        <v>1255</v>
      </c>
    </row>
    <row r="275" spans="1:7" x14ac:dyDescent="0.2">
      <c r="A275" s="5" t="s">
        <v>1266</v>
      </c>
      <c r="B275" s="6" t="s">
        <v>36</v>
      </c>
      <c r="C275" s="6" t="s">
        <v>28</v>
      </c>
      <c r="D275" s="72" t="str">
        <f t="shared" si="7"/>
        <v>098_O_a</v>
      </c>
      <c r="E275" s="72">
        <v>6</v>
      </c>
      <c r="F275" s="72" t="s">
        <v>43</v>
      </c>
      <c r="G275" s="72" t="s">
        <v>1267</v>
      </c>
    </row>
    <row r="276" spans="1:7" x14ac:dyDescent="0.2">
      <c r="A276" s="5" t="s">
        <v>1266</v>
      </c>
      <c r="B276" s="6" t="s">
        <v>27</v>
      </c>
      <c r="C276" s="6" t="s">
        <v>28</v>
      </c>
      <c r="D276" s="72" t="str">
        <f t="shared" si="7"/>
        <v>098_S_a</v>
      </c>
      <c r="E276" s="72">
        <v>26</v>
      </c>
      <c r="F276" s="72" t="s">
        <v>39</v>
      </c>
      <c r="G276" s="72" t="s">
        <v>1268</v>
      </c>
    </row>
    <row r="277" spans="1:7" x14ac:dyDescent="0.2">
      <c r="A277" s="2" t="s">
        <v>1266</v>
      </c>
      <c r="B277" t="s">
        <v>33</v>
      </c>
      <c r="C277" t="s">
        <v>28</v>
      </c>
      <c r="D277" s="72" t="str">
        <f t="shared" si="7"/>
        <v>098_V_a</v>
      </c>
      <c r="E277" s="72">
        <v>31</v>
      </c>
      <c r="F277" s="72" t="s">
        <v>39</v>
      </c>
      <c r="G277" s="72" t="s">
        <v>1269</v>
      </c>
    </row>
    <row r="278" spans="1:7" x14ac:dyDescent="0.2">
      <c r="A278" s="5" t="s">
        <v>1279</v>
      </c>
      <c r="B278" s="6" t="s">
        <v>36</v>
      </c>
      <c r="C278" s="6" t="s">
        <v>28</v>
      </c>
      <c r="D278" s="72" t="str">
        <f t="shared" si="7"/>
        <v>099_O_a</v>
      </c>
      <c r="E278" s="72">
        <v>26</v>
      </c>
      <c r="F278" s="72" t="s">
        <v>49</v>
      </c>
      <c r="G278" s="72" t="s">
        <v>1281</v>
      </c>
    </row>
    <row r="279" spans="1:7" x14ac:dyDescent="0.2">
      <c r="A279" s="5" t="s">
        <v>1279</v>
      </c>
      <c r="B279" s="6" t="s">
        <v>27</v>
      </c>
      <c r="C279" s="6" t="s">
        <v>28</v>
      </c>
      <c r="D279" s="72" t="str">
        <f t="shared" si="7"/>
        <v>099_S_a</v>
      </c>
      <c r="E279" s="72">
        <v>10</v>
      </c>
      <c r="F279" s="72" t="s">
        <v>68</v>
      </c>
      <c r="G279" s="72" t="s">
        <v>1280</v>
      </c>
    </row>
    <row r="280" spans="1:7" x14ac:dyDescent="0.2">
      <c r="A280" s="2" t="s">
        <v>1279</v>
      </c>
      <c r="B280" t="s">
        <v>33</v>
      </c>
      <c r="C280" t="s">
        <v>28</v>
      </c>
      <c r="D280" s="72" t="str">
        <f t="shared" si="7"/>
        <v>099_V_a</v>
      </c>
      <c r="E280" s="72">
        <v>32</v>
      </c>
      <c r="F280" s="72" t="s">
        <v>49</v>
      </c>
      <c r="G280" s="72" t="s">
        <v>1282</v>
      </c>
    </row>
    <row r="281" spans="1:7" x14ac:dyDescent="0.2">
      <c r="A281" s="7" t="s">
        <v>1292</v>
      </c>
      <c r="B281" s="6" t="s">
        <v>36</v>
      </c>
      <c r="C281" s="6" t="s">
        <v>28</v>
      </c>
      <c r="D281" s="72" t="str">
        <f t="shared" si="7"/>
        <v>100_O_a</v>
      </c>
      <c r="E281" s="72">
        <v>22</v>
      </c>
      <c r="F281" s="72" t="s">
        <v>34</v>
      </c>
      <c r="G281" s="72" t="s">
        <v>1295</v>
      </c>
    </row>
    <row r="282" spans="1:7" x14ac:dyDescent="0.2">
      <c r="A282" s="7" t="s">
        <v>1292</v>
      </c>
      <c r="B282" s="6" t="s">
        <v>27</v>
      </c>
      <c r="C282" s="6" t="s">
        <v>28</v>
      </c>
      <c r="D282" s="72" t="str">
        <f t="shared" si="7"/>
        <v>100_S_a</v>
      </c>
      <c r="E282" s="72">
        <v>3</v>
      </c>
      <c r="F282" s="72" t="s">
        <v>68</v>
      </c>
      <c r="G282" s="72" t="s">
        <v>1293</v>
      </c>
    </row>
    <row r="283" spans="1:7" x14ac:dyDescent="0.2">
      <c r="A283" s="3" t="s">
        <v>1292</v>
      </c>
      <c r="B283" t="s">
        <v>33</v>
      </c>
      <c r="C283" t="s">
        <v>28</v>
      </c>
      <c r="D283" s="72" t="str">
        <f t="shared" si="7"/>
        <v>100_V_a</v>
      </c>
      <c r="E283" s="72">
        <v>17</v>
      </c>
      <c r="F283" s="72" t="s">
        <v>82</v>
      </c>
      <c r="G283" s="72" t="s">
        <v>1294</v>
      </c>
    </row>
    <row r="284" spans="1:7" x14ac:dyDescent="0.2">
      <c r="A284" s="7" t="s">
        <v>1305</v>
      </c>
      <c r="B284" s="6" t="s">
        <v>36</v>
      </c>
      <c r="C284" s="6" t="s">
        <v>28</v>
      </c>
      <c r="D284" s="72" t="str">
        <f t="shared" si="7"/>
        <v>101_O_a</v>
      </c>
      <c r="E284" s="72">
        <v>30</v>
      </c>
      <c r="F284" s="72" t="s">
        <v>49</v>
      </c>
      <c r="G284" s="72" t="s">
        <v>1307</v>
      </c>
    </row>
    <row r="285" spans="1:7" x14ac:dyDescent="0.2">
      <c r="A285" s="7" t="s">
        <v>1305</v>
      </c>
      <c r="B285" s="6" t="s">
        <v>27</v>
      </c>
      <c r="C285" s="6" t="s">
        <v>28</v>
      </c>
      <c r="D285" s="72" t="str">
        <f t="shared" si="7"/>
        <v>101_S_a</v>
      </c>
      <c r="E285" s="72">
        <v>35</v>
      </c>
      <c r="F285" s="72" t="s">
        <v>43</v>
      </c>
      <c r="G285" s="72" t="s">
        <v>1308</v>
      </c>
    </row>
    <row r="286" spans="1:7" x14ac:dyDescent="0.2">
      <c r="A286" s="3" t="s">
        <v>1305</v>
      </c>
      <c r="B286" t="s">
        <v>33</v>
      </c>
      <c r="C286" t="s">
        <v>28</v>
      </c>
      <c r="D286" s="72" t="str">
        <f t="shared" si="7"/>
        <v>101_V_a</v>
      </c>
      <c r="E286" s="72">
        <v>1</v>
      </c>
      <c r="F286" s="72" t="s">
        <v>70</v>
      </c>
      <c r="G286" s="72" t="s">
        <v>1306</v>
      </c>
    </row>
    <row r="287" spans="1:7" x14ac:dyDescent="0.2">
      <c r="A287" s="4" t="s">
        <v>1318</v>
      </c>
      <c r="B287" s="6" t="s">
        <v>36</v>
      </c>
      <c r="C287" s="6" t="s">
        <v>28</v>
      </c>
      <c r="D287" s="72" t="str">
        <f t="shared" si="7"/>
        <v>102_O_a</v>
      </c>
      <c r="E287" s="72">
        <v>4</v>
      </c>
      <c r="F287" s="72" t="s">
        <v>29</v>
      </c>
      <c r="G287" s="72" t="s">
        <v>1319</v>
      </c>
    </row>
    <row r="288" spans="1:7" x14ac:dyDescent="0.2">
      <c r="A288" s="4" t="s">
        <v>1318</v>
      </c>
      <c r="B288" s="6" t="s">
        <v>27</v>
      </c>
      <c r="C288" s="6" t="s">
        <v>28</v>
      </c>
      <c r="D288" s="72" t="str">
        <f t="shared" si="7"/>
        <v>102_S_a</v>
      </c>
      <c r="E288" s="72">
        <v>4</v>
      </c>
      <c r="F288" s="72" t="s">
        <v>68</v>
      </c>
      <c r="G288" s="72" t="s">
        <v>1320</v>
      </c>
    </row>
    <row r="289" spans="1:7" x14ac:dyDescent="0.2">
      <c r="A289" s="4" t="s">
        <v>1318</v>
      </c>
      <c r="B289" t="s">
        <v>33</v>
      </c>
      <c r="C289" t="s">
        <v>28</v>
      </c>
      <c r="D289" s="72" t="str">
        <f t="shared" si="7"/>
        <v>102_V_a</v>
      </c>
      <c r="E289" s="72">
        <v>21</v>
      </c>
      <c r="F289" s="72" t="s">
        <v>68</v>
      </c>
      <c r="G289" s="72" t="s">
        <v>1321</v>
      </c>
    </row>
    <row r="290" spans="1:7" x14ac:dyDescent="0.2">
      <c r="A290" s="7" t="s">
        <v>1332</v>
      </c>
      <c r="B290" s="6" t="s">
        <v>36</v>
      </c>
      <c r="C290" s="6" t="s">
        <v>28</v>
      </c>
      <c r="D290" s="72" t="str">
        <f t="shared" si="7"/>
        <v>103_O_a</v>
      </c>
      <c r="E290" s="72">
        <v>16</v>
      </c>
      <c r="F290" s="72" t="s">
        <v>63</v>
      </c>
      <c r="G290" s="72" t="s">
        <v>1334</v>
      </c>
    </row>
    <row r="291" spans="1:7" x14ac:dyDescent="0.2">
      <c r="A291" s="7" t="s">
        <v>1332</v>
      </c>
      <c r="B291" s="6" t="s">
        <v>27</v>
      </c>
      <c r="C291" s="6" t="s">
        <v>28</v>
      </c>
      <c r="D291" s="72" t="str">
        <f t="shared" si="7"/>
        <v>103_S_a</v>
      </c>
      <c r="E291" s="72">
        <v>11</v>
      </c>
      <c r="F291" s="72" t="s">
        <v>43</v>
      </c>
      <c r="G291" s="72" t="s">
        <v>1333</v>
      </c>
    </row>
    <row r="292" spans="1:7" x14ac:dyDescent="0.2">
      <c r="A292" s="3" t="s">
        <v>1332</v>
      </c>
      <c r="B292" t="s">
        <v>33</v>
      </c>
      <c r="C292" t="s">
        <v>28</v>
      </c>
      <c r="D292" s="72" t="str">
        <f t="shared" si="7"/>
        <v>103_V_a</v>
      </c>
      <c r="E292" s="72">
        <v>32</v>
      </c>
      <c r="F292" s="72" t="s">
        <v>34</v>
      </c>
      <c r="G292" s="72" t="s">
        <v>1335</v>
      </c>
    </row>
    <row r="293" spans="1:7" x14ac:dyDescent="0.2">
      <c r="A293" s="4" t="s">
        <v>1345</v>
      </c>
      <c r="B293" s="6" t="s">
        <v>36</v>
      </c>
      <c r="C293" s="6" t="s">
        <v>28</v>
      </c>
      <c r="D293" s="72" t="str">
        <f t="shared" si="7"/>
        <v>104_O_a</v>
      </c>
      <c r="E293" s="72">
        <v>27</v>
      </c>
      <c r="F293" s="72" t="s">
        <v>49</v>
      </c>
      <c r="G293" s="72" t="s">
        <v>1348</v>
      </c>
    </row>
    <row r="294" spans="1:7" x14ac:dyDescent="0.2">
      <c r="A294" s="4" t="s">
        <v>1345</v>
      </c>
      <c r="B294" s="6" t="s">
        <v>27</v>
      </c>
      <c r="C294" s="6" t="s">
        <v>28</v>
      </c>
      <c r="D294" s="72" t="str">
        <f t="shared" si="7"/>
        <v>104_S_a</v>
      </c>
      <c r="E294" s="72">
        <v>3</v>
      </c>
      <c r="F294" s="72" t="s">
        <v>49</v>
      </c>
      <c r="G294" s="72" t="s">
        <v>1346</v>
      </c>
    </row>
    <row r="295" spans="1:7" x14ac:dyDescent="0.2">
      <c r="A295" s="4" t="s">
        <v>1345</v>
      </c>
      <c r="B295" t="s">
        <v>33</v>
      </c>
      <c r="C295" t="s">
        <v>28</v>
      </c>
      <c r="D295" s="72" t="str">
        <f t="shared" si="7"/>
        <v>104_V_a</v>
      </c>
      <c r="E295" s="72">
        <v>5</v>
      </c>
      <c r="F295" s="72" t="s">
        <v>63</v>
      </c>
      <c r="G295" s="72" t="s">
        <v>1347</v>
      </c>
    </row>
    <row r="296" spans="1:7" x14ac:dyDescent="0.2">
      <c r="A296" s="7" t="s">
        <v>1358</v>
      </c>
      <c r="B296" s="6" t="s">
        <v>36</v>
      </c>
      <c r="C296" s="6" t="s">
        <v>28</v>
      </c>
      <c r="D296" s="72" t="str">
        <f t="shared" si="7"/>
        <v>105_O_a</v>
      </c>
      <c r="E296" s="72">
        <v>15</v>
      </c>
      <c r="F296" s="72" t="s">
        <v>41</v>
      </c>
      <c r="G296" s="72" t="s">
        <v>1361</v>
      </c>
    </row>
    <row r="297" spans="1:7" x14ac:dyDescent="0.2">
      <c r="A297" s="7" t="s">
        <v>1358</v>
      </c>
      <c r="B297" s="6" t="s">
        <v>27</v>
      </c>
      <c r="C297" s="6" t="s">
        <v>28</v>
      </c>
      <c r="D297" s="72" t="str">
        <f t="shared" si="7"/>
        <v>105_S_a</v>
      </c>
      <c r="E297" s="72">
        <v>15</v>
      </c>
      <c r="F297" s="72" t="s">
        <v>70</v>
      </c>
      <c r="G297" s="72" t="s">
        <v>1360</v>
      </c>
    </row>
    <row r="298" spans="1:7" x14ac:dyDescent="0.2">
      <c r="A298" s="3" t="s">
        <v>1358</v>
      </c>
      <c r="B298" t="s">
        <v>33</v>
      </c>
      <c r="C298" t="s">
        <v>28</v>
      </c>
      <c r="D298" s="72" t="str">
        <f t="shared" si="7"/>
        <v>105_V_a</v>
      </c>
      <c r="E298" s="72">
        <v>8</v>
      </c>
      <c r="F298" s="72" t="s">
        <v>34</v>
      </c>
      <c r="G298" s="72" t="s">
        <v>1359</v>
      </c>
    </row>
    <row r="299" spans="1:7" x14ac:dyDescent="0.2">
      <c r="A299" s="5" t="s">
        <v>1371</v>
      </c>
      <c r="B299" s="6" t="s">
        <v>36</v>
      </c>
      <c r="C299" s="6" t="s">
        <v>28</v>
      </c>
      <c r="D299" s="72" t="str">
        <f t="shared" si="7"/>
        <v>106_O_a</v>
      </c>
      <c r="E299" s="72">
        <v>4</v>
      </c>
      <c r="F299" s="72" t="s">
        <v>39</v>
      </c>
      <c r="G299" s="72" t="s">
        <v>1373</v>
      </c>
    </row>
    <row r="300" spans="1:7" x14ac:dyDescent="0.2">
      <c r="A300" s="5" t="s">
        <v>1371</v>
      </c>
      <c r="B300" s="6" t="s">
        <v>27</v>
      </c>
      <c r="C300" s="6" t="s">
        <v>28</v>
      </c>
      <c r="D300" s="72" t="str">
        <f t="shared" si="7"/>
        <v>106_S_a</v>
      </c>
      <c r="E300" s="72">
        <v>1</v>
      </c>
      <c r="F300" s="72" t="s">
        <v>49</v>
      </c>
      <c r="G300" s="72" t="s">
        <v>1372</v>
      </c>
    </row>
    <row r="301" spans="1:7" x14ac:dyDescent="0.2">
      <c r="A301" s="1" t="s">
        <v>1371</v>
      </c>
      <c r="B301" t="s">
        <v>33</v>
      </c>
      <c r="C301" t="s">
        <v>28</v>
      </c>
      <c r="D301" s="72" t="str">
        <f t="shared" si="7"/>
        <v>106_V_a</v>
      </c>
      <c r="E301" s="72">
        <v>21</v>
      </c>
      <c r="F301" s="72" t="s">
        <v>63</v>
      </c>
      <c r="G301" s="72" t="s">
        <v>1374</v>
      </c>
    </row>
    <row r="302" spans="1:7" x14ac:dyDescent="0.2">
      <c r="A302" s="5" t="s">
        <v>1384</v>
      </c>
      <c r="B302" s="6" t="s">
        <v>36</v>
      </c>
      <c r="C302" s="6" t="s">
        <v>28</v>
      </c>
      <c r="D302" s="72" t="str">
        <f t="shared" si="7"/>
        <v>107_O_a</v>
      </c>
      <c r="E302" s="72">
        <v>22</v>
      </c>
      <c r="F302" s="72" t="s">
        <v>29</v>
      </c>
      <c r="G302" s="72" t="s">
        <v>1386</v>
      </c>
    </row>
    <row r="303" spans="1:7" x14ac:dyDescent="0.2">
      <c r="A303" s="5" t="s">
        <v>1384</v>
      </c>
      <c r="B303" s="6" t="s">
        <v>27</v>
      </c>
      <c r="C303" s="6" t="s">
        <v>28</v>
      </c>
      <c r="D303" s="72" t="str">
        <f t="shared" si="7"/>
        <v>107_S_a</v>
      </c>
      <c r="E303" s="72">
        <v>20</v>
      </c>
      <c r="F303" s="72" t="s">
        <v>82</v>
      </c>
      <c r="G303" s="72" t="s">
        <v>1385</v>
      </c>
    </row>
    <row r="304" spans="1:7" x14ac:dyDescent="0.2">
      <c r="A304" s="1" t="s">
        <v>1384</v>
      </c>
      <c r="B304" t="s">
        <v>33</v>
      </c>
      <c r="C304" t="s">
        <v>28</v>
      </c>
      <c r="D304" s="72" t="str">
        <f t="shared" si="7"/>
        <v>107_V_a</v>
      </c>
      <c r="E304" s="72">
        <v>30</v>
      </c>
      <c r="F304" s="72" t="s">
        <v>43</v>
      </c>
      <c r="G304" s="72" t="s">
        <v>1387</v>
      </c>
    </row>
    <row r="305" spans="1:7" x14ac:dyDescent="0.2">
      <c r="A305" s="5" t="s">
        <v>1398</v>
      </c>
      <c r="B305" s="6" t="s">
        <v>36</v>
      </c>
      <c r="C305" s="6" t="s">
        <v>28</v>
      </c>
      <c r="D305" s="72" t="str">
        <f t="shared" si="7"/>
        <v>108_O_a</v>
      </c>
      <c r="E305" s="72">
        <v>35</v>
      </c>
      <c r="F305" s="72" t="s">
        <v>49</v>
      </c>
      <c r="G305" s="72" t="s">
        <v>1401</v>
      </c>
    </row>
    <row r="306" spans="1:7" x14ac:dyDescent="0.2">
      <c r="A306" s="5" t="s">
        <v>1398</v>
      </c>
      <c r="B306" s="6" t="s">
        <v>27</v>
      </c>
      <c r="C306" s="6" t="s">
        <v>28</v>
      </c>
      <c r="D306" s="72" t="str">
        <f t="shared" si="7"/>
        <v>108_S_a</v>
      </c>
      <c r="E306" s="72">
        <v>13</v>
      </c>
      <c r="F306" s="72" t="s">
        <v>29</v>
      </c>
      <c r="G306" s="72" t="s">
        <v>1399</v>
      </c>
    </row>
    <row r="307" spans="1:7" x14ac:dyDescent="0.2">
      <c r="A307" s="1" t="s">
        <v>1398</v>
      </c>
      <c r="B307" t="s">
        <v>33</v>
      </c>
      <c r="C307" t="s">
        <v>28</v>
      </c>
      <c r="D307" s="72" t="str">
        <f t="shared" si="7"/>
        <v>108_V_a</v>
      </c>
      <c r="E307" s="72">
        <v>20</v>
      </c>
      <c r="F307" s="72" t="s">
        <v>70</v>
      </c>
      <c r="G307" s="72" t="s">
        <v>1400</v>
      </c>
    </row>
    <row r="308" spans="1:7" x14ac:dyDescent="0.2">
      <c r="A308" s="5" t="s">
        <v>1411</v>
      </c>
      <c r="B308" s="6" t="s">
        <v>36</v>
      </c>
      <c r="C308" s="6" t="s">
        <v>28</v>
      </c>
      <c r="D308" s="72" t="str">
        <f t="shared" si="7"/>
        <v>109_O_a</v>
      </c>
      <c r="E308" s="72">
        <v>12</v>
      </c>
      <c r="F308" s="72" t="s">
        <v>34</v>
      </c>
      <c r="G308" s="72" t="s">
        <v>1412</v>
      </c>
    </row>
    <row r="309" spans="1:7" x14ac:dyDescent="0.2">
      <c r="A309" s="5" t="s">
        <v>1411</v>
      </c>
      <c r="B309" s="6" t="s">
        <v>27</v>
      </c>
      <c r="C309" s="6" t="s">
        <v>28</v>
      </c>
      <c r="D309" s="72" t="str">
        <f t="shared" si="7"/>
        <v>109_S_a</v>
      </c>
      <c r="E309" s="72">
        <v>30</v>
      </c>
      <c r="F309" s="72" t="s">
        <v>68</v>
      </c>
      <c r="G309" s="72" t="s">
        <v>1413</v>
      </c>
    </row>
    <row r="310" spans="1:7" x14ac:dyDescent="0.2">
      <c r="A310" s="1" t="s">
        <v>1411</v>
      </c>
      <c r="B310" t="s">
        <v>33</v>
      </c>
      <c r="C310" t="s">
        <v>28</v>
      </c>
      <c r="D310" s="72" t="str">
        <f t="shared" si="7"/>
        <v>109_V_a</v>
      </c>
      <c r="E310" s="72">
        <v>35</v>
      </c>
      <c r="F310" s="72" t="s">
        <v>29</v>
      </c>
      <c r="G310" s="72" t="s">
        <v>1414</v>
      </c>
    </row>
    <row r="311" spans="1:7" x14ac:dyDescent="0.2">
      <c r="A311" s="5" t="s">
        <v>1424</v>
      </c>
      <c r="B311" s="6" t="s">
        <v>36</v>
      </c>
      <c r="C311" s="6" t="s">
        <v>28</v>
      </c>
      <c r="D311" s="72" t="str">
        <f t="shared" si="7"/>
        <v>110_O_a</v>
      </c>
      <c r="E311" s="72">
        <v>11</v>
      </c>
      <c r="F311" s="72" t="s">
        <v>49</v>
      </c>
      <c r="G311" s="72" t="s">
        <v>1425</v>
      </c>
    </row>
    <row r="312" spans="1:7" x14ac:dyDescent="0.2">
      <c r="A312" s="5" t="s">
        <v>1424</v>
      </c>
      <c r="B312" s="6" t="s">
        <v>27</v>
      </c>
      <c r="C312" s="6" t="s">
        <v>28</v>
      </c>
      <c r="D312" s="72" t="str">
        <f t="shared" si="7"/>
        <v>110_S_a</v>
      </c>
      <c r="E312" s="72">
        <v>14</v>
      </c>
      <c r="F312" s="72" t="s">
        <v>29</v>
      </c>
      <c r="G312" s="72" t="s">
        <v>1426</v>
      </c>
    </row>
    <row r="313" spans="1:7" x14ac:dyDescent="0.2">
      <c r="A313" s="1" t="s">
        <v>1424</v>
      </c>
      <c r="B313" t="s">
        <v>33</v>
      </c>
      <c r="C313" t="s">
        <v>28</v>
      </c>
      <c r="D313" s="72" t="str">
        <f t="shared" si="7"/>
        <v>110_V_a</v>
      </c>
      <c r="E313" s="72">
        <v>27</v>
      </c>
      <c r="F313" s="72" t="s">
        <v>29</v>
      </c>
      <c r="G313" s="72" t="s">
        <v>1427</v>
      </c>
    </row>
    <row r="314" spans="1:7" x14ac:dyDescent="0.2">
      <c r="A314" s="5" t="s">
        <v>1439</v>
      </c>
      <c r="B314" s="6" t="s">
        <v>36</v>
      </c>
      <c r="C314" s="6" t="s">
        <v>28</v>
      </c>
      <c r="D314" s="72" t="str">
        <f t="shared" si="7"/>
        <v>111_O_a</v>
      </c>
      <c r="E314" s="72">
        <v>7</v>
      </c>
      <c r="F314" s="72" t="s">
        <v>63</v>
      </c>
      <c r="G314" s="72" t="s">
        <v>1441</v>
      </c>
    </row>
    <row r="315" spans="1:7" x14ac:dyDescent="0.2">
      <c r="A315" s="5" t="s">
        <v>1439</v>
      </c>
      <c r="B315" s="6" t="s">
        <v>27</v>
      </c>
      <c r="C315" s="6" t="s">
        <v>28</v>
      </c>
      <c r="D315" s="72" t="str">
        <f t="shared" si="7"/>
        <v>111_S_a</v>
      </c>
      <c r="E315" s="72">
        <v>35</v>
      </c>
      <c r="F315" s="72" t="s">
        <v>68</v>
      </c>
      <c r="G315" s="72" t="s">
        <v>1442</v>
      </c>
    </row>
    <row r="316" spans="1:7" x14ac:dyDescent="0.2">
      <c r="A316" s="1" t="s">
        <v>1439</v>
      </c>
      <c r="B316" t="s">
        <v>33</v>
      </c>
      <c r="C316" t="s">
        <v>28</v>
      </c>
      <c r="D316" s="72" t="str">
        <f t="shared" si="7"/>
        <v>111_V_a</v>
      </c>
      <c r="E316" s="72">
        <v>4</v>
      </c>
      <c r="F316" s="72" t="s">
        <v>34</v>
      </c>
      <c r="G316" s="72" t="s">
        <v>1440</v>
      </c>
    </row>
    <row r="317" spans="1:7" x14ac:dyDescent="0.2">
      <c r="A317" s="5" t="s">
        <v>1452</v>
      </c>
      <c r="B317" s="6" t="s">
        <v>36</v>
      </c>
      <c r="C317" s="6" t="s">
        <v>28</v>
      </c>
      <c r="D317" s="72" t="str">
        <f t="shared" si="7"/>
        <v>112_O_a</v>
      </c>
      <c r="E317" s="72">
        <v>14</v>
      </c>
      <c r="F317" s="72" t="s">
        <v>49</v>
      </c>
      <c r="G317" s="72" t="s">
        <v>1454</v>
      </c>
    </row>
    <row r="318" spans="1:7" x14ac:dyDescent="0.2">
      <c r="A318" s="5" t="s">
        <v>1452</v>
      </c>
      <c r="B318" s="6" t="s">
        <v>27</v>
      </c>
      <c r="C318" s="6" t="s">
        <v>28</v>
      </c>
      <c r="D318" s="72" t="str">
        <f t="shared" si="7"/>
        <v>112_S_a</v>
      </c>
      <c r="E318" s="72">
        <v>22</v>
      </c>
      <c r="F318" s="72" t="s">
        <v>82</v>
      </c>
      <c r="G318" s="72" t="s">
        <v>1455</v>
      </c>
    </row>
    <row r="319" spans="1:7" x14ac:dyDescent="0.2">
      <c r="A319" s="1" t="s">
        <v>1452</v>
      </c>
      <c r="B319" t="s">
        <v>33</v>
      </c>
      <c r="C319" t="s">
        <v>28</v>
      </c>
      <c r="D319" s="72" t="str">
        <f t="shared" si="7"/>
        <v>112_V_a</v>
      </c>
      <c r="E319" s="72">
        <v>12</v>
      </c>
      <c r="F319" s="72" t="s">
        <v>29</v>
      </c>
      <c r="G319" s="72" t="s">
        <v>1453</v>
      </c>
    </row>
    <row r="320" spans="1:7" x14ac:dyDescent="0.2">
      <c r="A320" s="5" t="s">
        <v>1466</v>
      </c>
      <c r="B320" s="6" t="s">
        <v>36</v>
      </c>
      <c r="C320" s="6" t="s">
        <v>28</v>
      </c>
      <c r="D320" s="72" t="str">
        <f t="shared" si="7"/>
        <v>113_O_a</v>
      </c>
      <c r="E320" s="72">
        <v>21</v>
      </c>
      <c r="F320" s="72" t="s">
        <v>49</v>
      </c>
      <c r="G320" s="72" t="s">
        <v>1469</v>
      </c>
    </row>
    <row r="321" spans="1:7" x14ac:dyDescent="0.2">
      <c r="A321" s="5" t="s">
        <v>1466</v>
      </c>
      <c r="B321" s="6" t="s">
        <v>27</v>
      </c>
      <c r="C321" s="6" t="s">
        <v>28</v>
      </c>
      <c r="D321" s="72" t="str">
        <f t="shared" si="7"/>
        <v>113_S_a</v>
      </c>
      <c r="E321" s="72">
        <v>13</v>
      </c>
      <c r="F321" s="72" t="s">
        <v>41</v>
      </c>
      <c r="G321" s="72" t="s">
        <v>1467</v>
      </c>
    </row>
    <row r="322" spans="1:7" x14ac:dyDescent="0.2">
      <c r="A322" s="1" t="s">
        <v>1466</v>
      </c>
      <c r="B322" t="s">
        <v>33</v>
      </c>
      <c r="C322" t="s">
        <v>28</v>
      </c>
      <c r="D322" s="72" t="str">
        <f t="shared" ref="D322:D385" si="8">A322&amp;"_"&amp;B322&amp;"_"&amp;C322</f>
        <v>113_V_a</v>
      </c>
      <c r="E322" s="72">
        <v>15</v>
      </c>
      <c r="F322" s="72" t="s">
        <v>43</v>
      </c>
      <c r="G322" s="72" t="s">
        <v>1468</v>
      </c>
    </row>
    <row r="323" spans="1:7" x14ac:dyDescent="0.2">
      <c r="A323" s="5" t="s">
        <v>1479</v>
      </c>
      <c r="B323" s="6" t="s">
        <v>36</v>
      </c>
      <c r="C323" s="6" t="s">
        <v>28</v>
      </c>
      <c r="D323" s="72" t="str">
        <f t="shared" si="8"/>
        <v>114_O_a</v>
      </c>
      <c r="E323" s="72">
        <v>13</v>
      </c>
      <c r="F323" s="72" t="s">
        <v>70</v>
      </c>
      <c r="G323" s="72" t="s">
        <v>1480</v>
      </c>
    </row>
    <row r="324" spans="1:7" x14ac:dyDescent="0.2">
      <c r="A324" s="5" t="s">
        <v>1479</v>
      </c>
      <c r="B324" s="6" t="s">
        <v>27</v>
      </c>
      <c r="C324" s="6" t="s">
        <v>28</v>
      </c>
      <c r="D324" s="72" t="str">
        <f t="shared" si="8"/>
        <v>114_S_a</v>
      </c>
      <c r="E324" s="72">
        <v>22</v>
      </c>
      <c r="F324" s="72" t="s">
        <v>68</v>
      </c>
      <c r="G324" s="72" t="s">
        <v>1481</v>
      </c>
    </row>
    <row r="325" spans="1:7" x14ac:dyDescent="0.2">
      <c r="A325" s="1" t="s">
        <v>1479</v>
      </c>
      <c r="B325" t="s">
        <v>33</v>
      </c>
      <c r="C325" t="s">
        <v>28</v>
      </c>
      <c r="D325" s="72" t="str">
        <f t="shared" si="8"/>
        <v>114_V_a</v>
      </c>
      <c r="E325" s="72">
        <v>30</v>
      </c>
      <c r="F325" s="72" t="s">
        <v>29</v>
      </c>
      <c r="G325" s="72" t="s">
        <v>1482</v>
      </c>
    </row>
    <row r="326" spans="1:7" x14ac:dyDescent="0.2">
      <c r="A326" s="5" t="s">
        <v>1493</v>
      </c>
      <c r="B326" s="6" t="s">
        <v>36</v>
      </c>
      <c r="C326" s="6" t="s">
        <v>28</v>
      </c>
      <c r="D326" s="72" t="str">
        <f t="shared" si="8"/>
        <v>115_O_a</v>
      </c>
      <c r="E326" s="72">
        <v>36</v>
      </c>
      <c r="F326" s="72" t="s">
        <v>63</v>
      </c>
      <c r="G326" s="72" t="s">
        <v>1496</v>
      </c>
    </row>
    <row r="327" spans="1:7" x14ac:dyDescent="0.2">
      <c r="A327" s="5" t="s">
        <v>1493</v>
      </c>
      <c r="B327" s="6" t="s">
        <v>27</v>
      </c>
      <c r="C327" s="6" t="s">
        <v>28</v>
      </c>
      <c r="D327" s="72" t="str">
        <f t="shared" si="8"/>
        <v>115_S_a</v>
      </c>
      <c r="E327" s="72">
        <v>17</v>
      </c>
      <c r="F327" s="72" t="s">
        <v>70</v>
      </c>
      <c r="G327" s="72" t="s">
        <v>1494</v>
      </c>
    </row>
    <row r="328" spans="1:7" x14ac:dyDescent="0.2">
      <c r="A328" s="1" t="s">
        <v>1493</v>
      </c>
      <c r="B328" t="s">
        <v>33</v>
      </c>
      <c r="C328" t="s">
        <v>28</v>
      </c>
      <c r="D328" s="72" t="str">
        <f t="shared" si="8"/>
        <v>115_V_a</v>
      </c>
      <c r="E328" s="72">
        <v>34</v>
      </c>
      <c r="F328" s="72" t="s">
        <v>29</v>
      </c>
      <c r="G328" s="72" t="s">
        <v>1495</v>
      </c>
    </row>
    <row r="329" spans="1:7" x14ac:dyDescent="0.2">
      <c r="A329" s="5" t="s">
        <v>1506</v>
      </c>
      <c r="B329" s="6" t="s">
        <v>36</v>
      </c>
      <c r="C329" s="6" t="s">
        <v>28</v>
      </c>
      <c r="D329" s="72" t="str">
        <f t="shared" si="8"/>
        <v>116_O_a</v>
      </c>
      <c r="E329" s="72">
        <v>29</v>
      </c>
      <c r="F329" s="72" t="s">
        <v>29</v>
      </c>
      <c r="G329" s="72" t="s">
        <v>1509</v>
      </c>
    </row>
    <row r="330" spans="1:7" x14ac:dyDescent="0.2">
      <c r="A330" s="5" t="s">
        <v>1506</v>
      </c>
      <c r="B330" s="6" t="s">
        <v>27</v>
      </c>
      <c r="C330" s="6" t="s">
        <v>28</v>
      </c>
      <c r="D330" s="72" t="str">
        <f t="shared" si="8"/>
        <v>116_S_a</v>
      </c>
      <c r="E330" s="72">
        <v>4</v>
      </c>
      <c r="F330" s="72" t="s">
        <v>63</v>
      </c>
      <c r="G330" s="72" t="s">
        <v>1507</v>
      </c>
    </row>
    <row r="331" spans="1:7" x14ac:dyDescent="0.2">
      <c r="A331" s="1" t="s">
        <v>1506</v>
      </c>
      <c r="B331" t="s">
        <v>33</v>
      </c>
      <c r="C331" t="s">
        <v>28</v>
      </c>
      <c r="D331" s="72" t="str">
        <f t="shared" si="8"/>
        <v>116_V_a</v>
      </c>
      <c r="E331" s="72">
        <v>5</v>
      </c>
      <c r="F331" s="72" t="s">
        <v>29</v>
      </c>
      <c r="G331" s="72" t="s">
        <v>1508</v>
      </c>
    </row>
    <row r="332" spans="1:7" x14ac:dyDescent="0.2">
      <c r="A332" s="5" t="s">
        <v>1519</v>
      </c>
      <c r="B332" s="6" t="s">
        <v>36</v>
      </c>
      <c r="C332" s="6" t="s">
        <v>28</v>
      </c>
      <c r="D332" s="72" t="str">
        <f t="shared" si="8"/>
        <v>117_O_a</v>
      </c>
      <c r="E332" s="72">
        <v>30</v>
      </c>
      <c r="F332" s="72" t="s">
        <v>70</v>
      </c>
      <c r="G332" s="72" t="s">
        <v>1521</v>
      </c>
    </row>
    <row r="333" spans="1:7" x14ac:dyDescent="0.2">
      <c r="A333" s="5" t="s">
        <v>1519</v>
      </c>
      <c r="B333" s="6" t="s">
        <v>27</v>
      </c>
      <c r="C333" s="6" t="s">
        <v>28</v>
      </c>
      <c r="D333" s="72" t="str">
        <f t="shared" si="8"/>
        <v>117_S_a</v>
      </c>
      <c r="E333" s="72">
        <v>32</v>
      </c>
      <c r="F333" s="72" t="s">
        <v>43</v>
      </c>
      <c r="G333" s="72" t="s">
        <v>1522</v>
      </c>
    </row>
    <row r="334" spans="1:7" x14ac:dyDescent="0.2">
      <c r="A334" s="1" t="s">
        <v>1519</v>
      </c>
      <c r="B334" t="s">
        <v>33</v>
      </c>
      <c r="C334" t="s">
        <v>28</v>
      </c>
      <c r="D334" s="72" t="str">
        <f t="shared" si="8"/>
        <v>117_V_a</v>
      </c>
      <c r="E334" s="72">
        <v>24</v>
      </c>
      <c r="F334" s="72" t="s">
        <v>63</v>
      </c>
      <c r="G334" s="72" t="s">
        <v>1520</v>
      </c>
    </row>
    <row r="335" spans="1:7" x14ac:dyDescent="0.2">
      <c r="A335" s="5" t="s">
        <v>1532</v>
      </c>
      <c r="B335" s="6" t="s">
        <v>36</v>
      </c>
      <c r="C335" s="6" t="s">
        <v>28</v>
      </c>
      <c r="D335" s="72" t="str">
        <f t="shared" si="8"/>
        <v>118_O_a</v>
      </c>
      <c r="E335" s="72">
        <v>9</v>
      </c>
      <c r="F335" s="72" t="s">
        <v>39</v>
      </c>
      <c r="G335" s="72" t="s">
        <v>1535</v>
      </c>
    </row>
    <row r="336" spans="1:7" x14ac:dyDescent="0.2">
      <c r="A336" s="5" t="s">
        <v>1532</v>
      </c>
      <c r="B336" s="6" t="s">
        <v>27</v>
      </c>
      <c r="C336" s="6" t="s">
        <v>28</v>
      </c>
      <c r="D336" s="72" t="str">
        <f t="shared" si="8"/>
        <v>118_S_a</v>
      </c>
      <c r="E336" s="72">
        <v>7</v>
      </c>
      <c r="F336" s="72" t="s">
        <v>70</v>
      </c>
      <c r="G336" s="72" t="s">
        <v>1533</v>
      </c>
    </row>
    <row r="337" spans="1:7" x14ac:dyDescent="0.2">
      <c r="A337" s="1" t="s">
        <v>1532</v>
      </c>
      <c r="B337" t="s">
        <v>33</v>
      </c>
      <c r="C337" t="s">
        <v>28</v>
      </c>
      <c r="D337" s="72" t="str">
        <f t="shared" si="8"/>
        <v>118_V_a</v>
      </c>
      <c r="E337" s="72">
        <v>26</v>
      </c>
      <c r="F337" s="72" t="s">
        <v>34</v>
      </c>
      <c r="G337" s="72" t="s">
        <v>1537</v>
      </c>
    </row>
    <row r="338" spans="1:7" x14ac:dyDescent="0.2">
      <c r="A338" s="5" t="s">
        <v>1551</v>
      </c>
      <c r="B338" s="6" t="s">
        <v>36</v>
      </c>
      <c r="C338" s="6" t="s">
        <v>28</v>
      </c>
      <c r="D338" s="72" t="str">
        <f t="shared" si="8"/>
        <v>119_O_a</v>
      </c>
      <c r="E338" s="72">
        <v>31</v>
      </c>
      <c r="F338" s="72" t="s">
        <v>63</v>
      </c>
      <c r="G338" s="72" t="s">
        <v>1554</v>
      </c>
    </row>
    <row r="339" spans="1:7" x14ac:dyDescent="0.2">
      <c r="A339" s="5" t="s">
        <v>1551</v>
      </c>
      <c r="B339" s="6" t="s">
        <v>27</v>
      </c>
      <c r="C339" s="6" t="s">
        <v>28</v>
      </c>
      <c r="D339" s="72" t="str">
        <f t="shared" si="8"/>
        <v>119_S_a</v>
      </c>
      <c r="E339" s="72">
        <v>13</v>
      </c>
      <c r="F339" s="72" t="s">
        <v>68</v>
      </c>
      <c r="G339" s="72" t="s">
        <v>1553</v>
      </c>
    </row>
    <row r="340" spans="1:7" x14ac:dyDescent="0.2">
      <c r="A340" s="1" t="s">
        <v>1551</v>
      </c>
      <c r="B340" t="s">
        <v>33</v>
      </c>
      <c r="C340" t="s">
        <v>28</v>
      </c>
      <c r="D340" s="72" t="str">
        <f t="shared" si="8"/>
        <v>119_V_a</v>
      </c>
      <c r="E340" s="72">
        <v>1</v>
      </c>
      <c r="F340" s="72" t="s">
        <v>82</v>
      </c>
      <c r="G340" s="72" t="s">
        <v>1552</v>
      </c>
    </row>
    <row r="341" spans="1:7" x14ac:dyDescent="0.2">
      <c r="A341" s="5" t="s">
        <v>1564</v>
      </c>
      <c r="B341" s="6" t="s">
        <v>36</v>
      </c>
      <c r="C341" s="6" t="s">
        <v>28</v>
      </c>
      <c r="D341" s="72" t="str">
        <f t="shared" si="8"/>
        <v>120_O_a</v>
      </c>
      <c r="E341" s="72">
        <v>16</v>
      </c>
      <c r="F341" s="72" t="s">
        <v>39</v>
      </c>
      <c r="G341" s="72" t="s">
        <v>1565</v>
      </c>
    </row>
    <row r="342" spans="1:7" x14ac:dyDescent="0.2">
      <c r="A342" s="5" t="s">
        <v>1564</v>
      </c>
      <c r="B342" s="6" t="s">
        <v>27</v>
      </c>
      <c r="C342" s="6" t="s">
        <v>28</v>
      </c>
      <c r="D342" s="72" t="str">
        <f t="shared" si="8"/>
        <v>120_S_a</v>
      </c>
      <c r="E342" s="72">
        <v>18</v>
      </c>
      <c r="F342" s="72" t="s">
        <v>43</v>
      </c>
      <c r="G342" s="72" t="s">
        <v>1566</v>
      </c>
    </row>
    <row r="343" spans="1:7" x14ac:dyDescent="0.2">
      <c r="A343" s="1" t="s">
        <v>1564</v>
      </c>
      <c r="B343" t="s">
        <v>33</v>
      </c>
      <c r="C343" t="s">
        <v>28</v>
      </c>
      <c r="D343" s="72" t="str">
        <f t="shared" si="8"/>
        <v>120_V_a</v>
      </c>
      <c r="E343" s="72">
        <v>29</v>
      </c>
      <c r="F343" s="72" t="s">
        <v>34</v>
      </c>
      <c r="G343" s="72" t="s">
        <v>1567</v>
      </c>
    </row>
    <row r="344" spans="1:7" x14ac:dyDescent="0.2">
      <c r="A344" s="5" t="s">
        <v>1577</v>
      </c>
      <c r="B344" s="6" t="s">
        <v>36</v>
      </c>
      <c r="C344" s="6" t="s">
        <v>28</v>
      </c>
      <c r="D344" s="72" t="str">
        <f t="shared" si="8"/>
        <v>121_O_a</v>
      </c>
      <c r="E344" s="72">
        <v>6</v>
      </c>
      <c r="F344" s="72" t="s">
        <v>68</v>
      </c>
      <c r="G344" s="72" t="s">
        <v>1578</v>
      </c>
    </row>
    <row r="345" spans="1:7" x14ac:dyDescent="0.2">
      <c r="A345" s="5" t="s">
        <v>1577</v>
      </c>
      <c r="B345" s="6" t="s">
        <v>27</v>
      </c>
      <c r="C345" s="6" t="s">
        <v>28</v>
      </c>
      <c r="D345" s="72" t="str">
        <f t="shared" si="8"/>
        <v>121_S_a</v>
      </c>
      <c r="E345" s="72">
        <v>27</v>
      </c>
      <c r="F345" s="72" t="s">
        <v>70</v>
      </c>
      <c r="G345" s="72" t="s">
        <v>1580</v>
      </c>
    </row>
    <row r="346" spans="1:7" x14ac:dyDescent="0.2">
      <c r="A346" s="1" t="s">
        <v>1577</v>
      </c>
      <c r="B346" t="s">
        <v>33</v>
      </c>
      <c r="C346" t="s">
        <v>28</v>
      </c>
      <c r="D346" s="72" t="str">
        <f t="shared" si="8"/>
        <v>121_V_a</v>
      </c>
      <c r="E346" s="72">
        <v>13</v>
      </c>
      <c r="F346" s="72" t="s">
        <v>34</v>
      </c>
      <c r="G346" s="72" t="s">
        <v>1579</v>
      </c>
    </row>
    <row r="347" spans="1:7" x14ac:dyDescent="0.2">
      <c r="A347" s="5" t="s">
        <v>1593</v>
      </c>
      <c r="B347" s="6" t="s">
        <v>36</v>
      </c>
      <c r="C347" s="6" t="s">
        <v>28</v>
      </c>
      <c r="D347" s="72" t="str">
        <f t="shared" si="8"/>
        <v>122_O_a</v>
      </c>
      <c r="E347" s="72">
        <v>20</v>
      </c>
      <c r="F347" s="72" t="s">
        <v>68</v>
      </c>
      <c r="G347" s="72" t="s">
        <v>1596</v>
      </c>
    </row>
    <row r="348" spans="1:7" x14ac:dyDescent="0.2">
      <c r="A348" s="5" t="s">
        <v>1593</v>
      </c>
      <c r="B348" s="6" t="s">
        <v>27</v>
      </c>
      <c r="C348" s="6" t="s">
        <v>28</v>
      </c>
      <c r="D348" s="72" t="str">
        <f t="shared" si="8"/>
        <v>122_S_a</v>
      </c>
      <c r="E348" s="72">
        <v>6</v>
      </c>
      <c r="F348" s="72" t="s">
        <v>70</v>
      </c>
      <c r="G348" s="72" t="s">
        <v>1594</v>
      </c>
    </row>
    <row r="349" spans="1:7" x14ac:dyDescent="0.2">
      <c r="A349" s="1" t="s">
        <v>1593</v>
      </c>
      <c r="B349" t="s">
        <v>33</v>
      </c>
      <c r="C349" t="s">
        <v>28</v>
      </c>
      <c r="D349" s="72" t="str">
        <f t="shared" si="8"/>
        <v>122_V_a</v>
      </c>
      <c r="E349" s="72">
        <v>17</v>
      </c>
      <c r="F349" s="72" t="s">
        <v>29</v>
      </c>
      <c r="G349" s="72" t="s">
        <v>1595</v>
      </c>
    </row>
    <row r="350" spans="1:7" x14ac:dyDescent="0.2">
      <c r="A350" s="5" t="s">
        <v>1606</v>
      </c>
      <c r="B350" s="6" t="s">
        <v>36</v>
      </c>
      <c r="C350" s="6" t="s">
        <v>28</v>
      </c>
      <c r="D350" s="72" t="str">
        <f t="shared" si="8"/>
        <v>123_O_a</v>
      </c>
      <c r="E350" s="72">
        <v>17</v>
      </c>
      <c r="F350" s="72" t="s">
        <v>63</v>
      </c>
      <c r="G350" s="72" t="s">
        <v>1608</v>
      </c>
    </row>
    <row r="351" spans="1:7" x14ac:dyDescent="0.2">
      <c r="A351" s="5" t="s">
        <v>1606</v>
      </c>
      <c r="B351" s="6" t="s">
        <v>27</v>
      </c>
      <c r="C351" s="6" t="s">
        <v>28</v>
      </c>
      <c r="D351" s="72" t="str">
        <f t="shared" si="8"/>
        <v>123_S_a</v>
      </c>
      <c r="E351" s="72">
        <v>23</v>
      </c>
      <c r="F351" s="72" t="s">
        <v>49</v>
      </c>
      <c r="G351" s="72" t="s">
        <v>1609</v>
      </c>
    </row>
    <row r="352" spans="1:7" x14ac:dyDescent="0.2">
      <c r="A352" s="1" t="s">
        <v>1606</v>
      </c>
      <c r="B352" t="s">
        <v>33</v>
      </c>
      <c r="C352" t="s">
        <v>28</v>
      </c>
      <c r="D352" s="72" t="str">
        <f t="shared" si="8"/>
        <v>123_V_a</v>
      </c>
      <c r="E352" s="72">
        <v>16</v>
      </c>
      <c r="F352" s="72" t="s">
        <v>82</v>
      </c>
      <c r="G352" s="72" t="s">
        <v>1607</v>
      </c>
    </row>
    <row r="353" spans="1:7" x14ac:dyDescent="0.2">
      <c r="A353" s="5" t="s">
        <v>1619</v>
      </c>
      <c r="B353" s="6" t="s">
        <v>36</v>
      </c>
      <c r="C353" s="6" t="s">
        <v>28</v>
      </c>
      <c r="D353" s="72" t="str">
        <f t="shared" si="8"/>
        <v>EXC_O_a</v>
      </c>
      <c r="E353" s="72">
        <v>1</v>
      </c>
      <c r="F353" s="72" t="s">
        <v>39</v>
      </c>
      <c r="G353" s="72" t="s">
        <v>1620</v>
      </c>
    </row>
    <row r="354" spans="1:7" x14ac:dyDescent="0.2">
      <c r="A354" s="5" t="s">
        <v>1619</v>
      </c>
      <c r="B354" s="6" t="s">
        <v>27</v>
      </c>
      <c r="C354" s="6" t="s">
        <v>28</v>
      </c>
      <c r="D354" s="72" t="str">
        <f t="shared" si="8"/>
        <v>EXC_S_a</v>
      </c>
      <c r="E354" s="72">
        <v>12</v>
      </c>
      <c r="F354" s="72" t="s">
        <v>43</v>
      </c>
      <c r="G354" s="72" t="s">
        <v>1621</v>
      </c>
    </row>
    <row r="355" spans="1:7" x14ac:dyDescent="0.2">
      <c r="A355" s="1" t="s">
        <v>1619</v>
      </c>
      <c r="B355" t="s">
        <v>33</v>
      </c>
      <c r="C355" t="s">
        <v>28</v>
      </c>
      <c r="D355" s="72" t="str">
        <f t="shared" si="8"/>
        <v>EXC_V_a</v>
      </c>
      <c r="E355" s="72">
        <v>36</v>
      </c>
      <c r="F355" s="72" t="s">
        <v>49</v>
      </c>
      <c r="G355" s="72" t="s">
        <v>1622</v>
      </c>
    </row>
    <row r="356" spans="1:7" x14ac:dyDescent="0.2">
      <c r="A356" s="5" t="s">
        <v>1675</v>
      </c>
      <c r="B356" s="6" t="s">
        <v>36</v>
      </c>
      <c r="C356" s="6" t="s">
        <v>28</v>
      </c>
      <c r="D356" s="72" t="str">
        <f t="shared" si="8"/>
        <v>NIG_O_a</v>
      </c>
      <c r="E356" s="72">
        <v>28</v>
      </c>
      <c r="F356" s="72" t="s">
        <v>41</v>
      </c>
      <c r="G356" s="72" t="s">
        <v>1678</v>
      </c>
    </row>
    <row r="357" spans="1:7" x14ac:dyDescent="0.2">
      <c r="A357" s="5" t="s">
        <v>1675</v>
      </c>
      <c r="B357" s="6" t="s">
        <v>27</v>
      </c>
      <c r="C357" s="6" t="s">
        <v>28</v>
      </c>
      <c r="D357" s="72" t="str">
        <f t="shared" si="8"/>
        <v>NIG_S_a</v>
      </c>
      <c r="E357" s="72">
        <v>8</v>
      </c>
      <c r="F357" s="72" t="s">
        <v>70</v>
      </c>
      <c r="G357" s="72" t="s">
        <v>1677</v>
      </c>
    </row>
    <row r="358" spans="1:7" x14ac:dyDescent="0.2">
      <c r="A358" s="1" t="s">
        <v>1675</v>
      </c>
      <c r="B358" t="s">
        <v>33</v>
      </c>
      <c r="C358" t="s">
        <v>28</v>
      </c>
      <c r="D358" s="72" t="str">
        <f t="shared" si="8"/>
        <v>NIG_V_a</v>
      </c>
      <c r="E358" s="72">
        <v>5</v>
      </c>
      <c r="F358" s="72" t="s">
        <v>70</v>
      </c>
      <c r="G358" s="72" t="s">
        <v>1676</v>
      </c>
    </row>
    <row r="359" spans="1:7" x14ac:dyDescent="0.2">
      <c r="A359" s="5" t="s">
        <v>1688</v>
      </c>
      <c r="B359" s="6" t="s">
        <v>36</v>
      </c>
      <c r="C359" s="6" t="s">
        <v>28</v>
      </c>
      <c r="D359" s="72" t="str">
        <f t="shared" si="8"/>
        <v>UNI_O_a</v>
      </c>
      <c r="E359" s="72">
        <v>9</v>
      </c>
      <c r="F359" s="72" t="s">
        <v>29</v>
      </c>
      <c r="G359" s="72" t="s">
        <v>1690</v>
      </c>
    </row>
    <row r="360" spans="1:7" x14ac:dyDescent="0.2">
      <c r="A360" s="5" t="s">
        <v>1688</v>
      </c>
      <c r="B360" s="6" t="s">
        <v>27</v>
      </c>
      <c r="C360" s="6" t="s">
        <v>28</v>
      </c>
      <c r="D360" s="72" t="str">
        <f t="shared" si="8"/>
        <v>UNI_S_a</v>
      </c>
      <c r="E360" s="72">
        <v>33</v>
      </c>
      <c r="F360" s="72" t="s">
        <v>41</v>
      </c>
      <c r="G360" s="72" t="s">
        <v>1692</v>
      </c>
    </row>
    <row r="361" spans="1:7" x14ac:dyDescent="0.2">
      <c r="A361" s="1" t="s">
        <v>1688</v>
      </c>
      <c r="B361" t="s">
        <v>33</v>
      </c>
      <c r="C361" t="s">
        <v>28</v>
      </c>
      <c r="D361" s="72" t="str">
        <f t="shared" si="8"/>
        <v>UNI_V_a</v>
      </c>
      <c r="E361" s="72">
        <v>8</v>
      </c>
      <c r="F361" s="72" t="s">
        <v>29</v>
      </c>
      <c r="G361" s="72" t="s">
        <v>1689</v>
      </c>
    </row>
    <row r="362" spans="1:7" s="19" customFormat="1" x14ac:dyDescent="0.2">
      <c r="A362" s="17" t="s">
        <v>26</v>
      </c>
      <c r="B362" s="18" t="s">
        <v>36</v>
      </c>
      <c r="C362" s="18" t="s">
        <v>38</v>
      </c>
      <c r="D362" s="72" t="str">
        <f t="shared" si="8"/>
        <v>001_O_b</v>
      </c>
      <c r="E362" s="72">
        <v>38</v>
      </c>
      <c r="F362" s="72" t="s">
        <v>39</v>
      </c>
      <c r="G362" s="72" t="s">
        <v>40</v>
      </c>
    </row>
    <row r="363" spans="1:7" x14ac:dyDescent="0.2">
      <c r="A363" s="5" t="s">
        <v>26</v>
      </c>
      <c r="B363" s="6" t="s">
        <v>27</v>
      </c>
      <c r="C363" s="6" t="s">
        <v>38</v>
      </c>
      <c r="D363" s="72" t="str">
        <f t="shared" si="8"/>
        <v>001_S_b</v>
      </c>
      <c r="E363" s="72">
        <v>63</v>
      </c>
      <c r="F363" s="72" t="s">
        <v>43</v>
      </c>
      <c r="G363" s="72" t="s">
        <v>44</v>
      </c>
    </row>
    <row r="364" spans="1:7" x14ac:dyDescent="0.2">
      <c r="A364" s="2" t="s">
        <v>26</v>
      </c>
      <c r="B364" t="s">
        <v>33</v>
      </c>
      <c r="C364" t="s">
        <v>38</v>
      </c>
      <c r="D364" s="72" t="str">
        <f t="shared" si="8"/>
        <v>001_V_b</v>
      </c>
      <c r="E364" s="72">
        <v>50</v>
      </c>
      <c r="F364" s="72" t="s">
        <v>41</v>
      </c>
      <c r="G364" s="72" t="s">
        <v>42</v>
      </c>
    </row>
    <row r="365" spans="1:7" x14ac:dyDescent="0.2">
      <c r="A365" s="5" t="s">
        <v>59</v>
      </c>
      <c r="B365" s="6" t="s">
        <v>36</v>
      </c>
      <c r="C365" s="6" t="s">
        <v>38</v>
      </c>
      <c r="D365" s="72" t="str">
        <f t="shared" si="8"/>
        <v>002_O_b</v>
      </c>
      <c r="E365" s="72">
        <v>66</v>
      </c>
      <c r="F365" s="72" t="s">
        <v>68</v>
      </c>
      <c r="G365" s="72" t="s">
        <v>69</v>
      </c>
    </row>
    <row r="366" spans="1:7" x14ac:dyDescent="0.2">
      <c r="A366" s="5" t="s">
        <v>59</v>
      </c>
      <c r="B366" s="6" t="s">
        <v>27</v>
      </c>
      <c r="C366" s="6" t="s">
        <v>38</v>
      </c>
      <c r="D366" s="72" t="str">
        <f t="shared" si="8"/>
        <v>002_S_b</v>
      </c>
      <c r="E366" s="72">
        <v>64</v>
      </c>
      <c r="F366" s="72" t="s">
        <v>49</v>
      </c>
      <c r="G366" s="72" t="s">
        <v>66</v>
      </c>
    </row>
    <row r="367" spans="1:7" x14ac:dyDescent="0.2">
      <c r="A367" s="2" t="s">
        <v>59</v>
      </c>
      <c r="B367" t="s">
        <v>33</v>
      </c>
      <c r="C367" t="s">
        <v>38</v>
      </c>
      <c r="D367" s="72" t="str">
        <f t="shared" si="8"/>
        <v>002_V_b</v>
      </c>
      <c r="E367" s="72">
        <v>39</v>
      </c>
      <c r="F367" s="72" t="s">
        <v>63</v>
      </c>
      <c r="G367" s="72" t="s">
        <v>65</v>
      </c>
    </row>
    <row r="368" spans="1:7" x14ac:dyDescent="0.2">
      <c r="A368" s="5" t="s">
        <v>79</v>
      </c>
      <c r="B368" s="6" t="s">
        <v>36</v>
      </c>
      <c r="C368" s="6" t="s">
        <v>38</v>
      </c>
      <c r="D368" s="72" t="str">
        <f t="shared" si="8"/>
        <v>003_O_b</v>
      </c>
      <c r="E368" s="72">
        <v>49</v>
      </c>
      <c r="F368" s="72" t="s">
        <v>41</v>
      </c>
      <c r="G368" s="72" t="s">
        <v>86</v>
      </c>
    </row>
    <row r="369" spans="1:7" x14ac:dyDescent="0.2">
      <c r="A369" s="5" t="s">
        <v>79</v>
      </c>
      <c r="B369" s="6" t="s">
        <v>27</v>
      </c>
      <c r="C369" s="6" t="s">
        <v>38</v>
      </c>
      <c r="D369" s="72" t="str">
        <f t="shared" si="8"/>
        <v>003_S_b</v>
      </c>
      <c r="E369" s="72">
        <v>45</v>
      </c>
      <c r="F369" s="72" t="s">
        <v>34</v>
      </c>
      <c r="G369" s="72" t="s">
        <v>84</v>
      </c>
    </row>
    <row r="370" spans="1:7" x14ac:dyDescent="0.2">
      <c r="A370" s="2" t="s">
        <v>79</v>
      </c>
      <c r="B370" t="s">
        <v>33</v>
      </c>
      <c r="C370" t="s">
        <v>38</v>
      </c>
      <c r="D370" s="72" t="str">
        <f t="shared" si="8"/>
        <v>003_V_b</v>
      </c>
      <c r="E370" s="72">
        <v>57</v>
      </c>
      <c r="F370" s="72" t="s">
        <v>29</v>
      </c>
      <c r="G370" s="72" t="s">
        <v>87</v>
      </c>
    </row>
    <row r="371" spans="1:7" x14ac:dyDescent="0.2">
      <c r="A371" s="5" t="s">
        <v>94</v>
      </c>
      <c r="B371" s="6" t="s">
        <v>36</v>
      </c>
      <c r="C371" s="6" t="s">
        <v>38</v>
      </c>
      <c r="D371" s="72" t="str">
        <f t="shared" si="8"/>
        <v>004_O_b</v>
      </c>
      <c r="E371" s="72">
        <v>58</v>
      </c>
      <c r="F371" s="72" t="s">
        <v>34</v>
      </c>
      <c r="G371" s="72" t="s">
        <v>99</v>
      </c>
    </row>
    <row r="372" spans="1:7" x14ac:dyDescent="0.2">
      <c r="A372" s="5" t="s">
        <v>94</v>
      </c>
      <c r="B372" s="6" t="s">
        <v>27</v>
      </c>
      <c r="C372" s="6" t="s">
        <v>38</v>
      </c>
      <c r="D372" s="72" t="str">
        <f t="shared" si="8"/>
        <v>004_S_b</v>
      </c>
      <c r="E372" s="72">
        <v>66</v>
      </c>
      <c r="F372" s="72" t="s">
        <v>63</v>
      </c>
      <c r="G372" s="72" t="s">
        <v>100</v>
      </c>
    </row>
    <row r="373" spans="1:7" x14ac:dyDescent="0.2">
      <c r="A373" s="2" t="s">
        <v>94</v>
      </c>
      <c r="B373" t="s">
        <v>33</v>
      </c>
      <c r="C373" t="s">
        <v>38</v>
      </c>
      <c r="D373" s="72" t="str">
        <f t="shared" si="8"/>
        <v>004_V_b</v>
      </c>
      <c r="E373" s="72">
        <v>51</v>
      </c>
      <c r="F373" s="72" t="s">
        <v>70</v>
      </c>
      <c r="G373" s="72" t="s">
        <v>98</v>
      </c>
    </row>
    <row r="374" spans="1:7" x14ac:dyDescent="0.2">
      <c r="A374" s="5" t="s">
        <v>107</v>
      </c>
      <c r="B374" s="6" t="s">
        <v>36</v>
      </c>
      <c r="C374" s="6" t="s">
        <v>38</v>
      </c>
      <c r="D374" s="72" t="str">
        <f t="shared" si="8"/>
        <v>005_O_b</v>
      </c>
      <c r="E374" s="72">
        <v>44</v>
      </c>
      <c r="F374" s="72" t="s">
        <v>70</v>
      </c>
      <c r="G374" s="72" t="s">
        <v>111</v>
      </c>
    </row>
    <row r="375" spans="1:7" x14ac:dyDescent="0.2">
      <c r="A375" s="5" t="s">
        <v>107</v>
      </c>
      <c r="B375" s="6" t="s">
        <v>27</v>
      </c>
      <c r="C375" s="6" t="s">
        <v>38</v>
      </c>
      <c r="D375" s="72" t="str">
        <f t="shared" si="8"/>
        <v>005_S_b</v>
      </c>
      <c r="E375" s="72">
        <v>71</v>
      </c>
      <c r="F375" s="72" t="s">
        <v>49</v>
      </c>
      <c r="G375" s="72" t="s">
        <v>113</v>
      </c>
    </row>
    <row r="376" spans="1:7" x14ac:dyDescent="0.2">
      <c r="A376" s="2" t="s">
        <v>107</v>
      </c>
      <c r="B376" t="s">
        <v>33</v>
      </c>
      <c r="C376" t="s">
        <v>38</v>
      </c>
      <c r="D376" s="72" t="str">
        <f t="shared" si="8"/>
        <v>005_V_b</v>
      </c>
      <c r="E376" s="72">
        <v>71</v>
      </c>
      <c r="F376" s="72" t="s">
        <v>34</v>
      </c>
      <c r="G376" s="72" t="s">
        <v>112</v>
      </c>
    </row>
    <row r="377" spans="1:7" x14ac:dyDescent="0.2">
      <c r="A377" s="5" t="s">
        <v>120</v>
      </c>
      <c r="B377" s="6" t="s">
        <v>36</v>
      </c>
      <c r="C377" s="6" t="s">
        <v>38</v>
      </c>
      <c r="D377" s="72" t="str">
        <f t="shared" si="8"/>
        <v>006_O_b</v>
      </c>
      <c r="E377" s="72">
        <v>57</v>
      </c>
      <c r="F377" s="72" t="s">
        <v>63</v>
      </c>
      <c r="G377" s="72" t="s">
        <v>125</v>
      </c>
    </row>
    <row r="378" spans="1:7" x14ac:dyDescent="0.2">
      <c r="A378" s="5" t="s">
        <v>120</v>
      </c>
      <c r="B378" s="6" t="s">
        <v>27</v>
      </c>
      <c r="C378" s="6" t="s">
        <v>38</v>
      </c>
      <c r="D378" s="72" t="str">
        <f t="shared" si="8"/>
        <v>006_S_b</v>
      </c>
      <c r="E378" s="72">
        <v>70</v>
      </c>
      <c r="F378" s="72" t="s">
        <v>82</v>
      </c>
      <c r="G378" s="72" t="s">
        <v>126</v>
      </c>
    </row>
    <row r="379" spans="1:7" x14ac:dyDescent="0.2">
      <c r="A379" s="2" t="s">
        <v>120</v>
      </c>
      <c r="B379" t="s">
        <v>33</v>
      </c>
      <c r="C379" t="s">
        <v>38</v>
      </c>
      <c r="D379" s="72" t="str">
        <f t="shared" si="8"/>
        <v>006_V_b</v>
      </c>
      <c r="E379" s="72">
        <v>51</v>
      </c>
      <c r="F379" s="72" t="s">
        <v>63</v>
      </c>
      <c r="G379" s="72" t="s">
        <v>124</v>
      </c>
    </row>
    <row r="380" spans="1:7" x14ac:dyDescent="0.2">
      <c r="A380" s="5" t="s">
        <v>134</v>
      </c>
      <c r="B380" s="6" t="s">
        <v>36</v>
      </c>
      <c r="C380" s="6" t="s">
        <v>38</v>
      </c>
      <c r="D380" s="72" t="str">
        <f t="shared" si="8"/>
        <v>007_O_b</v>
      </c>
      <c r="E380" s="72">
        <v>57</v>
      </c>
      <c r="F380" s="72" t="s">
        <v>82</v>
      </c>
      <c r="G380" s="72" t="s">
        <v>139</v>
      </c>
    </row>
    <row r="381" spans="1:7" x14ac:dyDescent="0.2">
      <c r="A381" s="5" t="s">
        <v>134</v>
      </c>
      <c r="B381" s="6" t="s">
        <v>27</v>
      </c>
      <c r="C381" s="6" t="s">
        <v>38</v>
      </c>
      <c r="D381" s="72" t="str">
        <f t="shared" si="8"/>
        <v>007_S_b</v>
      </c>
      <c r="E381" s="72">
        <v>61</v>
      </c>
      <c r="F381" s="72" t="s">
        <v>49</v>
      </c>
      <c r="G381" s="72" t="s">
        <v>141</v>
      </c>
    </row>
    <row r="382" spans="1:7" x14ac:dyDescent="0.2">
      <c r="A382" s="2" t="s">
        <v>134</v>
      </c>
      <c r="B382" t="s">
        <v>33</v>
      </c>
      <c r="C382" t="s">
        <v>38</v>
      </c>
      <c r="D382" s="72" t="str">
        <f t="shared" si="8"/>
        <v>007_V_b</v>
      </c>
      <c r="E382" s="72">
        <v>37</v>
      </c>
      <c r="F382" s="72" t="s">
        <v>34</v>
      </c>
      <c r="G382" s="72" t="s">
        <v>138</v>
      </c>
    </row>
    <row r="383" spans="1:7" x14ac:dyDescent="0.2">
      <c r="A383" s="5" t="s">
        <v>150</v>
      </c>
      <c r="B383" s="6" t="s">
        <v>36</v>
      </c>
      <c r="C383" s="6" t="s">
        <v>38</v>
      </c>
      <c r="D383" s="72" t="str">
        <f t="shared" si="8"/>
        <v>008_O_b</v>
      </c>
      <c r="E383" s="72">
        <v>51</v>
      </c>
      <c r="F383" s="72" t="s">
        <v>82</v>
      </c>
      <c r="G383" s="72" t="s">
        <v>154</v>
      </c>
    </row>
    <row r="384" spans="1:7" x14ac:dyDescent="0.2">
      <c r="A384" s="5" t="s">
        <v>150</v>
      </c>
      <c r="B384" s="6" t="s">
        <v>27</v>
      </c>
      <c r="C384" s="6" t="s">
        <v>38</v>
      </c>
      <c r="D384" s="72" t="str">
        <f t="shared" si="8"/>
        <v>008_S_b</v>
      </c>
      <c r="E384" s="72">
        <v>68</v>
      </c>
      <c r="F384" s="72" t="s">
        <v>49</v>
      </c>
      <c r="G384" s="72" t="s">
        <v>156</v>
      </c>
    </row>
    <row r="385" spans="1:7" x14ac:dyDescent="0.2">
      <c r="A385" s="2" t="s">
        <v>150</v>
      </c>
      <c r="B385" t="s">
        <v>33</v>
      </c>
      <c r="C385" t="s">
        <v>38</v>
      </c>
      <c r="D385" s="72" t="str">
        <f t="shared" si="8"/>
        <v>008_V_b</v>
      </c>
      <c r="E385" s="72">
        <v>55</v>
      </c>
      <c r="F385" s="72" t="s">
        <v>68</v>
      </c>
      <c r="G385" s="72" t="s">
        <v>155</v>
      </c>
    </row>
    <row r="386" spans="1:7" x14ac:dyDescent="0.2">
      <c r="A386" s="5" t="s">
        <v>164</v>
      </c>
      <c r="B386" s="6" t="s">
        <v>36</v>
      </c>
      <c r="C386" s="6" t="s">
        <v>38</v>
      </c>
      <c r="D386" s="72" t="str">
        <f t="shared" ref="D386:D449" si="9">A386&amp;"_"&amp;B386&amp;"_"&amp;C386</f>
        <v>009_O_b</v>
      </c>
      <c r="E386" s="72">
        <v>42</v>
      </c>
      <c r="F386" s="72" t="s">
        <v>49</v>
      </c>
      <c r="G386" s="72" t="s">
        <v>169</v>
      </c>
    </row>
    <row r="387" spans="1:7" x14ac:dyDescent="0.2">
      <c r="A387" s="5" t="s">
        <v>164</v>
      </c>
      <c r="B387" s="6" t="s">
        <v>27</v>
      </c>
      <c r="C387" s="6" t="s">
        <v>38</v>
      </c>
      <c r="D387" s="72" t="str">
        <f t="shared" si="9"/>
        <v>009_S_b</v>
      </c>
      <c r="E387" s="72">
        <v>44</v>
      </c>
      <c r="F387" s="72" t="s">
        <v>39</v>
      </c>
      <c r="G387" s="72" t="s">
        <v>170</v>
      </c>
    </row>
    <row r="388" spans="1:7" x14ac:dyDescent="0.2">
      <c r="A388" s="2" t="s">
        <v>164</v>
      </c>
      <c r="B388" t="s">
        <v>33</v>
      </c>
      <c r="C388" t="s">
        <v>38</v>
      </c>
      <c r="D388" s="72" t="str">
        <f t="shared" si="9"/>
        <v>009_V_b</v>
      </c>
      <c r="E388" s="72">
        <v>57</v>
      </c>
      <c r="F388" s="72" t="s">
        <v>49</v>
      </c>
      <c r="G388" s="72" t="s">
        <v>171</v>
      </c>
    </row>
    <row r="389" spans="1:7" x14ac:dyDescent="0.2">
      <c r="A389" s="5" t="s">
        <v>178</v>
      </c>
      <c r="B389" s="6" t="s">
        <v>36</v>
      </c>
      <c r="C389" s="6" t="s">
        <v>38</v>
      </c>
      <c r="D389" s="72" t="str">
        <f t="shared" si="9"/>
        <v>010_O_b</v>
      </c>
      <c r="E389" s="72">
        <v>66</v>
      </c>
      <c r="F389" s="72" t="s">
        <v>41</v>
      </c>
      <c r="G389" s="72" t="s">
        <v>183</v>
      </c>
    </row>
    <row r="390" spans="1:7" x14ac:dyDescent="0.2">
      <c r="A390" s="5" t="s">
        <v>178</v>
      </c>
      <c r="B390" s="6" t="s">
        <v>27</v>
      </c>
      <c r="C390" s="6" t="s">
        <v>38</v>
      </c>
      <c r="D390" s="72" t="str">
        <f t="shared" si="9"/>
        <v>010_S_b</v>
      </c>
      <c r="E390" s="72">
        <v>67</v>
      </c>
      <c r="F390" s="72" t="s">
        <v>34</v>
      </c>
      <c r="G390" s="72" t="s">
        <v>184</v>
      </c>
    </row>
    <row r="391" spans="1:7" x14ac:dyDescent="0.2">
      <c r="A391" s="2" t="s">
        <v>178</v>
      </c>
      <c r="B391" t="s">
        <v>33</v>
      </c>
      <c r="C391" t="s">
        <v>38</v>
      </c>
      <c r="D391" s="72" t="str">
        <f t="shared" si="9"/>
        <v>010_V_b</v>
      </c>
      <c r="E391" s="72">
        <v>48</v>
      </c>
      <c r="F391" s="72" t="s">
        <v>39</v>
      </c>
      <c r="G391" s="72" t="s">
        <v>182</v>
      </c>
    </row>
    <row r="392" spans="1:7" x14ac:dyDescent="0.2">
      <c r="A392" s="5" t="s">
        <v>191</v>
      </c>
      <c r="B392" s="6" t="s">
        <v>36</v>
      </c>
      <c r="C392" s="6" t="s">
        <v>38</v>
      </c>
      <c r="D392" s="72" t="str">
        <f t="shared" si="9"/>
        <v>011_O_b</v>
      </c>
      <c r="E392" s="72">
        <v>42</v>
      </c>
      <c r="F392" s="72" t="s">
        <v>82</v>
      </c>
      <c r="G392" s="72" t="s">
        <v>195</v>
      </c>
    </row>
    <row r="393" spans="1:7" x14ac:dyDescent="0.2">
      <c r="A393" s="5" t="s">
        <v>191</v>
      </c>
      <c r="B393" s="6" t="s">
        <v>27</v>
      </c>
      <c r="C393" s="6" t="s">
        <v>38</v>
      </c>
      <c r="D393" s="72" t="str">
        <f t="shared" si="9"/>
        <v>011_S_b</v>
      </c>
      <c r="E393" s="72">
        <v>54</v>
      </c>
      <c r="F393" s="72" t="s">
        <v>68</v>
      </c>
      <c r="G393" s="72" t="s">
        <v>197</v>
      </c>
    </row>
    <row r="394" spans="1:7" x14ac:dyDescent="0.2">
      <c r="A394" s="2" t="s">
        <v>191</v>
      </c>
      <c r="B394" t="s">
        <v>33</v>
      </c>
      <c r="C394" t="s">
        <v>38</v>
      </c>
      <c r="D394" s="72" t="str">
        <f t="shared" si="9"/>
        <v>011_V_b</v>
      </c>
      <c r="E394" s="72">
        <v>46</v>
      </c>
      <c r="F394" s="72" t="s">
        <v>41</v>
      </c>
      <c r="G394" s="72" t="s">
        <v>196</v>
      </c>
    </row>
    <row r="395" spans="1:7" x14ac:dyDescent="0.2">
      <c r="A395" s="5" t="s">
        <v>204</v>
      </c>
      <c r="B395" s="6" t="s">
        <v>36</v>
      </c>
      <c r="C395" s="6" t="s">
        <v>38</v>
      </c>
      <c r="D395" s="72" t="str">
        <f t="shared" si="9"/>
        <v>012_O_b</v>
      </c>
      <c r="E395" s="72">
        <v>51</v>
      </c>
      <c r="F395" s="72" t="s">
        <v>34</v>
      </c>
      <c r="G395" s="72" t="s">
        <v>210</v>
      </c>
    </row>
    <row r="396" spans="1:7" x14ac:dyDescent="0.2">
      <c r="A396" s="5" t="s">
        <v>204</v>
      </c>
      <c r="B396" s="6" t="s">
        <v>27</v>
      </c>
      <c r="C396" s="6" t="s">
        <v>38</v>
      </c>
      <c r="D396" s="72" t="str">
        <f t="shared" si="9"/>
        <v>012_S_b</v>
      </c>
      <c r="E396" s="72">
        <v>61</v>
      </c>
      <c r="F396" s="72" t="s">
        <v>63</v>
      </c>
      <c r="G396" s="72" t="s">
        <v>211</v>
      </c>
    </row>
    <row r="397" spans="1:7" x14ac:dyDescent="0.2">
      <c r="A397" s="2" t="s">
        <v>204</v>
      </c>
      <c r="B397" t="s">
        <v>33</v>
      </c>
      <c r="C397" t="s">
        <v>38</v>
      </c>
      <c r="D397" s="72" t="str">
        <f t="shared" si="9"/>
        <v>012_V_b</v>
      </c>
      <c r="E397" s="72">
        <v>45</v>
      </c>
      <c r="F397" s="72" t="s">
        <v>63</v>
      </c>
      <c r="G397" s="72" t="s">
        <v>209</v>
      </c>
    </row>
    <row r="398" spans="1:7" x14ac:dyDescent="0.2">
      <c r="A398" s="5" t="s">
        <v>219</v>
      </c>
      <c r="B398" s="6" t="s">
        <v>36</v>
      </c>
      <c r="C398" s="6" t="s">
        <v>38</v>
      </c>
      <c r="D398" s="72" t="str">
        <f t="shared" si="9"/>
        <v>013_O_b</v>
      </c>
      <c r="E398" s="72">
        <v>61</v>
      </c>
      <c r="F398" s="72" t="s">
        <v>41</v>
      </c>
      <c r="G398" s="72" t="s">
        <v>225</v>
      </c>
    </row>
    <row r="399" spans="1:7" x14ac:dyDescent="0.2">
      <c r="A399" s="5" t="s">
        <v>219</v>
      </c>
      <c r="B399" s="6" t="s">
        <v>27</v>
      </c>
      <c r="C399" s="6" t="s">
        <v>38</v>
      </c>
      <c r="D399" s="72" t="str">
        <f t="shared" si="9"/>
        <v>013_S_b</v>
      </c>
      <c r="E399" s="72">
        <v>49</v>
      </c>
      <c r="F399" s="72" t="s">
        <v>49</v>
      </c>
      <c r="G399" s="72" t="s">
        <v>223</v>
      </c>
    </row>
    <row r="400" spans="1:7" x14ac:dyDescent="0.2">
      <c r="A400" s="2" t="s">
        <v>219</v>
      </c>
      <c r="B400" t="s">
        <v>33</v>
      </c>
      <c r="C400" t="s">
        <v>38</v>
      </c>
      <c r="D400" s="72" t="str">
        <f t="shared" si="9"/>
        <v>013_V_b</v>
      </c>
      <c r="E400" s="72">
        <v>57</v>
      </c>
      <c r="F400" s="72" t="s">
        <v>68</v>
      </c>
      <c r="G400" s="72" t="s">
        <v>224</v>
      </c>
    </row>
    <row r="401" spans="1:7" x14ac:dyDescent="0.2">
      <c r="A401" s="5" t="s">
        <v>232</v>
      </c>
      <c r="B401" s="6" t="s">
        <v>36</v>
      </c>
      <c r="C401" s="6" t="s">
        <v>38</v>
      </c>
      <c r="D401" s="72" t="str">
        <f t="shared" si="9"/>
        <v>014_O_b</v>
      </c>
      <c r="E401" s="72">
        <v>47</v>
      </c>
      <c r="F401" s="72" t="s">
        <v>43</v>
      </c>
      <c r="G401" s="72" t="s">
        <v>237</v>
      </c>
    </row>
    <row r="402" spans="1:7" x14ac:dyDescent="0.2">
      <c r="A402" s="5" t="s">
        <v>232</v>
      </c>
      <c r="B402" s="6" t="s">
        <v>27</v>
      </c>
      <c r="C402" s="6" t="s">
        <v>38</v>
      </c>
      <c r="D402" s="72" t="str">
        <f t="shared" si="9"/>
        <v>014_S_b</v>
      </c>
      <c r="E402" s="72">
        <v>46</v>
      </c>
      <c r="F402" s="72" t="s">
        <v>29</v>
      </c>
      <c r="G402" s="72" t="s">
        <v>236</v>
      </c>
    </row>
    <row r="403" spans="1:7" x14ac:dyDescent="0.2">
      <c r="A403" s="2" t="s">
        <v>232</v>
      </c>
      <c r="B403" t="s">
        <v>33</v>
      </c>
      <c r="C403" t="s">
        <v>38</v>
      </c>
      <c r="D403" s="72" t="str">
        <f t="shared" si="9"/>
        <v>014_V_b</v>
      </c>
      <c r="E403" s="72">
        <v>55</v>
      </c>
      <c r="F403" s="72" t="s">
        <v>29</v>
      </c>
      <c r="G403" s="72" t="s">
        <v>238</v>
      </c>
    </row>
    <row r="404" spans="1:7" x14ac:dyDescent="0.2">
      <c r="A404" s="5" t="s">
        <v>245</v>
      </c>
      <c r="B404" s="6" t="s">
        <v>36</v>
      </c>
      <c r="C404" s="6" t="s">
        <v>38</v>
      </c>
      <c r="D404" s="72" t="str">
        <f t="shared" si="9"/>
        <v>015_O_b</v>
      </c>
      <c r="E404" s="72">
        <v>62</v>
      </c>
      <c r="F404" s="72" t="s">
        <v>41</v>
      </c>
      <c r="G404" s="72" t="s">
        <v>249</v>
      </c>
    </row>
    <row r="405" spans="1:7" x14ac:dyDescent="0.2">
      <c r="A405" s="5" t="s">
        <v>245</v>
      </c>
      <c r="B405" s="6" t="s">
        <v>27</v>
      </c>
      <c r="C405" s="6" t="s">
        <v>38</v>
      </c>
      <c r="D405" s="72" t="str">
        <f t="shared" si="9"/>
        <v>015_S_b</v>
      </c>
      <c r="E405" s="72">
        <v>69</v>
      </c>
      <c r="F405" s="72" t="s">
        <v>34</v>
      </c>
      <c r="G405" s="72" t="s">
        <v>251</v>
      </c>
    </row>
    <row r="406" spans="1:7" x14ac:dyDescent="0.2">
      <c r="A406" s="2" t="s">
        <v>245</v>
      </c>
      <c r="B406" t="s">
        <v>33</v>
      </c>
      <c r="C406" t="s">
        <v>38</v>
      </c>
      <c r="D406" s="72" t="str">
        <f t="shared" si="9"/>
        <v>015_V_b</v>
      </c>
      <c r="E406" s="72">
        <v>68</v>
      </c>
      <c r="F406" s="72" t="s">
        <v>29</v>
      </c>
      <c r="G406" s="72" t="s">
        <v>250</v>
      </c>
    </row>
    <row r="407" spans="1:7" x14ac:dyDescent="0.2">
      <c r="A407" s="5" t="s">
        <v>258</v>
      </c>
      <c r="B407" s="6" t="s">
        <v>36</v>
      </c>
      <c r="C407" s="6" t="s">
        <v>38</v>
      </c>
      <c r="D407" s="72" t="str">
        <f t="shared" si="9"/>
        <v>016_O_b</v>
      </c>
      <c r="E407" s="72">
        <v>69</v>
      </c>
      <c r="F407" s="72" t="s">
        <v>63</v>
      </c>
      <c r="G407" s="72" t="s">
        <v>265</v>
      </c>
    </row>
    <row r="408" spans="1:7" x14ac:dyDescent="0.2">
      <c r="A408" s="5" t="s">
        <v>258</v>
      </c>
      <c r="B408" s="6" t="s">
        <v>27</v>
      </c>
      <c r="C408" s="6" t="s">
        <v>38</v>
      </c>
      <c r="D408" s="72" t="str">
        <f t="shared" si="9"/>
        <v>016_S_b</v>
      </c>
      <c r="E408" s="72">
        <v>53</v>
      </c>
      <c r="F408" s="72" t="s">
        <v>63</v>
      </c>
      <c r="G408" s="72" t="s">
        <v>263</v>
      </c>
    </row>
    <row r="409" spans="1:7" x14ac:dyDescent="0.2">
      <c r="A409" s="2" t="s">
        <v>258</v>
      </c>
      <c r="B409" t="s">
        <v>33</v>
      </c>
      <c r="C409" t="s">
        <v>38</v>
      </c>
      <c r="D409" s="72" t="str">
        <f t="shared" si="9"/>
        <v>016_V_b</v>
      </c>
      <c r="E409" s="72">
        <v>54</v>
      </c>
      <c r="F409" s="72" t="s">
        <v>43</v>
      </c>
      <c r="G409" s="72" t="s">
        <v>264</v>
      </c>
    </row>
    <row r="410" spans="1:7" x14ac:dyDescent="0.2">
      <c r="A410" s="5" t="s">
        <v>272</v>
      </c>
      <c r="B410" s="6" t="s">
        <v>36</v>
      </c>
      <c r="C410" s="6" t="s">
        <v>38</v>
      </c>
      <c r="D410" s="72" t="str">
        <f t="shared" si="9"/>
        <v>017_O_b</v>
      </c>
      <c r="E410" s="72">
        <v>52</v>
      </c>
      <c r="F410" s="72" t="s">
        <v>82</v>
      </c>
      <c r="G410" s="72" t="s">
        <v>277</v>
      </c>
    </row>
    <row r="411" spans="1:7" x14ac:dyDescent="0.2">
      <c r="A411" s="5" t="s">
        <v>272</v>
      </c>
      <c r="B411" s="6" t="s">
        <v>27</v>
      </c>
      <c r="C411" s="6" t="s">
        <v>38</v>
      </c>
      <c r="D411" s="72" t="str">
        <f t="shared" si="9"/>
        <v>017_S_b</v>
      </c>
      <c r="E411" s="72">
        <v>62</v>
      </c>
      <c r="F411" s="72" t="s">
        <v>82</v>
      </c>
      <c r="G411" s="72" t="s">
        <v>279</v>
      </c>
    </row>
    <row r="412" spans="1:7" x14ac:dyDescent="0.2">
      <c r="A412" s="2" t="s">
        <v>272</v>
      </c>
      <c r="B412" t="s">
        <v>33</v>
      </c>
      <c r="C412" t="s">
        <v>38</v>
      </c>
      <c r="D412" s="72" t="str">
        <f t="shared" si="9"/>
        <v>017_V_b</v>
      </c>
      <c r="E412" s="72">
        <v>61</v>
      </c>
      <c r="F412" s="72" t="s">
        <v>43</v>
      </c>
      <c r="G412" s="72" t="s">
        <v>278</v>
      </c>
    </row>
    <row r="413" spans="1:7" x14ac:dyDescent="0.2">
      <c r="A413" s="5" t="s">
        <v>287</v>
      </c>
      <c r="B413" s="6" t="s">
        <v>36</v>
      </c>
      <c r="C413" s="6" t="s">
        <v>38</v>
      </c>
      <c r="D413" s="72" t="str">
        <f t="shared" si="9"/>
        <v>018_O_b</v>
      </c>
      <c r="E413" s="72">
        <v>70</v>
      </c>
      <c r="F413" s="72" t="s">
        <v>68</v>
      </c>
      <c r="G413" s="72" t="s">
        <v>293</v>
      </c>
    </row>
    <row r="414" spans="1:7" x14ac:dyDescent="0.2">
      <c r="A414" s="5" t="s">
        <v>287</v>
      </c>
      <c r="B414" s="6" t="s">
        <v>27</v>
      </c>
      <c r="C414" s="6" t="s">
        <v>38</v>
      </c>
      <c r="D414" s="72" t="str">
        <f t="shared" si="9"/>
        <v>018_S_b</v>
      </c>
      <c r="E414" s="72">
        <v>69</v>
      </c>
      <c r="F414" s="72" t="s">
        <v>49</v>
      </c>
      <c r="G414" s="72" t="s">
        <v>292</v>
      </c>
    </row>
    <row r="415" spans="1:7" x14ac:dyDescent="0.2">
      <c r="A415" s="2" t="s">
        <v>287</v>
      </c>
      <c r="B415" t="s">
        <v>33</v>
      </c>
      <c r="C415" t="s">
        <v>38</v>
      </c>
      <c r="D415" s="72" t="str">
        <f t="shared" si="9"/>
        <v>018_V_b</v>
      </c>
      <c r="E415" s="72">
        <v>58</v>
      </c>
      <c r="F415" s="72" t="s">
        <v>41</v>
      </c>
      <c r="G415" s="72" t="s">
        <v>291</v>
      </c>
    </row>
    <row r="416" spans="1:7" x14ac:dyDescent="0.2">
      <c r="A416" s="5" t="s">
        <v>300</v>
      </c>
      <c r="B416" s="6" t="s">
        <v>36</v>
      </c>
      <c r="C416" s="6" t="s">
        <v>38</v>
      </c>
      <c r="D416" s="72" t="str">
        <f t="shared" si="9"/>
        <v>019_O_b</v>
      </c>
      <c r="E416" s="72">
        <v>69</v>
      </c>
      <c r="F416" s="72" t="s">
        <v>29</v>
      </c>
      <c r="G416" s="72" t="s">
        <v>306</v>
      </c>
    </row>
    <row r="417" spans="1:7" x14ac:dyDescent="0.2">
      <c r="A417" s="5" t="s">
        <v>300</v>
      </c>
      <c r="B417" s="6" t="s">
        <v>27</v>
      </c>
      <c r="C417" s="6" t="s">
        <v>38</v>
      </c>
      <c r="D417" s="72" t="str">
        <f t="shared" si="9"/>
        <v>019_S_b</v>
      </c>
      <c r="E417" s="72">
        <v>68</v>
      </c>
      <c r="F417" s="72" t="s">
        <v>43</v>
      </c>
      <c r="G417" s="72" t="s">
        <v>305</v>
      </c>
    </row>
    <row r="418" spans="1:7" x14ac:dyDescent="0.2">
      <c r="A418" s="2" t="s">
        <v>300</v>
      </c>
      <c r="B418" t="s">
        <v>33</v>
      </c>
      <c r="C418" t="s">
        <v>38</v>
      </c>
      <c r="D418" s="72" t="str">
        <f t="shared" si="9"/>
        <v>019_V_b</v>
      </c>
      <c r="E418" s="72">
        <v>38</v>
      </c>
      <c r="F418" s="72" t="s">
        <v>29</v>
      </c>
      <c r="G418" s="72" t="s">
        <v>304</v>
      </c>
    </row>
    <row r="419" spans="1:7" x14ac:dyDescent="0.2">
      <c r="A419" s="5" t="s">
        <v>313</v>
      </c>
      <c r="B419" s="6" t="s">
        <v>36</v>
      </c>
      <c r="C419" s="6" t="s">
        <v>38</v>
      </c>
      <c r="D419" s="72" t="str">
        <f t="shared" si="9"/>
        <v>020_O_b</v>
      </c>
      <c r="E419" s="72">
        <v>48</v>
      </c>
      <c r="F419" s="72" t="s">
        <v>68</v>
      </c>
      <c r="G419" s="72" t="s">
        <v>318</v>
      </c>
    </row>
    <row r="420" spans="1:7" x14ac:dyDescent="0.2">
      <c r="A420" s="5" t="s">
        <v>313</v>
      </c>
      <c r="B420" s="6" t="s">
        <v>27</v>
      </c>
      <c r="C420" s="6" t="s">
        <v>38</v>
      </c>
      <c r="D420" s="72" t="str">
        <f t="shared" si="9"/>
        <v>020_S_b</v>
      </c>
      <c r="E420" s="72">
        <v>43</v>
      </c>
      <c r="F420" s="72" t="s">
        <v>34</v>
      </c>
      <c r="G420" s="72" t="s">
        <v>317</v>
      </c>
    </row>
    <row r="421" spans="1:7" x14ac:dyDescent="0.2">
      <c r="A421" s="2" t="s">
        <v>313</v>
      </c>
      <c r="B421" t="s">
        <v>33</v>
      </c>
      <c r="C421" t="s">
        <v>38</v>
      </c>
      <c r="D421" s="72" t="str">
        <f t="shared" si="9"/>
        <v>020_V_b</v>
      </c>
      <c r="E421" s="72">
        <v>66</v>
      </c>
      <c r="F421" s="72" t="s">
        <v>39</v>
      </c>
      <c r="G421" s="72" t="s">
        <v>319</v>
      </c>
    </row>
    <row r="422" spans="1:7" x14ac:dyDescent="0.2">
      <c r="A422" s="5" t="s">
        <v>326</v>
      </c>
      <c r="B422" s="6" t="s">
        <v>36</v>
      </c>
      <c r="C422" s="6" t="s">
        <v>38</v>
      </c>
      <c r="D422" s="72" t="str">
        <f t="shared" si="9"/>
        <v>021_O_b</v>
      </c>
      <c r="E422" s="72">
        <v>62</v>
      </c>
      <c r="F422" s="72" t="s">
        <v>70</v>
      </c>
      <c r="G422" s="72" t="s">
        <v>332</v>
      </c>
    </row>
    <row r="423" spans="1:7" x14ac:dyDescent="0.2">
      <c r="A423" s="5" t="s">
        <v>326</v>
      </c>
      <c r="B423" s="6" t="s">
        <v>27</v>
      </c>
      <c r="C423" s="6" t="s">
        <v>38</v>
      </c>
      <c r="D423" s="72" t="str">
        <f t="shared" si="9"/>
        <v>021_S_b</v>
      </c>
      <c r="E423" s="72">
        <v>56</v>
      </c>
      <c r="F423" s="72" t="s">
        <v>63</v>
      </c>
      <c r="G423" s="72" t="s">
        <v>331</v>
      </c>
    </row>
    <row r="424" spans="1:7" x14ac:dyDescent="0.2">
      <c r="A424" s="2" t="s">
        <v>326</v>
      </c>
      <c r="B424" t="s">
        <v>33</v>
      </c>
      <c r="C424" t="s">
        <v>38</v>
      </c>
      <c r="D424" s="72" t="str">
        <f t="shared" si="9"/>
        <v>021_V_b</v>
      </c>
      <c r="E424" s="72">
        <v>39</v>
      </c>
      <c r="F424" s="72" t="s">
        <v>39</v>
      </c>
      <c r="G424" s="72" t="s">
        <v>330</v>
      </c>
    </row>
    <row r="425" spans="1:7" x14ac:dyDescent="0.2">
      <c r="A425" s="5" t="s">
        <v>339</v>
      </c>
      <c r="B425" s="6" t="s">
        <v>36</v>
      </c>
      <c r="C425" s="6" t="s">
        <v>38</v>
      </c>
      <c r="D425" s="72" t="str">
        <f t="shared" si="9"/>
        <v>022_O_b</v>
      </c>
      <c r="E425" s="72">
        <v>54</v>
      </c>
      <c r="F425" s="72" t="s">
        <v>39</v>
      </c>
      <c r="G425" s="72" t="s">
        <v>345</v>
      </c>
    </row>
    <row r="426" spans="1:7" x14ac:dyDescent="0.2">
      <c r="A426" s="5" t="s">
        <v>339</v>
      </c>
      <c r="B426" s="6" t="s">
        <v>27</v>
      </c>
      <c r="C426" s="6" t="s">
        <v>38</v>
      </c>
      <c r="D426" s="72" t="str">
        <f t="shared" si="9"/>
        <v>022_S_b</v>
      </c>
      <c r="E426" s="72">
        <v>45</v>
      </c>
      <c r="F426" s="72" t="s">
        <v>29</v>
      </c>
      <c r="G426" s="72" t="s">
        <v>344</v>
      </c>
    </row>
    <row r="427" spans="1:7" x14ac:dyDescent="0.2">
      <c r="A427" s="2" t="s">
        <v>339</v>
      </c>
      <c r="B427" t="s">
        <v>33</v>
      </c>
      <c r="C427" t="s">
        <v>38</v>
      </c>
      <c r="D427" s="72" t="str">
        <f t="shared" si="9"/>
        <v>022_V_b</v>
      </c>
      <c r="E427" s="72">
        <v>42</v>
      </c>
      <c r="F427" s="72" t="s">
        <v>39</v>
      </c>
      <c r="G427" s="72" t="s">
        <v>343</v>
      </c>
    </row>
    <row r="428" spans="1:7" x14ac:dyDescent="0.2">
      <c r="A428" s="5" t="s">
        <v>352</v>
      </c>
      <c r="B428" s="6" t="s">
        <v>36</v>
      </c>
      <c r="C428" s="6" t="s">
        <v>38</v>
      </c>
      <c r="D428" s="72" t="str">
        <f t="shared" si="9"/>
        <v>023_O_b</v>
      </c>
      <c r="E428" s="72">
        <v>46</v>
      </c>
      <c r="F428" s="72" t="s">
        <v>70</v>
      </c>
      <c r="G428" s="72" t="s">
        <v>358</v>
      </c>
    </row>
    <row r="429" spans="1:7" x14ac:dyDescent="0.2">
      <c r="A429" s="5" t="s">
        <v>352</v>
      </c>
      <c r="B429" s="6" t="s">
        <v>27</v>
      </c>
      <c r="C429" s="6" t="s">
        <v>38</v>
      </c>
      <c r="D429" s="72" t="str">
        <f t="shared" si="9"/>
        <v>023_S_b</v>
      </c>
      <c r="E429" s="72">
        <v>42</v>
      </c>
      <c r="F429" s="72" t="s">
        <v>29</v>
      </c>
      <c r="G429" s="72" t="s">
        <v>356</v>
      </c>
    </row>
    <row r="430" spans="1:7" x14ac:dyDescent="0.2">
      <c r="A430" s="2" t="s">
        <v>352</v>
      </c>
      <c r="B430" t="s">
        <v>33</v>
      </c>
      <c r="C430" t="s">
        <v>38</v>
      </c>
      <c r="D430" s="72" t="str">
        <f t="shared" si="9"/>
        <v>023_V_b</v>
      </c>
      <c r="E430" s="72">
        <v>45</v>
      </c>
      <c r="F430" s="72" t="s">
        <v>39</v>
      </c>
      <c r="G430" s="72" t="s">
        <v>357</v>
      </c>
    </row>
    <row r="431" spans="1:7" x14ac:dyDescent="0.2">
      <c r="A431" s="5" t="s">
        <v>365</v>
      </c>
      <c r="B431" s="6" t="s">
        <v>36</v>
      </c>
      <c r="C431" s="6" t="s">
        <v>38</v>
      </c>
      <c r="D431" s="72" t="str">
        <f t="shared" si="9"/>
        <v>024_O_b</v>
      </c>
      <c r="E431" s="72">
        <v>71</v>
      </c>
      <c r="F431" s="72" t="s">
        <v>29</v>
      </c>
      <c r="G431" s="72" t="s">
        <v>371</v>
      </c>
    </row>
    <row r="432" spans="1:7" x14ac:dyDescent="0.2">
      <c r="A432" s="5" t="s">
        <v>365</v>
      </c>
      <c r="B432" s="6" t="s">
        <v>27</v>
      </c>
      <c r="C432" s="6" t="s">
        <v>38</v>
      </c>
      <c r="D432" s="72" t="str">
        <f t="shared" si="9"/>
        <v>024_S_b</v>
      </c>
      <c r="E432" s="72">
        <v>49</v>
      </c>
      <c r="F432" s="72" t="s">
        <v>43</v>
      </c>
      <c r="G432" s="72" t="s">
        <v>369</v>
      </c>
    </row>
    <row r="433" spans="1:7" x14ac:dyDescent="0.2">
      <c r="A433" s="2" t="s">
        <v>365</v>
      </c>
      <c r="B433" t="s">
        <v>33</v>
      </c>
      <c r="C433" t="s">
        <v>38</v>
      </c>
      <c r="D433" s="72" t="str">
        <f t="shared" si="9"/>
        <v>024_V_b</v>
      </c>
      <c r="E433" s="72">
        <v>67</v>
      </c>
      <c r="F433" s="72" t="s">
        <v>63</v>
      </c>
      <c r="G433" s="72" t="s">
        <v>370</v>
      </c>
    </row>
    <row r="434" spans="1:7" x14ac:dyDescent="0.2">
      <c r="A434" s="5" t="s">
        <v>378</v>
      </c>
      <c r="B434" s="6" t="s">
        <v>36</v>
      </c>
      <c r="C434" s="6" t="s">
        <v>38</v>
      </c>
      <c r="D434" s="72" t="str">
        <f t="shared" si="9"/>
        <v>025_O_b</v>
      </c>
      <c r="E434" s="72">
        <v>53</v>
      </c>
      <c r="F434" s="72" t="s">
        <v>39</v>
      </c>
      <c r="G434" s="72" t="s">
        <v>383</v>
      </c>
    </row>
    <row r="435" spans="1:7" x14ac:dyDescent="0.2">
      <c r="A435" s="5" t="s">
        <v>378</v>
      </c>
      <c r="B435" s="6" t="s">
        <v>27</v>
      </c>
      <c r="C435" s="6" t="s">
        <v>38</v>
      </c>
      <c r="D435" s="72" t="str">
        <f t="shared" si="9"/>
        <v>025_S_b</v>
      </c>
      <c r="E435" s="72">
        <v>52</v>
      </c>
      <c r="F435" s="72" t="s">
        <v>43</v>
      </c>
      <c r="G435" s="72" t="s">
        <v>382</v>
      </c>
    </row>
    <row r="436" spans="1:7" x14ac:dyDescent="0.2">
      <c r="A436" s="2" t="s">
        <v>378</v>
      </c>
      <c r="B436" t="s">
        <v>33</v>
      </c>
      <c r="C436" t="s">
        <v>38</v>
      </c>
      <c r="D436" s="72" t="str">
        <f t="shared" si="9"/>
        <v>025_V_b</v>
      </c>
      <c r="E436" s="72">
        <v>65</v>
      </c>
      <c r="F436" s="72" t="s">
        <v>82</v>
      </c>
      <c r="G436" s="72" t="s">
        <v>384</v>
      </c>
    </row>
    <row r="437" spans="1:7" x14ac:dyDescent="0.2">
      <c r="A437" s="5" t="s">
        <v>391</v>
      </c>
      <c r="B437" s="6" t="s">
        <v>36</v>
      </c>
      <c r="C437" s="6" t="s">
        <v>38</v>
      </c>
      <c r="D437" s="72" t="str">
        <f t="shared" si="9"/>
        <v>026_O_b</v>
      </c>
      <c r="E437" s="72">
        <v>44</v>
      </c>
      <c r="F437" s="72" t="s">
        <v>34</v>
      </c>
      <c r="G437" s="72" t="s">
        <v>395</v>
      </c>
    </row>
    <row r="438" spans="1:7" x14ac:dyDescent="0.2">
      <c r="A438" s="5" t="s">
        <v>391</v>
      </c>
      <c r="B438" s="6" t="s">
        <v>27</v>
      </c>
      <c r="C438" s="6" t="s">
        <v>38</v>
      </c>
      <c r="D438" s="72" t="str">
        <f t="shared" si="9"/>
        <v>026_S_b</v>
      </c>
      <c r="E438" s="72">
        <v>59</v>
      </c>
      <c r="F438" s="72" t="s">
        <v>82</v>
      </c>
      <c r="G438" s="72" t="s">
        <v>396</v>
      </c>
    </row>
    <row r="439" spans="1:7" x14ac:dyDescent="0.2">
      <c r="A439" s="2" t="s">
        <v>391</v>
      </c>
      <c r="B439" t="s">
        <v>33</v>
      </c>
      <c r="C439" t="s">
        <v>38</v>
      </c>
      <c r="D439" s="72" t="str">
        <f t="shared" si="9"/>
        <v>026_V_b</v>
      </c>
      <c r="E439" s="72">
        <v>67</v>
      </c>
      <c r="F439" s="72" t="s">
        <v>82</v>
      </c>
      <c r="G439" s="72" t="s">
        <v>397</v>
      </c>
    </row>
    <row r="440" spans="1:7" x14ac:dyDescent="0.2">
      <c r="A440" s="5" t="s">
        <v>404</v>
      </c>
      <c r="B440" s="6" t="s">
        <v>36</v>
      </c>
      <c r="C440" s="6" t="s">
        <v>38</v>
      </c>
      <c r="D440" s="72" t="str">
        <f t="shared" si="9"/>
        <v>028_O_b</v>
      </c>
      <c r="E440" s="72">
        <v>67</v>
      </c>
      <c r="F440" s="72" t="s">
        <v>29</v>
      </c>
      <c r="G440" s="72" t="s">
        <v>409</v>
      </c>
    </row>
    <row r="441" spans="1:7" x14ac:dyDescent="0.2">
      <c r="A441" s="5" t="s">
        <v>404</v>
      </c>
      <c r="B441" s="6" t="s">
        <v>27</v>
      </c>
      <c r="C441" s="6" t="s">
        <v>38</v>
      </c>
      <c r="D441" s="72" t="str">
        <f t="shared" si="9"/>
        <v>028_S_b</v>
      </c>
      <c r="E441" s="72">
        <v>70</v>
      </c>
      <c r="F441" s="72" t="s">
        <v>63</v>
      </c>
      <c r="G441" s="72" t="s">
        <v>410</v>
      </c>
    </row>
    <row r="442" spans="1:7" x14ac:dyDescent="0.2">
      <c r="A442" s="2" t="s">
        <v>404</v>
      </c>
      <c r="B442" t="s">
        <v>33</v>
      </c>
      <c r="C442" t="s">
        <v>38</v>
      </c>
      <c r="D442" s="72" t="str">
        <f t="shared" si="9"/>
        <v>028_V_b</v>
      </c>
      <c r="E442" s="72">
        <v>66</v>
      </c>
      <c r="F442" s="72" t="s">
        <v>43</v>
      </c>
      <c r="G442" s="72" t="s">
        <v>408</v>
      </c>
    </row>
    <row r="443" spans="1:7" x14ac:dyDescent="0.2">
      <c r="A443" s="5" t="s">
        <v>417</v>
      </c>
      <c r="B443" s="6" t="s">
        <v>36</v>
      </c>
      <c r="C443" s="6" t="s">
        <v>38</v>
      </c>
      <c r="D443" s="72" t="str">
        <f t="shared" si="9"/>
        <v>029_O_b</v>
      </c>
      <c r="E443" s="72">
        <v>62</v>
      </c>
      <c r="F443" s="72" t="s">
        <v>29</v>
      </c>
      <c r="G443" s="72" t="s">
        <v>423</v>
      </c>
    </row>
    <row r="444" spans="1:7" x14ac:dyDescent="0.2">
      <c r="A444" s="5" t="s">
        <v>417</v>
      </c>
      <c r="B444" s="6" t="s">
        <v>27</v>
      </c>
      <c r="C444" s="6" t="s">
        <v>38</v>
      </c>
      <c r="D444" s="72" t="str">
        <f t="shared" si="9"/>
        <v>029_S_b</v>
      </c>
      <c r="E444" s="72">
        <v>42</v>
      </c>
      <c r="F444" s="72" t="s">
        <v>63</v>
      </c>
      <c r="G444" s="72" t="s">
        <v>422</v>
      </c>
    </row>
    <row r="445" spans="1:7" x14ac:dyDescent="0.2">
      <c r="A445" s="2" t="s">
        <v>417</v>
      </c>
      <c r="B445" t="s">
        <v>33</v>
      </c>
      <c r="C445" t="s">
        <v>38</v>
      </c>
      <c r="D445" s="72" t="str">
        <f t="shared" si="9"/>
        <v>029_V_b</v>
      </c>
      <c r="E445" s="72">
        <v>38</v>
      </c>
      <c r="F445" s="72" t="s">
        <v>34</v>
      </c>
      <c r="G445" s="72" t="s">
        <v>421</v>
      </c>
    </row>
    <row r="446" spans="1:7" x14ac:dyDescent="0.2">
      <c r="A446" s="5" t="s">
        <v>430</v>
      </c>
      <c r="B446" s="6" t="s">
        <v>36</v>
      </c>
      <c r="C446" s="6" t="s">
        <v>38</v>
      </c>
      <c r="D446" s="72" t="str">
        <f t="shared" si="9"/>
        <v>030_O_b</v>
      </c>
      <c r="E446" s="72">
        <v>39</v>
      </c>
      <c r="F446" s="72" t="s">
        <v>49</v>
      </c>
      <c r="G446" s="72" t="s">
        <v>435</v>
      </c>
    </row>
    <row r="447" spans="1:7" x14ac:dyDescent="0.2">
      <c r="A447" s="5" t="s">
        <v>430</v>
      </c>
      <c r="B447" s="6" t="s">
        <v>27</v>
      </c>
      <c r="C447" s="6" t="s">
        <v>38</v>
      </c>
      <c r="D447" s="72" t="str">
        <f t="shared" si="9"/>
        <v>030_S_b</v>
      </c>
      <c r="E447" s="72">
        <v>71</v>
      </c>
      <c r="F447" s="72" t="s">
        <v>68</v>
      </c>
      <c r="G447" s="72" t="s">
        <v>436</v>
      </c>
    </row>
    <row r="448" spans="1:7" x14ac:dyDescent="0.2">
      <c r="A448" s="2" t="s">
        <v>430</v>
      </c>
      <c r="B448" t="s">
        <v>33</v>
      </c>
      <c r="C448" t="s">
        <v>38</v>
      </c>
      <c r="D448" s="72" t="str">
        <f t="shared" si="9"/>
        <v>030_V_b</v>
      </c>
      <c r="E448" s="72">
        <v>37</v>
      </c>
      <c r="F448" s="72" t="s">
        <v>70</v>
      </c>
      <c r="G448" s="72" t="s">
        <v>434</v>
      </c>
    </row>
    <row r="449" spans="1:7" x14ac:dyDescent="0.2">
      <c r="A449" s="5" t="s">
        <v>443</v>
      </c>
      <c r="B449" s="6" t="s">
        <v>36</v>
      </c>
      <c r="C449" s="6" t="s">
        <v>38</v>
      </c>
      <c r="D449" s="72" t="str">
        <f t="shared" si="9"/>
        <v>031_O_b</v>
      </c>
      <c r="E449" s="72">
        <v>66</v>
      </c>
      <c r="F449" s="72" t="s">
        <v>49</v>
      </c>
      <c r="G449" s="72" t="s">
        <v>449</v>
      </c>
    </row>
    <row r="450" spans="1:7" x14ac:dyDescent="0.2">
      <c r="A450" s="5" t="s">
        <v>443</v>
      </c>
      <c r="B450" s="6" t="s">
        <v>27</v>
      </c>
      <c r="C450" s="6" t="s">
        <v>38</v>
      </c>
      <c r="D450" s="72" t="str">
        <f t="shared" ref="D450:D513" si="10">A450&amp;"_"&amp;B450&amp;"_"&amp;C450</f>
        <v>031_S_b</v>
      </c>
      <c r="E450" s="72">
        <v>40</v>
      </c>
      <c r="F450" s="72" t="s">
        <v>49</v>
      </c>
      <c r="G450" s="72" t="s">
        <v>448</v>
      </c>
    </row>
    <row r="451" spans="1:7" x14ac:dyDescent="0.2">
      <c r="A451" s="1" t="s">
        <v>443</v>
      </c>
      <c r="B451" t="s">
        <v>33</v>
      </c>
      <c r="C451" t="s">
        <v>38</v>
      </c>
      <c r="D451" s="72" t="str">
        <f t="shared" si="10"/>
        <v>031_V_b</v>
      </c>
      <c r="E451" s="72">
        <v>39</v>
      </c>
      <c r="F451" s="72" t="s">
        <v>34</v>
      </c>
      <c r="G451" s="72" t="s">
        <v>447</v>
      </c>
    </row>
    <row r="452" spans="1:7" x14ac:dyDescent="0.2">
      <c r="A452" s="5" t="s">
        <v>456</v>
      </c>
      <c r="B452" s="6" t="s">
        <v>36</v>
      </c>
      <c r="C452" s="6" t="s">
        <v>38</v>
      </c>
      <c r="D452" s="72" t="str">
        <f t="shared" si="10"/>
        <v>032_O_b</v>
      </c>
      <c r="E452" s="72">
        <v>60</v>
      </c>
      <c r="F452" s="72" t="s">
        <v>68</v>
      </c>
      <c r="G452" s="72" t="s">
        <v>461</v>
      </c>
    </row>
    <row r="453" spans="1:7" x14ac:dyDescent="0.2">
      <c r="A453" s="5" t="s">
        <v>456</v>
      </c>
      <c r="B453" s="6" t="s">
        <v>27</v>
      </c>
      <c r="C453" s="6" t="s">
        <v>38</v>
      </c>
      <c r="D453" s="72" t="str">
        <f t="shared" si="10"/>
        <v>032_S_b</v>
      </c>
      <c r="E453" s="72">
        <v>64</v>
      </c>
      <c r="F453" s="72" t="s">
        <v>82</v>
      </c>
      <c r="G453" s="72" t="s">
        <v>462</v>
      </c>
    </row>
    <row r="454" spans="1:7" x14ac:dyDescent="0.2">
      <c r="A454" s="1" t="s">
        <v>456</v>
      </c>
      <c r="B454" t="s">
        <v>33</v>
      </c>
      <c r="C454" t="s">
        <v>38</v>
      </c>
      <c r="D454" s="72" t="str">
        <f t="shared" si="10"/>
        <v>032_V_b</v>
      </c>
      <c r="E454" s="72">
        <v>52</v>
      </c>
      <c r="F454" s="72" t="s">
        <v>41</v>
      </c>
      <c r="G454" s="72" t="s">
        <v>460</v>
      </c>
    </row>
    <row r="455" spans="1:7" x14ac:dyDescent="0.2">
      <c r="A455" s="5" t="s">
        <v>469</v>
      </c>
      <c r="B455" s="6" t="s">
        <v>36</v>
      </c>
      <c r="C455" s="6" t="s">
        <v>38</v>
      </c>
      <c r="D455" s="72" t="str">
        <f t="shared" si="10"/>
        <v>033_O_b</v>
      </c>
      <c r="E455" s="72">
        <v>58</v>
      </c>
      <c r="F455" s="72" t="s">
        <v>82</v>
      </c>
      <c r="G455" s="72" t="s">
        <v>475</v>
      </c>
    </row>
    <row r="456" spans="1:7" x14ac:dyDescent="0.2">
      <c r="A456" s="5" t="s">
        <v>469</v>
      </c>
      <c r="B456" s="6" t="s">
        <v>27</v>
      </c>
      <c r="C456" s="6" t="s">
        <v>38</v>
      </c>
      <c r="D456" s="72" t="str">
        <f t="shared" si="10"/>
        <v>033_S_b</v>
      </c>
      <c r="E456" s="72">
        <v>53</v>
      </c>
      <c r="F456" s="72" t="s">
        <v>43</v>
      </c>
      <c r="G456" s="72" t="s">
        <v>473</v>
      </c>
    </row>
    <row r="457" spans="1:7" x14ac:dyDescent="0.2">
      <c r="A457" s="1" t="s">
        <v>469</v>
      </c>
      <c r="B457" t="s">
        <v>33</v>
      </c>
      <c r="C457" t="s">
        <v>38</v>
      </c>
      <c r="D457" s="72" t="str">
        <f t="shared" si="10"/>
        <v>033_V_b</v>
      </c>
      <c r="E457" s="72">
        <v>54</v>
      </c>
      <c r="F457" s="72" t="s">
        <v>82</v>
      </c>
      <c r="G457" s="72" t="s">
        <v>474</v>
      </c>
    </row>
    <row r="458" spans="1:7" x14ac:dyDescent="0.2">
      <c r="A458" s="5" t="s">
        <v>482</v>
      </c>
      <c r="B458" s="6" t="s">
        <v>36</v>
      </c>
      <c r="C458" s="6" t="s">
        <v>38</v>
      </c>
      <c r="D458" s="72" t="str">
        <f t="shared" si="10"/>
        <v>034_O_b</v>
      </c>
      <c r="E458" s="72">
        <v>46</v>
      </c>
      <c r="F458" s="72" t="s">
        <v>63</v>
      </c>
      <c r="G458" s="72" t="s">
        <v>486</v>
      </c>
    </row>
    <row r="459" spans="1:7" x14ac:dyDescent="0.2">
      <c r="A459" s="5" t="s">
        <v>482</v>
      </c>
      <c r="B459" s="6" t="s">
        <v>27</v>
      </c>
      <c r="C459" s="6" t="s">
        <v>38</v>
      </c>
      <c r="D459" s="72" t="str">
        <f t="shared" si="10"/>
        <v>034_S_b</v>
      </c>
      <c r="E459" s="72">
        <v>56</v>
      </c>
      <c r="F459" s="72" t="s">
        <v>34</v>
      </c>
      <c r="G459" s="72" t="s">
        <v>488</v>
      </c>
    </row>
    <row r="460" spans="1:7" x14ac:dyDescent="0.2">
      <c r="A460" s="1" t="s">
        <v>482</v>
      </c>
      <c r="B460" t="s">
        <v>33</v>
      </c>
      <c r="C460" t="s">
        <v>38</v>
      </c>
      <c r="D460" s="72" t="str">
        <f t="shared" si="10"/>
        <v>034_V_b</v>
      </c>
      <c r="E460" s="72">
        <v>50</v>
      </c>
      <c r="F460" s="72" t="s">
        <v>49</v>
      </c>
      <c r="G460" s="72" t="s">
        <v>487</v>
      </c>
    </row>
    <row r="461" spans="1:7" x14ac:dyDescent="0.2">
      <c r="A461" s="5" t="s">
        <v>495</v>
      </c>
      <c r="B461" s="6" t="s">
        <v>36</v>
      </c>
      <c r="C461" s="6" t="s">
        <v>38</v>
      </c>
      <c r="D461" s="72" t="str">
        <f t="shared" si="10"/>
        <v>035_O_b</v>
      </c>
      <c r="E461" s="72">
        <v>44</v>
      </c>
      <c r="F461" s="72" t="s">
        <v>49</v>
      </c>
      <c r="G461" s="72" t="s">
        <v>501</v>
      </c>
    </row>
    <row r="462" spans="1:7" x14ac:dyDescent="0.2">
      <c r="A462" s="5" t="s">
        <v>495</v>
      </c>
      <c r="B462" s="6" t="s">
        <v>27</v>
      </c>
      <c r="C462" s="6" t="s">
        <v>38</v>
      </c>
      <c r="D462" s="72" t="str">
        <f t="shared" si="10"/>
        <v>035_S_b</v>
      </c>
      <c r="E462" s="72">
        <v>41</v>
      </c>
      <c r="F462" s="72" t="s">
        <v>68</v>
      </c>
      <c r="G462" s="72" t="s">
        <v>499</v>
      </c>
    </row>
    <row r="463" spans="1:7" x14ac:dyDescent="0.2">
      <c r="A463" s="1" t="s">
        <v>495</v>
      </c>
      <c r="B463" t="s">
        <v>33</v>
      </c>
      <c r="C463" t="s">
        <v>38</v>
      </c>
      <c r="D463" s="72" t="str">
        <f t="shared" si="10"/>
        <v>035_V_b</v>
      </c>
      <c r="E463" s="72">
        <v>42</v>
      </c>
      <c r="F463" s="72" t="s">
        <v>34</v>
      </c>
      <c r="G463" s="72" t="s">
        <v>500</v>
      </c>
    </row>
    <row r="464" spans="1:7" x14ac:dyDescent="0.2">
      <c r="A464" s="5" t="s">
        <v>508</v>
      </c>
      <c r="B464" s="6" t="s">
        <v>36</v>
      </c>
      <c r="C464" s="6" t="s">
        <v>38</v>
      </c>
      <c r="D464" s="72" t="str">
        <f t="shared" si="10"/>
        <v>037_O_b</v>
      </c>
      <c r="E464" s="72">
        <v>47</v>
      </c>
      <c r="F464" s="72" t="s">
        <v>29</v>
      </c>
      <c r="G464" s="72" t="s">
        <v>514</v>
      </c>
    </row>
    <row r="465" spans="1:7" x14ac:dyDescent="0.2">
      <c r="A465" s="5" t="s">
        <v>508</v>
      </c>
      <c r="B465" s="6" t="s">
        <v>27</v>
      </c>
      <c r="C465" s="6" t="s">
        <v>38</v>
      </c>
      <c r="D465" s="72" t="str">
        <f t="shared" si="10"/>
        <v>037_S_b</v>
      </c>
      <c r="E465" s="72">
        <v>41</v>
      </c>
      <c r="F465" s="72" t="s">
        <v>82</v>
      </c>
      <c r="G465" s="72" t="s">
        <v>512</v>
      </c>
    </row>
    <row r="466" spans="1:7" x14ac:dyDescent="0.2">
      <c r="A466" s="1" t="s">
        <v>508</v>
      </c>
      <c r="B466" t="s">
        <v>33</v>
      </c>
      <c r="C466" t="s">
        <v>38</v>
      </c>
      <c r="D466" s="72" t="str">
        <f t="shared" si="10"/>
        <v>037_V_b</v>
      </c>
      <c r="E466" s="72">
        <v>60</v>
      </c>
      <c r="F466" s="72" t="s">
        <v>41</v>
      </c>
      <c r="G466" s="72" t="s">
        <v>515</v>
      </c>
    </row>
    <row r="467" spans="1:7" x14ac:dyDescent="0.2">
      <c r="A467" s="5" t="s">
        <v>523</v>
      </c>
      <c r="B467" s="6" t="s">
        <v>36</v>
      </c>
      <c r="C467" s="6" t="s">
        <v>38</v>
      </c>
      <c r="D467" s="72" t="str">
        <f t="shared" si="10"/>
        <v>038_O_b</v>
      </c>
      <c r="E467" s="72">
        <v>50</v>
      </c>
      <c r="F467" s="72" t="s">
        <v>29</v>
      </c>
      <c r="G467" s="72" t="s">
        <v>527</v>
      </c>
    </row>
    <row r="468" spans="1:7" x14ac:dyDescent="0.2">
      <c r="A468" s="5" t="s">
        <v>523</v>
      </c>
      <c r="B468" s="6" t="s">
        <v>27</v>
      </c>
      <c r="C468" s="6" t="s">
        <v>38</v>
      </c>
      <c r="D468" s="72" t="str">
        <f t="shared" si="10"/>
        <v>038_S_b</v>
      </c>
      <c r="E468" s="72">
        <v>64</v>
      </c>
      <c r="F468" s="72" t="s">
        <v>43</v>
      </c>
      <c r="G468" s="72" t="s">
        <v>529</v>
      </c>
    </row>
    <row r="469" spans="1:7" x14ac:dyDescent="0.2">
      <c r="A469" s="1" t="s">
        <v>523</v>
      </c>
      <c r="B469" t="s">
        <v>33</v>
      </c>
      <c r="C469" t="s">
        <v>38</v>
      </c>
      <c r="D469" s="72" t="str">
        <f t="shared" si="10"/>
        <v>038_V_b</v>
      </c>
      <c r="E469" s="72">
        <v>50</v>
      </c>
      <c r="F469" s="72" t="s">
        <v>34</v>
      </c>
      <c r="G469" s="72" t="s">
        <v>528</v>
      </c>
    </row>
    <row r="470" spans="1:7" x14ac:dyDescent="0.2">
      <c r="A470" s="5" t="s">
        <v>536</v>
      </c>
      <c r="B470" s="6" t="s">
        <v>36</v>
      </c>
      <c r="C470" s="6" t="s">
        <v>38</v>
      </c>
      <c r="D470" s="72" t="str">
        <f t="shared" si="10"/>
        <v>039_O_b</v>
      </c>
      <c r="E470" s="72">
        <v>39</v>
      </c>
      <c r="F470" s="72" t="s">
        <v>82</v>
      </c>
      <c r="G470" s="72" t="s">
        <v>540</v>
      </c>
    </row>
    <row r="471" spans="1:7" x14ac:dyDescent="0.2">
      <c r="A471" s="5" t="s">
        <v>536</v>
      </c>
      <c r="B471" s="6" t="s">
        <v>27</v>
      </c>
      <c r="C471" s="6" t="s">
        <v>38</v>
      </c>
      <c r="D471" s="72" t="str">
        <f t="shared" si="10"/>
        <v>039_S_b</v>
      </c>
      <c r="E471" s="72">
        <v>65</v>
      </c>
      <c r="F471" s="72" t="s">
        <v>29</v>
      </c>
      <c r="G471" s="72" t="s">
        <v>541</v>
      </c>
    </row>
    <row r="472" spans="1:7" x14ac:dyDescent="0.2">
      <c r="A472" s="1" t="s">
        <v>536</v>
      </c>
      <c r="B472" t="s">
        <v>33</v>
      </c>
      <c r="C472" t="s">
        <v>38</v>
      </c>
      <c r="D472" s="72" t="str">
        <f t="shared" si="10"/>
        <v>039_V_b</v>
      </c>
      <c r="E472" s="72">
        <v>70</v>
      </c>
      <c r="F472" s="72" t="s">
        <v>34</v>
      </c>
      <c r="G472" s="72" t="s">
        <v>542</v>
      </c>
    </row>
    <row r="473" spans="1:7" x14ac:dyDescent="0.2">
      <c r="A473" s="5" t="s">
        <v>550</v>
      </c>
      <c r="B473" s="6" t="s">
        <v>36</v>
      </c>
      <c r="C473" s="6" t="s">
        <v>38</v>
      </c>
      <c r="D473" s="72" t="str">
        <f t="shared" si="10"/>
        <v>041_O_b</v>
      </c>
      <c r="E473" s="72">
        <v>62</v>
      </c>
      <c r="F473" s="72" t="s">
        <v>49</v>
      </c>
      <c r="G473" s="72" t="s">
        <v>556</v>
      </c>
    </row>
    <row r="474" spans="1:7" x14ac:dyDescent="0.2">
      <c r="A474" s="5" t="s">
        <v>550</v>
      </c>
      <c r="B474" s="6" t="s">
        <v>27</v>
      </c>
      <c r="C474" s="6" t="s">
        <v>38</v>
      </c>
      <c r="D474" s="72" t="str">
        <f t="shared" si="10"/>
        <v>041_S_b</v>
      </c>
      <c r="E474" s="72">
        <v>69</v>
      </c>
      <c r="F474" s="72" t="s">
        <v>82</v>
      </c>
      <c r="G474" s="72" t="s">
        <v>557</v>
      </c>
    </row>
    <row r="475" spans="1:7" x14ac:dyDescent="0.2">
      <c r="A475" s="1" t="s">
        <v>550</v>
      </c>
      <c r="B475" t="s">
        <v>33</v>
      </c>
      <c r="C475" t="s">
        <v>38</v>
      </c>
      <c r="D475" s="72" t="str">
        <f t="shared" si="10"/>
        <v>041_V_b</v>
      </c>
      <c r="E475" s="72">
        <v>38</v>
      </c>
      <c r="F475" s="72" t="s">
        <v>82</v>
      </c>
      <c r="G475" s="72" t="s">
        <v>555</v>
      </c>
    </row>
    <row r="476" spans="1:7" x14ac:dyDescent="0.2">
      <c r="A476" s="5" t="s">
        <v>564</v>
      </c>
      <c r="B476" s="6" t="s">
        <v>36</v>
      </c>
      <c r="C476" s="6" t="s">
        <v>38</v>
      </c>
      <c r="D476" s="72" t="str">
        <f t="shared" si="10"/>
        <v>042_O_b</v>
      </c>
      <c r="E476" s="72">
        <v>57</v>
      </c>
      <c r="F476" s="72" t="s">
        <v>70</v>
      </c>
      <c r="G476" s="72" t="s">
        <v>569</v>
      </c>
    </row>
    <row r="477" spans="1:7" x14ac:dyDescent="0.2">
      <c r="A477" s="5" t="s">
        <v>564</v>
      </c>
      <c r="B477" s="6" t="s">
        <v>27</v>
      </c>
      <c r="C477" s="6" t="s">
        <v>38</v>
      </c>
      <c r="D477" s="72" t="str">
        <f t="shared" si="10"/>
        <v>042_S_b</v>
      </c>
      <c r="E477" s="72">
        <v>49</v>
      </c>
      <c r="F477" s="72" t="s">
        <v>70</v>
      </c>
      <c r="G477" s="72" t="s">
        <v>568</v>
      </c>
    </row>
    <row r="478" spans="1:7" x14ac:dyDescent="0.2">
      <c r="A478" s="1" t="s">
        <v>564</v>
      </c>
      <c r="B478" t="s">
        <v>33</v>
      </c>
      <c r="C478" t="s">
        <v>38</v>
      </c>
      <c r="D478" s="72" t="str">
        <f t="shared" si="10"/>
        <v>042_V_b</v>
      </c>
      <c r="E478" s="72">
        <v>66</v>
      </c>
      <c r="F478" s="72" t="s">
        <v>70</v>
      </c>
      <c r="G478" s="72" t="s">
        <v>570</v>
      </c>
    </row>
    <row r="479" spans="1:7" x14ac:dyDescent="0.2">
      <c r="A479" s="5" t="s">
        <v>577</v>
      </c>
      <c r="B479" s="6" t="s">
        <v>36</v>
      </c>
      <c r="C479" s="6" t="s">
        <v>38</v>
      </c>
      <c r="D479" s="72" t="str">
        <f t="shared" si="10"/>
        <v>043_O_b</v>
      </c>
      <c r="E479" s="72">
        <v>68</v>
      </c>
      <c r="F479" s="72" t="s">
        <v>70</v>
      </c>
      <c r="G479" s="72" t="s">
        <v>583</v>
      </c>
    </row>
    <row r="480" spans="1:7" x14ac:dyDescent="0.2">
      <c r="A480" s="5" t="s">
        <v>577</v>
      </c>
      <c r="B480" s="6" t="s">
        <v>27</v>
      </c>
      <c r="C480" s="6" t="s">
        <v>38</v>
      </c>
      <c r="D480" s="72" t="str">
        <f t="shared" si="10"/>
        <v>043_S_b</v>
      </c>
      <c r="E480" s="72">
        <v>60</v>
      </c>
      <c r="F480" s="72" t="s">
        <v>29</v>
      </c>
      <c r="G480" s="72" t="s">
        <v>582</v>
      </c>
    </row>
    <row r="481" spans="1:7" x14ac:dyDescent="0.2">
      <c r="A481" s="1" t="s">
        <v>577</v>
      </c>
      <c r="B481" t="s">
        <v>33</v>
      </c>
      <c r="C481" t="s">
        <v>38</v>
      </c>
      <c r="D481" s="72" t="str">
        <f t="shared" si="10"/>
        <v>043_V_b</v>
      </c>
      <c r="E481" s="72">
        <v>54</v>
      </c>
      <c r="F481" s="72" t="s">
        <v>41</v>
      </c>
      <c r="G481" s="72" t="s">
        <v>581</v>
      </c>
    </row>
    <row r="482" spans="1:7" x14ac:dyDescent="0.2">
      <c r="A482" s="5" t="s">
        <v>590</v>
      </c>
      <c r="B482" s="6" t="s">
        <v>36</v>
      </c>
      <c r="C482" s="6" t="s">
        <v>38</v>
      </c>
      <c r="D482" s="72" t="str">
        <f t="shared" si="10"/>
        <v>044_O_b</v>
      </c>
      <c r="E482" s="72">
        <v>41</v>
      </c>
      <c r="F482" s="72" t="s">
        <v>49</v>
      </c>
      <c r="G482" s="72" t="s">
        <v>594</v>
      </c>
    </row>
    <row r="483" spans="1:7" x14ac:dyDescent="0.2">
      <c r="A483" s="5" t="s">
        <v>590</v>
      </c>
      <c r="B483" s="6" t="s">
        <v>27</v>
      </c>
      <c r="C483" s="6" t="s">
        <v>38</v>
      </c>
      <c r="D483" s="72" t="str">
        <f t="shared" si="10"/>
        <v>044_S_b</v>
      </c>
      <c r="E483" s="72">
        <v>45</v>
      </c>
      <c r="F483" s="72" t="s">
        <v>70</v>
      </c>
      <c r="G483" s="72" t="s">
        <v>596</v>
      </c>
    </row>
    <row r="484" spans="1:7" x14ac:dyDescent="0.2">
      <c r="A484" s="1" t="s">
        <v>590</v>
      </c>
      <c r="B484" t="s">
        <v>33</v>
      </c>
      <c r="C484" t="s">
        <v>38</v>
      </c>
      <c r="D484" s="72" t="str">
        <f t="shared" si="10"/>
        <v>044_V_b</v>
      </c>
      <c r="E484" s="72">
        <v>43</v>
      </c>
      <c r="F484" s="72" t="s">
        <v>41</v>
      </c>
      <c r="G484" s="72" t="s">
        <v>595</v>
      </c>
    </row>
    <row r="485" spans="1:7" x14ac:dyDescent="0.2">
      <c r="A485" s="5" t="s">
        <v>603</v>
      </c>
      <c r="B485" s="6" t="s">
        <v>36</v>
      </c>
      <c r="C485" s="6" t="s">
        <v>38</v>
      </c>
      <c r="D485" s="72" t="str">
        <f t="shared" si="10"/>
        <v>045_O_b</v>
      </c>
      <c r="E485" s="72">
        <v>40</v>
      </c>
      <c r="F485" s="72" t="s">
        <v>68</v>
      </c>
      <c r="G485" s="72" t="s">
        <v>607</v>
      </c>
    </row>
    <row r="486" spans="1:7" x14ac:dyDescent="0.2">
      <c r="A486" s="5" t="s">
        <v>603</v>
      </c>
      <c r="B486" s="6" t="s">
        <v>27</v>
      </c>
      <c r="C486" s="6" t="s">
        <v>38</v>
      </c>
      <c r="D486" s="72" t="str">
        <f t="shared" si="10"/>
        <v>045_S_b</v>
      </c>
      <c r="E486" s="72">
        <v>61</v>
      </c>
      <c r="F486" s="72" t="s">
        <v>70</v>
      </c>
      <c r="G486" s="72" t="s">
        <v>609</v>
      </c>
    </row>
    <row r="487" spans="1:7" x14ac:dyDescent="0.2">
      <c r="A487" s="1" t="s">
        <v>603</v>
      </c>
      <c r="B487" t="s">
        <v>33</v>
      </c>
      <c r="C487" t="s">
        <v>38</v>
      </c>
      <c r="D487" s="72" t="str">
        <f t="shared" si="10"/>
        <v>045_V_b</v>
      </c>
      <c r="E487" s="72">
        <v>53</v>
      </c>
      <c r="F487" s="72" t="s">
        <v>49</v>
      </c>
      <c r="G487" s="72" t="s">
        <v>608</v>
      </c>
    </row>
    <row r="488" spans="1:7" x14ac:dyDescent="0.2">
      <c r="A488" s="5" t="s">
        <v>616</v>
      </c>
      <c r="B488" s="6" t="s">
        <v>36</v>
      </c>
      <c r="C488" s="6" t="s">
        <v>38</v>
      </c>
      <c r="D488" s="72" t="str">
        <f t="shared" si="10"/>
        <v>046_O_b</v>
      </c>
      <c r="E488" s="72">
        <v>45</v>
      </c>
      <c r="F488" s="72" t="s">
        <v>41</v>
      </c>
      <c r="G488" s="72" t="s">
        <v>621</v>
      </c>
    </row>
    <row r="489" spans="1:7" x14ac:dyDescent="0.2">
      <c r="A489" s="5" t="s">
        <v>616</v>
      </c>
      <c r="B489" s="6" t="s">
        <v>27</v>
      </c>
      <c r="C489" s="6" t="s">
        <v>38</v>
      </c>
      <c r="D489" s="72" t="str">
        <f t="shared" si="10"/>
        <v>046_S_b</v>
      </c>
      <c r="E489" s="72">
        <v>41</v>
      </c>
      <c r="F489" s="72" t="s">
        <v>41</v>
      </c>
      <c r="G489" s="72" t="s">
        <v>620</v>
      </c>
    </row>
    <row r="490" spans="1:7" x14ac:dyDescent="0.2">
      <c r="A490" s="1" t="s">
        <v>616</v>
      </c>
      <c r="B490" t="s">
        <v>33</v>
      </c>
      <c r="C490" t="s">
        <v>38</v>
      </c>
      <c r="D490" s="72" t="str">
        <f t="shared" si="10"/>
        <v>046_V_b</v>
      </c>
      <c r="E490" s="72">
        <v>64</v>
      </c>
      <c r="F490" s="72" t="s">
        <v>63</v>
      </c>
      <c r="G490" s="72" t="s">
        <v>622</v>
      </c>
    </row>
    <row r="491" spans="1:7" x14ac:dyDescent="0.2">
      <c r="A491" s="5" t="s">
        <v>629</v>
      </c>
      <c r="B491" s="6" t="s">
        <v>36</v>
      </c>
      <c r="C491" s="6" t="s">
        <v>38</v>
      </c>
      <c r="D491" s="72" t="str">
        <f t="shared" si="10"/>
        <v>047_O_b</v>
      </c>
      <c r="E491" s="72">
        <v>52</v>
      </c>
      <c r="F491" s="72" t="s">
        <v>49</v>
      </c>
      <c r="G491" s="72" t="s">
        <v>633</v>
      </c>
    </row>
    <row r="492" spans="1:7" x14ac:dyDescent="0.2">
      <c r="A492" s="5" t="s">
        <v>629</v>
      </c>
      <c r="B492" s="6" t="s">
        <v>27</v>
      </c>
      <c r="C492" s="6" t="s">
        <v>38</v>
      </c>
      <c r="D492" s="72" t="str">
        <f t="shared" si="10"/>
        <v>047_S_b</v>
      </c>
      <c r="E492" s="72">
        <v>69</v>
      </c>
      <c r="F492" s="72" t="s">
        <v>41</v>
      </c>
      <c r="G492" s="72" t="s">
        <v>635</v>
      </c>
    </row>
    <row r="493" spans="1:7" x14ac:dyDescent="0.2">
      <c r="A493" s="1" t="s">
        <v>629</v>
      </c>
      <c r="B493" t="s">
        <v>33</v>
      </c>
      <c r="C493" t="s">
        <v>38</v>
      </c>
      <c r="D493" s="72" t="str">
        <f t="shared" si="10"/>
        <v>047_V_b</v>
      </c>
      <c r="E493" s="72">
        <v>60</v>
      </c>
      <c r="F493" s="72" t="s">
        <v>39</v>
      </c>
      <c r="G493" s="72" t="s">
        <v>634</v>
      </c>
    </row>
    <row r="494" spans="1:7" x14ac:dyDescent="0.2">
      <c r="A494" s="5" t="s">
        <v>642</v>
      </c>
      <c r="B494" s="6" t="s">
        <v>36</v>
      </c>
      <c r="C494" s="6" t="s">
        <v>38</v>
      </c>
      <c r="D494" s="72" t="str">
        <f t="shared" si="10"/>
        <v>048_O_b</v>
      </c>
      <c r="E494" s="72">
        <v>68</v>
      </c>
      <c r="F494" s="72" t="s">
        <v>39</v>
      </c>
      <c r="G494" s="72" t="s">
        <v>647</v>
      </c>
    </row>
    <row r="495" spans="1:7" x14ac:dyDescent="0.2">
      <c r="A495" s="5" t="s">
        <v>642</v>
      </c>
      <c r="B495" s="6" t="s">
        <v>27</v>
      </c>
      <c r="C495" s="6" t="s">
        <v>38</v>
      </c>
      <c r="D495" s="72" t="str">
        <f t="shared" si="10"/>
        <v>048_S_b</v>
      </c>
      <c r="E495" s="72">
        <v>68</v>
      </c>
      <c r="F495" s="72" t="s">
        <v>41</v>
      </c>
      <c r="G495" s="72" t="s">
        <v>648</v>
      </c>
    </row>
    <row r="496" spans="1:7" x14ac:dyDescent="0.2">
      <c r="A496" s="1" t="s">
        <v>642</v>
      </c>
      <c r="B496" t="s">
        <v>33</v>
      </c>
      <c r="C496" t="s">
        <v>38</v>
      </c>
      <c r="D496" s="72" t="str">
        <f t="shared" si="10"/>
        <v>048_V_b</v>
      </c>
      <c r="E496" s="72">
        <v>42</v>
      </c>
      <c r="F496" s="72" t="s">
        <v>68</v>
      </c>
      <c r="G496" s="72" t="s">
        <v>646</v>
      </c>
    </row>
    <row r="497" spans="1:7" x14ac:dyDescent="0.2">
      <c r="A497" s="5" t="s">
        <v>655</v>
      </c>
      <c r="B497" s="6" t="s">
        <v>36</v>
      </c>
      <c r="C497" s="6" t="s">
        <v>38</v>
      </c>
      <c r="D497" s="72" t="str">
        <f t="shared" si="10"/>
        <v>049_O_b</v>
      </c>
      <c r="E497" s="72">
        <v>46</v>
      </c>
      <c r="F497" s="72" t="s">
        <v>39</v>
      </c>
      <c r="G497" s="72" t="s">
        <v>660</v>
      </c>
    </row>
    <row r="498" spans="1:7" x14ac:dyDescent="0.2">
      <c r="A498" s="5" t="s">
        <v>655</v>
      </c>
      <c r="B498" s="6" t="s">
        <v>27</v>
      </c>
      <c r="C498" s="6" t="s">
        <v>38</v>
      </c>
      <c r="D498" s="72" t="str">
        <f t="shared" si="10"/>
        <v>049_S_b</v>
      </c>
      <c r="E498" s="72">
        <v>52</v>
      </c>
      <c r="F498" s="72" t="s">
        <v>63</v>
      </c>
      <c r="G498" s="72" t="s">
        <v>661</v>
      </c>
    </row>
    <row r="499" spans="1:7" x14ac:dyDescent="0.2">
      <c r="A499" s="1" t="s">
        <v>655</v>
      </c>
      <c r="B499" t="s">
        <v>33</v>
      </c>
      <c r="C499" t="s">
        <v>38</v>
      </c>
      <c r="D499" s="72" t="str">
        <f t="shared" si="10"/>
        <v>049_V_b</v>
      </c>
      <c r="E499" s="72">
        <v>37</v>
      </c>
      <c r="F499" s="72" t="s">
        <v>68</v>
      </c>
      <c r="G499" s="72" t="s">
        <v>659</v>
      </c>
    </row>
    <row r="500" spans="1:7" x14ac:dyDescent="0.2">
      <c r="A500" s="5" t="s">
        <v>668</v>
      </c>
      <c r="B500" s="6" t="s">
        <v>36</v>
      </c>
      <c r="C500" s="6" t="s">
        <v>38</v>
      </c>
      <c r="D500" s="72" t="str">
        <f t="shared" si="10"/>
        <v>050_O_b</v>
      </c>
      <c r="E500" s="72">
        <v>60</v>
      </c>
      <c r="F500" s="72" t="s">
        <v>82</v>
      </c>
      <c r="G500" s="72" t="s">
        <v>674</v>
      </c>
    </row>
    <row r="501" spans="1:7" x14ac:dyDescent="0.2">
      <c r="A501" s="5" t="s">
        <v>668</v>
      </c>
      <c r="B501" s="6" t="s">
        <v>27</v>
      </c>
      <c r="C501" s="6" t="s">
        <v>38</v>
      </c>
      <c r="D501" s="72" t="str">
        <f t="shared" si="10"/>
        <v>050_S_b</v>
      </c>
      <c r="E501" s="72">
        <v>42</v>
      </c>
      <c r="F501" s="72" t="s">
        <v>41</v>
      </c>
      <c r="G501" s="72" t="s">
        <v>672</v>
      </c>
    </row>
    <row r="502" spans="1:7" x14ac:dyDescent="0.2">
      <c r="A502" s="1" t="s">
        <v>668</v>
      </c>
      <c r="B502" t="s">
        <v>33</v>
      </c>
      <c r="C502" t="s">
        <v>38</v>
      </c>
      <c r="D502" s="72" t="str">
        <f t="shared" si="10"/>
        <v>050_V_b</v>
      </c>
      <c r="E502" s="72">
        <v>55</v>
      </c>
      <c r="F502" s="72" t="s">
        <v>34</v>
      </c>
      <c r="G502" s="72" t="s">
        <v>673</v>
      </c>
    </row>
    <row r="503" spans="1:7" x14ac:dyDescent="0.2">
      <c r="A503" s="5" t="s">
        <v>681</v>
      </c>
      <c r="B503" s="6" t="s">
        <v>36</v>
      </c>
      <c r="C503" s="6" t="s">
        <v>38</v>
      </c>
      <c r="D503" s="72" t="str">
        <f t="shared" si="10"/>
        <v>052_O_b</v>
      </c>
      <c r="E503" s="72">
        <v>47</v>
      </c>
      <c r="F503" s="72" t="s">
        <v>39</v>
      </c>
      <c r="G503" s="72" t="s">
        <v>685</v>
      </c>
    </row>
    <row r="504" spans="1:7" x14ac:dyDescent="0.2">
      <c r="A504" s="5" t="s">
        <v>681</v>
      </c>
      <c r="B504" s="6" t="s">
        <v>27</v>
      </c>
      <c r="C504" s="6" t="s">
        <v>38</v>
      </c>
      <c r="D504" s="72" t="str">
        <f t="shared" si="10"/>
        <v>052_S_b</v>
      </c>
      <c r="E504" s="72">
        <v>49</v>
      </c>
      <c r="F504" s="72" t="s">
        <v>39</v>
      </c>
      <c r="G504" s="72" t="s">
        <v>686</v>
      </c>
    </row>
    <row r="505" spans="1:7" x14ac:dyDescent="0.2">
      <c r="A505" s="1" t="s">
        <v>681</v>
      </c>
      <c r="B505" t="s">
        <v>33</v>
      </c>
      <c r="C505" t="s">
        <v>38</v>
      </c>
      <c r="D505" s="72" t="str">
        <f t="shared" si="10"/>
        <v>052_V_b</v>
      </c>
      <c r="E505" s="72">
        <v>67</v>
      </c>
      <c r="F505" s="72" t="s">
        <v>41</v>
      </c>
      <c r="G505" s="72" t="s">
        <v>687</v>
      </c>
    </row>
    <row r="506" spans="1:7" x14ac:dyDescent="0.2">
      <c r="A506" s="5" t="s">
        <v>694</v>
      </c>
      <c r="B506" s="6" t="s">
        <v>36</v>
      </c>
      <c r="C506" s="6" t="s">
        <v>38</v>
      </c>
      <c r="D506" s="72" t="str">
        <f t="shared" si="10"/>
        <v>053_O_b</v>
      </c>
      <c r="E506" s="72">
        <v>63</v>
      </c>
      <c r="F506" s="72" t="s">
        <v>49</v>
      </c>
      <c r="G506" s="72" t="s">
        <v>701</v>
      </c>
    </row>
    <row r="507" spans="1:7" x14ac:dyDescent="0.2">
      <c r="A507" s="5" t="s">
        <v>694</v>
      </c>
      <c r="B507" s="6" t="s">
        <v>27</v>
      </c>
      <c r="C507" s="6" t="s">
        <v>38</v>
      </c>
      <c r="D507" s="72" t="str">
        <f t="shared" si="10"/>
        <v>053_S_b</v>
      </c>
      <c r="E507" s="72">
        <v>55</v>
      </c>
      <c r="F507" s="72" t="s">
        <v>70</v>
      </c>
      <c r="G507" s="72" t="s">
        <v>700</v>
      </c>
    </row>
    <row r="508" spans="1:7" x14ac:dyDescent="0.2">
      <c r="A508" s="1" t="s">
        <v>694</v>
      </c>
      <c r="B508" t="s">
        <v>33</v>
      </c>
      <c r="C508" t="s">
        <v>38</v>
      </c>
      <c r="D508" s="72" t="str">
        <f t="shared" si="10"/>
        <v>053_V_b</v>
      </c>
      <c r="E508" s="72">
        <v>44</v>
      </c>
      <c r="F508" s="72" t="s">
        <v>68</v>
      </c>
      <c r="G508" s="72" t="s">
        <v>698</v>
      </c>
    </row>
    <row r="509" spans="1:7" x14ac:dyDescent="0.2">
      <c r="A509" s="5" t="s">
        <v>709</v>
      </c>
      <c r="B509" s="6" t="s">
        <v>36</v>
      </c>
      <c r="C509" s="6" t="s">
        <v>38</v>
      </c>
      <c r="D509" s="72" t="str">
        <f t="shared" si="10"/>
        <v>054_O_b</v>
      </c>
      <c r="E509" s="72">
        <v>55</v>
      </c>
      <c r="F509" s="72" t="s">
        <v>43</v>
      </c>
      <c r="G509" s="72" t="s">
        <v>713</v>
      </c>
    </row>
    <row r="510" spans="1:7" x14ac:dyDescent="0.2">
      <c r="A510" s="5" t="s">
        <v>709</v>
      </c>
      <c r="B510" s="6" t="s">
        <v>27</v>
      </c>
      <c r="C510" s="6" t="s">
        <v>38</v>
      </c>
      <c r="D510" s="72" t="str">
        <f t="shared" si="10"/>
        <v>054_S_b</v>
      </c>
      <c r="E510" s="72">
        <v>63</v>
      </c>
      <c r="F510" s="72" t="s">
        <v>82</v>
      </c>
      <c r="G510" s="72" t="s">
        <v>715</v>
      </c>
    </row>
    <row r="511" spans="1:7" x14ac:dyDescent="0.2">
      <c r="A511" s="1" t="s">
        <v>709</v>
      </c>
      <c r="B511" t="s">
        <v>33</v>
      </c>
      <c r="C511" t="s">
        <v>38</v>
      </c>
      <c r="D511" s="72" t="str">
        <f t="shared" si="10"/>
        <v>054_V_b</v>
      </c>
      <c r="E511" s="72">
        <v>55</v>
      </c>
      <c r="F511" s="72" t="s">
        <v>63</v>
      </c>
      <c r="G511" s="72" t="s">
        <v>714</v>
      </c>
    </row>
    <row r="512" spans="1:7" x14ac:dyDescent="0.2">
      <c r="A512" s="5" t="s">
        <v>722</v>
      </c>
      <c r="B512" s="6" t="s">
        <v>36</v>
      </c>
      <c r="C512" s="6" t="s">
        <v>38</v>
      </c>
      <c r="D512" s="72" t="str">
        <f t="shared" si="10"/>
        <v>055_O_b</v>
      </c>
      <c r="E512" s="72">
        <v>40</v>
      </c>
      <c r="F512" s="72" t="s">
        <v>41</v>
      </c>
      <c r="G512" s="72" t="s">
        <v>726</v>
      </c>
    </row>
    <row r="513" spans="1:7" x14ac:dyDescent="0.2">
      <c r="A513" s="5" t="s">
        <v>722</v>
      </c>
      <c r="B513" s="6" t="s">
        <v>27</v>
      </c>
      <c r="C513" s="6" t="s">
        <v>38</v>
      </c>
      <c r="D513" s="72" t="str">
        <f t="shared" si="10"/>
        <v>055_S_b</v>
      </c>
      <c r="E513" s="72">
        <v>61</v>
      </c>
      <c r="F513" s="72" t="s">
        <v>68</v>
      </c>
      <c r="G513" s="72" t="s">
        <v>728</v>
      </c>
    </row>
    <row r="514" spans="1:7" x14ac:dyDescent="0.2">
      <c r="A514" s="1" t="s">
        <v>722</v>
      </c>
      <c r="B514" t="s">
        <v>33</v>
      </c>
      <c r="C514" t="s">
        <v>38</v>
      </c>
      <c r="D514" s="72" t="str">
        <f t="shared" ref="D514:D577" si="11">A514&amp;"_"&amp;B514&amp;"_"&amp;C514</f>
        <v>055_V_b</v>
      </c>
      <c r="E514" s="72">
        <v>46</v>
      </c>
      <c r="F514" s="72" t="s">
        <v>49</v>
      </c>
      <c r="G514" s="72" t="s">
        <v>727</v>
      </c>
    </row>
    <row r="515" spans="1:7" x14ac:dyDescent="0.2">
      <c r="A515" s="5" t="s">
        <v>736</v>
      </c>
      <c r="B515" s="6" t="s">
        <v>36</v>
      </c>
      <c r="C515" s="6" t="s">
        <v>38</v>
      </c>
      <c r="D515" s="72" t="str">
        <f t="shared" si="11"/>
        <v>056_O_b</v>
      </c>
      <c r="E515" s="72">
        <v>47</v>
      </c>
      <c r="F515" s="72" t="s">
        <v>82</v>
      </c>
      <c r="G515" s="72" t="s">
        <v>741</v>
      </c>
    </row>
    <row r="516" spans="1:7" x14ac:dyDescent="0.2">
      <c r="A516" s="5" t="s">
        <v>736</v>
      </c>
      <c r="B516" s="6" t="s">
        <v>27</v>
      </c>
      <c r="C516" s="6" t="s">
        <v>38</v>
      </c>
      <c r="D516" s="72" t="str">
        <f t="shared" si="11"/>
        <v>056_S_b</v>
      </c>
      <c r="E516" s="72">
        <v>47</v>
      </c>
      <c r="F516" s="72" t="s">
        <v>34</v>
      </c>
      <c r="G516" s="72" t="s">
        <v>740</v>
      </c>
    </row>
    <row r="517" spans="1:7" x14ac:dyDescent="0.2">
      <c r="A517" s="1" t="s">
        <v>736</v>
      </c>
      <c r="B517" t="s">
        <v>33</v>
      </c>
      <c r="C517" t="s">
        <v>38</v>
      </c>
      <c r="D517" s="72" t="str">
        <f t="shared" si="11"/>
        <v>056_V_b</v>
      </c>
      <c r="E517" s="72">
        <v>72</v>
      </c>
      <c r="F517" s="72" t="s">
        <v>70</v>
      </c>
      <c r="G517" s="72" t="s">
        <v>742</v>
      </c>
    </row>
    <row r="518" spans="1:7" x14ac:dyDescent="0.2">
      <c r="A518" s="5" t="s">
        <v>749</v>
      </c>
      <c r="B518" s="6" t="s">
        <v>36</v>
      </c>
      <c r="C518" s="6" t="s">
        <v>38</v>
      </c>
      <c r="D518" s="72" t="str">
        <f t="shared" si="11"/>
        <v>057_O_b</v>
      </c>
      <c r="E518" s="72">
        <v>72</v>
      </c>
      <c r="F518" s="72" t="s">
        <v>41</v>
      </c>
      <c r="G518" s="72" t="s">
        <v>755</v>
      </c>
    </row>
    <row r="519" spans="1:7" x14ac:dyDescent="0.2">
      <c r="A519" s="5" t="s">
        <v>749</v>
      </c>
      <c r="B519" s="6" t="s">
        <v>27</v>
      </c>
      <c r="C519" s="6" t="s">
        <v>38</v>
      </c>
      <c r="D519" s="72" t="str">
        <f t="shared" si="11"/>
        <v>057_S_b</v>
      </c>
      <c r="E519" s="72">
        <v>70</v>
      </c>
      <c r="F519" s="72" t="s">
        <v>49</v>
      </c>
      <c r="G519" s="72" t="s">
        <v>754</v>
      </c>
    </row>
    <row r="520" spans="1:7" x14ac:dyDescent="0.2">
      <c r="A520" s="1" t="s">
        <v>749</v>
      </c>
      <c r="B520" t="s">
        <v>33</v>
      </c>
      <c r="C520" t="s">
        <v>38</v>
      </c>
      <c r="D520" s="72" t="str">
        <f t="shared" si="11"/>
        <v>057_V_b</v>
      </c>
      <c r="E520" s="72">
        <v>46</v>
      </c>
      <c r="F520" s="72" t="s">
        <v>68</v>
      </c>
      <c r="G520" s="72" t="s">
        <v>753</v>
      </c>
    </row>
    <row r="521" spans="1:7" x14ac:dyDescent="0.2">
      <c r="A521" s="5" t="s">
        <v>762</v>
      </c>
      <c r="B521" s="6" t="s">
        <v>36</v>
      </c>
      <c r="C521" s="6" t="s">
        <v>38</v>
      </c>
      <c r="D521" s="72" t="str">
        <f t="shared" si="11"/>
        <v>058_O_b</v>
      </c>
      <c r="E521" s="72">
        <v>53</v>
      </c>
      <c r="F521" s="72" t="s">
        <v>34</v>
      </c>
      <c r="G521" s="72" t="s">
        <v>767</v>
      </c>
    </row>
    <row r="522" spans="1:7" x14ac:dyDescent="0.2">
      <c r="A522" s="5" t="s">
        <v>762</v>
      </c>
      <c r="B522" s="6" t="s">
        <v>27</v>
      </c>
      <c r="C522" s="6" t="s">
        <v>38</v>
      </c>
      <c r="D522" s="72" t="str">
        <f t="shared" si="11"/>
        <v>058_S_b</v>
      </c>
      <c r="E522" s="72">
        <v>59</v>
      </c>
      <c r="F522" s="72" t="s">
        <v>29</v>
      </c>
      <c r="G522" s="72" t="s">
        <v>768</v>
      </c>
    </row>
    <row r="523" spans="1:7" x14ac:dyDescent="0.2">
      <c r="A523" s="1" t="s">
        <v>762</v>
      </c>
      <c r="B523" t="s">
        <v>33</v>
      </c>
      <c r="C523" t="s">
        <v>38</v>
      </c>
      <c r="D523" s="72" t="str">
        <f t="shared" si="11"/>
        <v>058_V_b</v>
      </c>
      <c r="E523" s="72">
        <v>42</v>
      </c>
      <c r="F523" s="72" t="s">
        <v>70</v>
      </c>
      <c r="G523" s="72" t="s">
        <v>766</v>
      </c>
    </row>
    <row r="524" spans="1:7" x14ac:dyDescent="0.2">
      <c r="A524" s="5" t="s">
        <v>775</v>
      </c>
      <c r="B524" s="6" t="s">
        <v>36</v>
      </c>
      <c r="C524" s="6" t="s">
        <v>38</v>
      </c>
      <c r="D524" s="72" t="str">
        <f t="shared" si="11"/>
        <v>059_O_b</v>
      </c>
      <c r="E524" s="72">
        <v>67</v>
      </c>
      <c r="F524" s="72" t="s">
        <v>39</v>
      </c>
      <c r="G524" s="72" t="s">
        <v>780</v>
      </c>
    </row>
    <row r="525" spans="1:7" x14ac:dyDescent="0.2">
      <c r="A525" s="5" t="s">
        <v>775</v>
      </c>
      <c r="B525" s="6" t="s">
        <v>27</v>
      </c>
      <c r="C525" s="6" t="s">
        <v>38</v>
      </c>
      <c r="D525" s="72" t="str">
        <f t="shared" si="11"/>
        <v>059_S_b</v>
      </c>
      <c r="E525" s="72">
        <v>50</v>
      </c>
      <c r="F525" s="72" t="s">
        <v>70</v>
      </c>
      <c r="G525" s="72" t="s">
        <v>779</v>
      </c>
    </row>
    <row r="526" spans="1:7" x14ac:dyDescent="0.2">
      <c r="A526" s="1" t="s">
        <v>775</v>
      </c>
      <c r="B526" t="s">
        <v>33</v>
      </c>
      <c r="C526" t="s">
        <v>38</v>
      </c>
      <c r="D526" s="72" t="str">
        <f t="shared" si="11"/>
        <v>059_V_b</v>
      </c>
      <c r="E526" s="72">
        <v>71</v>
      </c>
      <c r="F526" s="72" t="s">
        <v>41</v>
      </c>
      <c r="G526" s="72" t="s">
        <v>781</v>
      </c>
    </row>
    <row r="527" spans="1:7" x14ac:dyDescent="0.2">
      <c r="A527" s="5" t="s">
        <v>788</v>
      </c>
      <c r="B527" s="6" t="s">
        <v>36</v>
      </c>
      <c r="C527" s="6" t="s">
        <v>38</v>
      </c>
      <c r="D527" s="72" t="str">
        <f t="shared" si="11"/>
        <v>060_O_b</v>
      </c>
      <c r="E527" s="72">
        <v>44</v>
      </c>
      <c r="F527" s="72" t="s">
        <v>29</v>
      </c>
      <c r="G527" s="72" t="s">
        <v>792</v>
      </c>
    </row>
    <row r="528" spans="1:7" x14ac:dyDescent="0.2">
      <c r="A528" s="5" t="s">
        <v>788</v>
      </c>
      <c r="B528" s="6" t="s">
        <v>27</v>
      </c>
      <c r="C528" s="6" t="s">
        <v>38</v>
      </c>
      <c r="D528" s="72" t="str">
        <f t="shared" si="11"/>
        <v>060_S_b</v>
      </c>
      <c r="E528" s="72">
        <v>50</v>
      </c>
      <c r="F528" s="72" t="s">
        <v>82</v>
      </c>
      <c r="G528" s="72" t="s">
        <v>794</v>
      </c>
    </row>
    <row r="529" spans="1:7" x14ac:dyDescent="0.2">
      <c r="A529" s="1" t="s">
        <v>788</v>
      </c>
      <c r="B529" t="s">
        <v>33</v>
      </c>
      <c r="C529" t="s">
        <v>38</v>
      </c>
      <c r="D529" s="72" t="str">
        <f t="shared" si="11"/>
        <v>060_V_b</v>
      </c>
      <c r="E529" s="72">
        <v>48</v>
      </c>
      <c r="F529" s="72" t="s">
        <v>29</v>
      </c>
      <c r="G529" s="72" t="s">
        <v>793</v>
      </c>
    </row>
    <row r="530" spans="1:7" x14ac:dyDescent="0.2">
      <c r="A530" s="5" t="s">
        <v>801</v>
      </c>
      <c r="B530" s="6" t="s">
        <v>36</v>
      </c>
      <c r="C530" s="6" t="s">
        <v>38</v>
      </c>
      <c r="D530" s="72" t="str">
        <f t="shared" si="11"/>
        <v>062_O_b</v>
      </c>
      <c r="E530" s="72">
        <v>42</v>
      </c>
      <c r="F530" s="72" t="s">
        <v>43</v>
      </c>
      <c r="G530" s="72" t="s">
        <v>806</v>
      </c>
    </row>
    <row r="531" spans="1:7" x14ac:dyDescent="0.2">
      <c r="A531" s="5" t="s">
        <v>801</v>
      </c>
      <c r="B531" s="6" t="s">
        <v>27</v>
      </c>
      <c r="C531" s="6" t="s">
        <v>38</v>
      </c>
      <c r="D531" s="72" t="str">
        <f t="shared" si="11"/>
        <v>062_S_b</v>
      </c>
      <c r="E531" s="72">
        <v>72</v>
      </c>
      <c r="F531" s="72" t="s">
        <v>82</v>
      </c>
      <c r="G531" s="72" t="s">
        <v>807</v>
      </c>
    </row>
    <row r="532" spans="1:7" x14ac:dyDescent="0.2">
      <c r="A532" s="1" t="s">
        <v>801</v>
      </c>
      <c r="B532" t="s">
        <v>33</v>
      </c>
      <c r="C532" t="s">
        <v>38</v>
      </c>
      <c r="D532" s="72" t="str">
        <f t="shared" si="11"/>
        <v>062_V_b</v>
      </c>
      <c r="E532" s="72">
        <v>37</v>
      </c>
      <c r="F532" s="72" t="s">
        <v>39</v>
      </c>
      <c r="G532" s="72" t="s">
        <v>805</v>
      </c>
    </row>
    <row r="533" spans="1:7" x14ac:dyDescent="0.2">
      <c r="A533" s="5" t="s">
        <v>814</v>
      </c>
      <c r="B533" s="6" t="s">
        <v>36</v>
      </c>
      <c r="C533" s="6" t="s">
        <v>38</v>
      </c>
      <c r="D533" s="72" t="str">
        <f t="shared" si="11"/>
        <v>063_O_b</v>
      </c>
      <c r="E533" s="72">
        <v>54</v>
      </c>
      <c r="F533" s="72" t="s">
        <v>29</v>
      </c>
      <c r="G533" s="72" t="s">
        <v>820</v>
      </c>
    </row>
    <row r="534" spans="1:7" x14ac:dyDescent="0.2">
      <c r="A534" s="5" t="s">
        <v>814</v>
      </c>
      <c r="B534" s="6" t="s">
        <v>27</v>
      </c>
      <c r="C534" s="6" t="s">
        <v>38</v>
      </c>
      <c r="D534" s="72" t="str">
        <f t="shared" si="11"/>
        <v>063_S_b</v>
      </c>
      <c r="E534" s="72">
        <v>43</v>
      </c>
      <c r="F534" s="72" t="s">
        <v>82</v>
      </c>
      <c r="G534" s="72" t="s">
        <v>818</v>
      </c>
    </row>
    <row r="535" spans="1:7" x14ac:dyDescent="0.2">
      <c r="A535" s="1" t="s">
        <v>814</v>
      </c>
      <c r="B535" t="s">
        <v>33</v>
      </c>
      <c r="C535" t="s">
        <v>38</v>
      </c>
      <c r="D535" s="72" t="str">
        <f t="shared" si="11"/>
        <v>063_V_b</v>
      </c>
      <c r="E535" s="72">
        <v>45</v>
      </c>
      <c r="F535" s="72" t="s">
        <v>82</v>
      </c>
      <c r="G535" s="72" t="s">
        <v>819</v>
      </c>
    </row>
    <row r="536" spans="1:7" x14ac:dyDescent="0.2">
      <c r="A536" s="5" t="s">
        <v>827</v>
      </c>
      <c r="B536" s="6" t="s">
        <v>36</v>
      </c>
      <c r="C536" s="6" t="s">
        <v>38</v>
      </c>
      <c r="D536" s="72" t="str">
        <f t="shared" si="11"/>
        <v>064_O_b</v>
      </c>
      <c r="E536" s="72">
        <v>72</v>
      </c>
      <c r="F536" s="72" t="s">
        <v>63</v>
      </c>
      <c r="G536" s="72" t="s">
        <v>833</v>
      </c>
    </row>
    <row r="537" spans="1:7" x14ac:dyDescent="0.2">
      <c r="A537" s="5" t="s">
        <v>827</v>
      </c>
      <c r="B537" s="6" t="s">
        <v>27</v>
      </c>
      <c r="C537" s="6" t="s">
        <v>38</v>
      </c>
      <c r="D537" s="72" t="str">
        <f t="shared" si="11"/>
        <v>064_S_b</v>
      </c>
      <c r="E537" s="72">
        <v>54</v>
      </c>
      <c r="F537" s="72" t="s">
        <v>34</v>
      </c>
      <c r="G537" s="72" t="s">
        <v>831</v>
      </c>
    </row>
    <row r="538" spans="1:7" x14ac:dyDescent="0.2">
      <c r="A538" s="1" t="s">
        <v>827</v>
      </c>
      <c r="B538" t="s">
        <v>33</v>
      </c>
      <c r="C538" t="s">
        <v>38</v>
      </c>
      <c r="D538" s="72" t="str">
        <f t="shared" si="11"/>
        <v>064_V_b</v>
      </c>
      <c r="E538" s="72">
        <v>59</v>
      </c>
      <c r="F538" s="72" t="s">
        <v>70</v>
      </c>
      <c r="G538" s="72" t="s">
        <v>832</v>
      </c>
    </row>
    <row r="539" spans="1:7" x14ac:dyDescent="0.2">
      <c r="A539" s="5" t="s">
        <v>840</v>
      </c>
      <c r="B539" s="6" t="s">
        <v>36</v>
      </c>
      <c r="C539" s="6" t="s">
        <v>38</v>
      </c>
      <c r="D539" s="72" t="str">
        <f t="shared" si="11"/>
        <v>065_O_b</v>
      </c>
      <c r="E539" s="72">
        <v>64</v>
      </c>
      <c r="F539" s="72" t="s">
        <v>68</v>
      </c>
      <c r="G539" s="72" t="s">
        <v>846</v>
      </c>
    </row>
    <row r="540" spans="1:7" x14ac:dyDescent="0.2">
      <c r="A540" s="5" t="s">
        <v>840</v>
      </c>
      <c r="B540" s="6" t="s">
        <v>27</v>
      </c>
      <c r="C540" s="6" t="s">
        <v>38</v>
      </c>
      <c r="D540" s="72" t="str">
        <f t="shared" si="11"/>
        <v>065_S_b</v>
      </c>
      <c r="E540" s="72">
        <v>39</v>
      </c>
      <c r="F540" s="72" t="s">
        <v>29</v>
      </c>
      <c r="G540" s="72" t="s">
        <v>844</v>
      </c>
    </row>
    <row r="541" spans="1:7" x14ac:dyDescent="0.2">
      <c r="A541" s="1" t="s">
        <v>840</v>
      </c>
      <c r="B541" t="s">
        <v>33</v>
      </c>
      <c r="C541" t="s">
        <v>38</v>
      </c>
      <c r="D541" s="72" t="str">
        <f t="shared" si="11"/>
        <v>065_V_b</v>
      </c>
      <c r="E541" s="72">
        <v>56</v>
      </c>
      <c r="F541" s="72" t="s">
        <v>43</v>
      </c>
      <c r="G541" s="72" t="s">
        <v>845</v>
      </c>
    </row>
    <row r="542" spans="1:7" x14ac:dyDescent="0.2">
      <c r="A542" s="5" t="s">
        <v>853</v>
      </c>
      <c r="B542" s="6" t="s">
        <v>36</v>
      </c>
      <c r="C542" s="6" t="s">
        <v>38</v>
      </c>
      <c r="D542" s="72" t="str">
        <f t="shared" si="11"/>
        <v>067_O_b</v>
      </c>
      <c r="E542" s="72">
        <v>59</v>
      </c>
      <c r="F542" s="72" t="s">
        <v>49</v>
      </c>
      <c r="G542" s="72" t="s">
        <v>858</v>
      </c>
    </row>
    <row r="543" spans="1:7" x14ac:dyDescent="0.2">
      <c r="A543" s="5" t="s">
        <v>853</v>
      </c>
      <c r="B543" s="6" t="s">
        <v>27</v>
      </c>
      <c r="C543" s="6" t="s">
        <v>38</v>
      </c>
      <c r="D543" s="72" t="str">
        <f t="shared" si="11"/>
        <v>067_S_b</v>
      </c>
      <c r="E543" s="72">
        <v>38</v>
      </c>
      <c r="F543" s="72" t="s">
        <v>43</v>
      </c>
      <c r="G543" s="72" t="s">
        <v>857</v>
      </c>
    </row>
    <row r="544" spans="1:7" x14ac:dyDescent="0.2">
      <c r="A544" s="1" t="s">
        <v>853</v>
      </c>
      <c r="B544" t="s">
        <v>33</v>
      </c>
      <c r="C544" t="s">
        <v>38</v>
      </c>
      <c r="D544" s="72" t="str">
        <f t="shared" si="11"/>
        <v>067_V_b</v>
      </c>
      <c r="E544" s="72">
        <v>64</v>
      </c>
      <c r="F544" s="72" t="s">
        <v>39</v>
      </c>
      <c r="G544" s="72" t="s">
        <v>859</v>
      </c>
    </row>
    <row r="545" spans="1:7" x14ac:dyDescent="0.2">
      <c r="A545" s="5" t="s">
        <v>866</v>
      </c>
      <c r="B545" s="6" t="s">
        <v>36</v>
      </c>
      <c r="C545" s="6" t="s">
        <v>38</v>
      </c>
      <c r="D545" s="72" t="str">
        <f t="shared" si="11"/>
        <v>068_O_b</v>
      </c>
      <c r="E545" s="72">
        <v>43</v>
      </c>
      <c r="F545" s="72" t="s">
        <v>68</v>
      </c>
      <c r="G545" s="72" t="s">
        <v>871</v>
      </c>
    </row>
    <row r="546" spans="1:7" x14ac:dyDescent="0.2">
      <c r="A546" s="5" t="s">
        <v>866</v>
      </c>
      <c r="B546" s="6" t="s">
        <v>27</v>
      </c>
      <c r="C546" s="6" t="s">
        <v>38</v>
      </c>
      <c r="D546" s="72" t="str">
        <f t="shared" si="11"/>
        <v>068_S_b</v>
      </c>
      <c r="E546" s="72">
        <v>56</v>
      </c>
      <c r="F546" s="72" t="s">
        <v>41</v>
      </c>
      <c r="G546" s="72" t="s">
        <v>873</v>
      </c>
    </row>
    <row r="547" spans="1:7" x14ac:dyDescent="0.2">
      <c r="A547" s="1" t="s">
        <v>866</v>
      </c>
      <c r="B547" t="s">
        <v>33</v>
      </c>
      <c r="C547" t="s">
        <v>38</v>
      </c>
      <c r="D547" s="72" t="str">
        <f t="shared" si="11"/>
        <v>068_V_b</v>
      </c>
      <c r="E547" s="72">
        <v>44</v>
      </c>
      <c r="F547" s="72" t="s">
        <v>43</v>
      </c>
      <c r="G547" s="72" t="s">
        <v>872</v>
      </c>
    </row>
    <row r="548" spans="1:7" x14ac:dyDescent="0.2">
      <c r="A548" s="5" t="s">
        <v>880</v>
      </c>
      <c r="B548" s="6" t="s">
        <v>36</v>
      </c>
      <c r="C548" s="6" t="s">
        <v>38</v>
      </c>
      <c r="D548" s="72" t="str">
        <f t="shared" si="11"/>
        <v>069_O_b</v>
      </c>
      <c r="E548" s="72">
        <v>58</v>
      </c>
      <c r="F548" s="72" t="s">
        <v>29</v>
      </c>
      <c r="G548" s="72" t="s">
        <v>886</v>
      </c>
    </row>
    <row r="549" spans="1:7" x14ac:dyDescent="0.2">
      <c r="A549" s="5" t="s">
        <v>880</v>
      </c>
      <c r="B549" s="6" t="s">
        <v>27</v>
      </c>
      <c r="C549" s="6" t="s">
        <v>38</v>
      </c>
      <c r="D549" s="72" t="str">
        <f t="shared" si="11"/>
        <v>069_S_b</v>
      </c>
      <c r="E549" s="72">
        <v>47</v>
      </c>
      <c r="F549" s="72" t="s">
        <v>68</v>
      </c>
      <c r="G549" s="72" t="s">
        <v>884</v>
      </c>
    </row>
    <row r="550" spans="1:7" x14ac:dyDescent="0.2">
      <c r="A550" s="1" t="s">
        <v>880</v>
      </c>
      <c r="B550" t="s">
        <v>33</v>
      </c>
      <c r="C550" t="s">
        <v>38</v>
      </c>
      <c r="D550" s="72" t="str">
        <f t="shared" si="11"/>
        <v>069_V_b</v>
      </c>
      <c r="E550" s="72">
        <v>57</v>
      </c>
      <c r="F550" s="72" t="s">
        <v>34</v>
      </c>
      <c r="G550" s="72" t="s">
        <v>885</v>
      </c>
    </row>
    <row r="551" spans="1:7" x14ac:dyDescent="0.2">
      <c r="A551" s="5" t="s">
        <v>893</v>
      </c>
      <c r="B551" s="6" t="s">
        <v>36</v>
      </c>
      <c r="C551" s="6" t="s">
        <v>38</v>
      </c>
      <c r="D551" s="72" t="str">
        <f t="shared" si="11"/>
        <v>070_O_b</v>
      </c>
      <c r="E551" s="72">
        <v>58</v>
      </c>
      <c r="F551" s="72" t="s">
        <v>68</v>
      </c>
      <c r="G551" s="72" t="s">
        <v>898</v>
      </c>
    </row>
    <row r="552" spans="1:7" x14ac:dyDescent="0.2">
      <c r="A552" s="5" t="s">
        <v>893</v>
      </c>
      <c r="B552" s="6" t="s">
        <v>27</v>
      </c>
      <c r="C552" s="6" t="s">
        <v>38</v>
      </c>
      <c r="D552" s="72" t="str">
        <f t="shared" si="11"/>
        <v>070_S_b</v>
      </c>
      <c r="E552" s="72">
        <v>64</v>
      </c>
      <c r="F552" s="72" t="s">
        <v>29</v>
      </c>
      <c r="G552" s="72" t="s">
        <v>899</v>
      </c>
    </row>
    <row r="553" spans="1:7" x14ac:dyDescent="0.2">
      <c r="A553" s="1" t="s">
        <v>893</v>
      </c>
      <c r="B553" t="s">
        <v>33</v>
      </c>
      <c r="C553" t="s">
        <v>38</v>
      </c>
      <c r="D553" s="72" t="str">
        <f t="shared" si="11"/>
        <v>070_V_b</v>
      </c>
      <c r="E553" s="72">
        <v>58</v>
      </c>
      <c r="F553" s="72" t="s">
        <v>43</v>
      </c>
      <c r="G553" s="72" t="s">
        <v>897</v>
      </c>
    </row>
    <row r="554" spans="1:7" x14ac:dyDescent="0.2">
      <c r="A554" s="5" t="s">
        <v>907</v>
      </c>
      <c r="B554" s="6" t="s">
        <v>36</v>
      </c>
      <c r="C554" s="6" t="s">
        <v>38</v>
      </c>
      <c r="D554" s="72" t="str">
        <f t="shared" si="11"/>
        <v>071_O_b</v>
      </c>
      <c r="E554" s="72">
        <v>59</v>
      </c>
      <c r="F554" s="72" t="s">
        <v>34</v>
      </c>
      <c r="G554" s="72" t="s">
        <v>912</v>
      </c>
    </row>
    <row r="555" spans="1:7" x14ac:dyDescent="0.2">
      <c r="A555" s="5" t="s">
        <v>907</v>
      </c>
      <c r="B555" s="6" t="s">
        <v>27</v>
      </c>
      <c r="C555" s="6" t="s">
        <v>38</v>
      </c>
      <c r="D555" s="72" t="str">
        <f t="shared" si="11"/>
        <v>071_S_b</v>
      </c>
      <c r="E555" s="72">
        <v>55</v>
      </c>
      <c r="F555" s="72" t="s">
        <v>41</v>
      </c>
      <c r="G555" s="72" t="s">
        <v>911</v>
      </c>
    </row>
    <row r="556" spans="1:7" x14ac:dyDescent="0.2">
      <c r="A556" s="1" t="s">
        <v>907</v>
      </c>
      <c r="B556" t="s">
        <v>33</v>
      </c>
      <c r="C556" t="s">
        <v>38</v>
      </c>
      <c r="D556" s="72" t="str">
        <f t="shared" si="11"/>
        <v>071_V_b</v>
      </c>
      <c r="E556" s="72">
        <v>63</v>
      </c>
      <c r="F556" s="72" t="s">
        <v>41</v>
      </c>
      <c r="G556" s="72" t="s">
        <v>913</v>
      </c>
    </row>
    <row r="557" spans="1:7" x14ac:dyDescent="0.2">
      <c r="A557" s="5" t="s">
        <v>920</v>
      </c>
      <c r="B557" s="6" t="s">
        <v>36</v>
      </c>
      <c r="C557" s="6" t="s">
        <v>38</v>
      </c>
      <c r="D557" s="72" t="str">
        <f t="shared" si="11"/>
        <v>072_O_b</v>
      </c>
      <c r="E557" s="72">
        <v>62</v>
      </c>
      <c r="F557" s="72" t="s">
        <v>63</v>
      </c>
      <c r="G557" s="72" t="s">
        <v>926</v>
      </c>
    </row>
    <row r="558" spans="1:7" x14ac:dyDescent="0.2">
      <c r="A558" s="5" t="s">
        <v>920</v>
      </c>
      <c r="B558" s="6" t="s">
        <v>27</v>
      </c>
      <c r="C558" s="6" t="s">
        <v>38</v>
      </c>
      <c r="D558" s="72" t="str">
        <f t="shared" si="11"/>
        <v>072_S_b</v>
      </c>
      <c r="E558" s="72">
        <v>58</v>
      </c>
      <c r="F558" s="72" t="s">
        <v>70</v>
      </c>
      <c r="G558" s="72" t="s">
        <v>925</v>
      </c>
    </row>
    <row r="559" spans="1:7" x14ac:dyDescent="0.2">
      <c r="A559" s="1" t="s">
        <v>920</v>
      </c>
      <c r="B559" t="s">
        <v>33</v>
      </c>
      <c r="C559" t="s">
        <v>38</v>
      </c>
      <c r="D559" s="72" t="str">
        <f t="shared" si="11"/>
        <v>072_V_b</v>
      </c>
      <c r="E559" s="72">
        <v>50</v>
      </c>
      <c r="F559" s="72" t="s">
        <v>63</v>
      </c>
      <c r="G559" s="72" t="s">
        <v>924</v>
      </c>
    </row>
    <row r="560" spans="1:7" x14ac:dyDescent="0.2">
      <c r="A560" s="5" t="s">
        <v>933</v>
      </c>
      <c r="B560" s="6" t="s">
        <v>36</v>
      </c>
      <c r="C560" s="6" t="s">
        <v>38</v>
      </c>
      <c r="D560" s="72" t="str">
        <f t="shared" si="11"/>
        <v>073_O_b</v>
      </c>
      <c r="E560" s="72">
        <v>61</v>
      </c>
      <c r="F560" s="72" t="s">
        <v>82</v>
      </c>
      <c r="G560" s="72" t="s">
        <v>939</v>
      </c>
    </row>
    <row r="561" spans="1:7" x14ac:dyDescent="0.2">
      <c r="A561" s="5" t="s">
        <v>933</v>
      </c>
      <c r="B561" s="6" t="s">
        <v>27</v>
      </c>
      <c r="C561" s="6" t="s">
        <v>38</v>
      </c>
      <c r="D561" s="72" t="str">
        <f t="shared" si="11"/>
        <v>073_S_b</v>
      </c>
      <c r="E561" s="72">
        <v>57</v>
      </c>
      <c r="F561" s="72" t="s">
        <v>43</v>
      </c>
      <c r="G561" s="72" t="s">
        <v>938</v>
      </c>
    </row>
    <row r="562" spans="1:7" x14ac:dyDescent="0.2">
      <c r="A562" s="1" t="s">
        <v>933</v>
      </c>
      <c r="B562" t="s">
        <v>33</v>
      </c>
      <c r="C562" t="s">
        <v>38</v>
      </c>
      <c r="D562" s="72" t="str">
        <f t="shared" si="11"/>
        <v>073_V_b</v>
      </c>
      <c r="E562" s="72">
        <v>47</v>
      </c>
      <c r="F562" s="72" t="s">
        <v>63</v>
      </c>
      <c r="G562" s="72" t="s">
        <v>937</v>
      </c>
    </row>
    <row r="563" spans="1:7" x14ac:dyDescent="0.2">
      <c r="A563" s="5" t="s">
        <v>946</v>
      </c>
      <c r="B563" s="6" t="s">
        <v>36</v>
      </c>
      <c r="C563" s="6" t="s">
        <v>38</v>
      </c>
      <c r="D563" s="72" t="str">
        <f t="shared" si="11"/>
        <v>074_O_b</v>
      </c>
      <c r="E563" s="72">
        <v>47</v>
      </c>
      <c r="F563" s="72" t="s">
        <v>41</v>
      </c>
      <c r="G563" s="72" t="s">
        <v>950</v>
      </c>
    </row>
    <row r="564" spans="1:7" x14ac:dyDescent="0.2">
      <c r="A564" s="5" t="s">
        <v>946</v>
      </c>
      <c r="B564" s="6" t="s">
        <v>27</v>
      </c>
      <c r="C564" s="6" t="s">
        <v>38</v>
      </c>
      <c r="D564" s="72" t="str">
        <f t="shared" si="11"/>
        <v>074_S_b</v>
      </c>
      <c r="E564" s="72">
        <v>57</v>
      </c>
      <c r="F564" s="72" t="s">
        <v>39</v>
      </c>
      <c r="G564" s="72" t="s">
        <v>951</v>
      </c>
    </row>
    <row r="565" spans="1:7" x14ac:dyDescent="0.2">
      <c r="A565" s="1" t="s">
        <v>946</v>
      </c>
      <c r="B565" t="s">
        <v>33</v>
      </c>
      <c r="C565" t="s">
        <v>38</v>
      </c>
      <c r="D565" s="72" t="str">
        <f t="shared" si="11"/>
        <v>074_V_b</v>
      </c>
      <c r="E565" s="72">
        <v>57</v>
      </c>
      <c r="F565" s="72" t="s">
        <v>41</v>
      </c>
      <c r="G565" s="72" t="s">
        <v>952</v>
      </c>
    </row>
    <row r="566" spans="1:7" x14ac:dyDescent="0.2">
      <c r="A566" s="5" t="s">
        <v>959</v>
      </c>
      <c r="B566" s="6" t="s">
        <v>36</v>
      </c>
      <c r="C566" s="6" t="s">
        <v>38</v>
      </c>
      <c r="D566" s="72" t="str">
        <f t="shared" si="11"/>
        <v>075_O_b</v>
      </c>
      <c r="E566" s="72">
        <v>65</v>
      </c>
      <c r="F566" s="72" t="s">
        <v>34</v>
      </c>
      <c r="G566" s="72" t="s">
        <v>965</v>
      </c>
    </row>
    <row r="567" spans="1:7" x14ac:dyDescent="0.2">
      <c r="A567" s="5" t="s">
        <v>959</v>
      </c>
      <c r="B567" s="6" t="s">
        <v>27</v>
      </c>
      <c r="C567" s="6" t="s">
        <v>38</v>
      </c>
      <c r="D567" s="72" t="str">
        <f t="shared" si="11"/>
        <v>075_S_b</v>
      </c>
      <c r="E567" s="72">
        <v>37</v>
      </c>
      <c r="F567" s="72" t="s">
        <v>41</v>
      </c>
      <c r="G567" s="72" t="s">
        <v>963</v>
      </c>
    </row>
    <row r="568" spans="1:7" x14ac:dyDescent="0.2">
      <c r="A568" s="1" t="s">
        <v>959</v>
      </c>
      <c r="B568" t="s">
        <v>33</v>
      </c>
      <c r="C568" t="s">
        <v>38</v>
      </c>
      <c r="D568" s="72" t="str">
        <f t="shared" si="11"/>
        <v>075_V_b</v>
      </c>
      <c r="E568" s="72">
        <v>55</v>
      </c>
      <c r="F568" s="72" t="s">
        <v>82</v>
      </c>
      <c r="G568" s="72" t="s">
        <v>964</v>
      </c>
    </row>
    <row r="569" spans="1:7" x14ac:dyDescent="0.2">
      <c r="A569" s="5" t="s">
        <v>972</v>
      </c>
      <c r="B569" s="6" t="s">
        <v>36</v>
      </c>
      <c r="C569" s="6" t="s">
        <v>38</v>
      </c>
      <c r="D569" s="72" t="str">
        <f t="shared" si="11"/>
        <v>076_O_b</v>
      </c>
      <c r="E569" s="72">
        <v>43</v>
      </c>
      <c r="F569" s="72" t="s">
        <v>29</v>
      </c>
      <c r="G569" s="72" t="s">
        <v>976</v>
      </c>
    </row>
    <row r="570" spans="1:7" x14ac:dyDescent="0.2">
      <c r="A570" s="5" t="s">
        <v>972</v>
      </c>
      <c r="B570" s="6" t="s">
        <v>27</v>
      </c>
      <c r="C570" s="6" t="s">
        <v>38</v>
      </c>
      <c r="D570" s="72" t="str">
        <f t="shared" si="11"/>
        <v>076_S_b</v>
      </c>
      <c r="E570" s="72">
        <v>65</v>
      </c>
      <c r="F570" s="72" t="s">
        <v>39</v>
      </c>
      <c r="G570" s="72" t="s">
        <v>977</v>
      </c>
    </row>
    <row r="571" spans="1:7" x14ac:dyDescent="0.2">
      <c r="A571" s="1" t="s">
        <v>972</v>
      </c>
      <c r="B571" t="s">
        <v>33</v>
      </c>
      <c r="C571" t="s">
        <v>38</v>
      </c>
      <c r="D571" s="72" t="str">
        <f t="shared" si="11"/>
        <v>076_V_b</v>
      </c>
      <c r="E571" s="72">
        <v>70</v>
      </c>
      <c r="F571" s="72" t="s">
        <v>70</v>
      </c>
      <c r="G571" s="72" t="s">
        <v>978</v>
      </c>
    </row>
    <row r="572" spans="1:7" x14ac:dyDescent="0.2">
      <c r="A572" s="5" t="s">
        <v>985</v>
      </c>
      <c r="B572" s="6" t="s">
        <v>36</v>
      </c>
      <c r="C572" s="6" t="s">
        <v>38</v>
      </c>
      <c r="D572" s="72" t="str">
        <f t="shared" si="11"/>
        <v>077_O_b</v>
      </c>
      <c r="E572" s="72">
        <v>59</v>
      </c>
      <c r="F572" s="72" t="s">
        <v>63</v>
      </c>
      <c r="G572" s="72" t="s">
        <v>989</v>
      </c>
    </row>
    <row r="573" spans="1:7" x14ac:dyDescent="0.2">
      <c r="A573" s="5" t="s">
        <v>985</v>
      </c>
      <c r="B573" s="6" t="s">
        <v>27</v>
      </c>
      <c r="C573" s="6" t="s">
        <v>38</v>
      </c>
      <c r="D573" s="72" t="str">
        <f t="shared" si="11"/>
        <v>077_S_b</v>
      </c>
      <c r="E573" s="72">
        <v>62</v>
      </c>
      <c r="F573" s="72" t="s">
        <v>34</v>
      </c>
      <c r="G573" s="72" t="s">
        <v>991</v>
      </c>
    </row>
    <row r="574" spans="1:7" x14ac:dyDescent="0.2">
      <c r="A574" s="1" t="s">
        <v>985</v>
      </c>
      <c r="B574" t="s">
        <v>33</v>
      </c>
      <c r="C574" t="s">
        <v>38</v>
      </c>
      <c r="D574" s="72" t="str">
        <f t="shared" si="11"/>
        <v>077_V_b</v>
      </c>
      <c r="E574" s="72">
        <v>61</v>
      </c>
      <c r="F574" s="72" t="s">
        <v>39</v>
      </c>
      <c r="G574" s="72" t="s">
        <v>990</v>
      </c>
    </row>
    <row r="575" spans="1:7" x14ac:dyDescent="0.2">
      <c r="A575" s="5" t="s">
        <v>998</v>
      </c>
      <c r="B575" s="6" t="s">
        <v>36</v>
      </c>
      <c r="C575" s="6" t="s">
        <v>38</v>
      </c>
      <c r="D575" s="72" t="str">
        <f t="shared" si="11"/>
        <v>078_O_b</v>
      </c>
      <c r="E575" s="72">
        <v>55</v>
      </c>
      <c r="F575" s="72" t="s">
        <v>49</v>
      </c>
      <c r="G575" s="72" t="s">
        <v>1002</v>
      </c>
    </row>
    <row r="576" spans="1:7" x14ac:dyDescent="0.2">
      <c r="A576" s="5" t="s">
        <v>998</v>
      </c>
      <c r="B576" s="6" t="s">
        <v>27</v>
      </c>
      <c r="C576" s="6" t="s">
        <v>38</v>
      </c>
      <c r="D576" s="72" t="str">
        <f t="shared" si="11"/>
        <v>078_S_b</v>
      </c>
      <c r="E576" s="72">
        <v>69</v>
      </c>
      <c r="F576" s="72" t="s">
        <v>70</v>
      </c>
      <c r="G576" s="72" t="s">
        <v>1004</v>
      </c>
    </row>
    <row r="577" spans="1:7" x14ac:dyDescent="0.2">
      <c r="A577" s="1" t="s">
        <v>998</v>
      </c>
      <c r="B577" t="s">
        <v>33</v>
      </c>
      <c r="C577" t="s">
        <v>38</v>
      </c>
      <c r="D577" s="72" t="str">
        <f t="shared" si="11"/>
        <v>078_V_b</v>
      </c>
      <c r="E577" s="72">
        <v>67</v>
      </c>
      <c r="F577" s="72" t="s">
        <v>43</v>
      </c>
      <c r="G577" s="72" t="s">
        <v>1003</v>
      </c>
    </row>
    <row r="578" spans="1:7" x14ac:dyDescent="0.2">
      <c r="A578" s="5" t="s">
        <v>1013</v>
      </c>
      <c r="B578" s="6" t="s">
        <v>36</v>
      </c>
      <c r="C578" s="6" t="s">
        <v>38</v>
      </c>
      <c r="D578" s="72" t="str">
        <f t="shared" ref="D578:D641" si="12">A578&amp;"_"&amp;B578&amp;"_"&amp;C578</f>
        <v>079_O_b</v>
      </c>
      <c r="E578" s="72">
        <v>56</v>
      </c>
      <c r="F578" s="72" t="s">
        <v>29</v>
      </c>
      <c r="G578" s="72" t="s">
        <v>1020</v>
      </c>
    </row>
    <row r="579" spans="1:7" x14ac:dyDescent="0.2">
      <c r="A579" s="5" t="s">
        <v>1013</v>
      </c>
      <c r="B579" s="6" t="s">
        <v>27</v>
      </c>
      <c r="C579" s="6" t="s">
        <v>38</v>
      </c>
      <c r="D579" s="72" t="str">
        <f t="shared" si="12"/>
        <v>079_S_b</v>
      </c>
      <c r="E579" s="72">
        <v>38</v>
      </c>
      <c r="F579" s="72" t="s">
        <v>49</v>
      </c>
      <c r="G579" s="72" t="s">
        <v>1018</v>
      </c>
    </row>
    <row r="580" spans="1:7" x14ac:dyDescent="0.2">
      <c r="A580" s="1" t="s">
        <v>1013</v>
      </c>
      <c r="B580" t="s">
        <v>33</v>
      </c>
      <c r="C580" t="s">
        <v>38</v>
      </c>
      <c r="D580" s="72" t="str">
        <f t="shared" si="12"/>
        <v>079_V_b</v>
      </c>
      <c r="E580" s="72">
        <v>55</v>
      </c>
      <c r="F580" s="72" t="s">
        <v>39</v>
      </c>
      <c r="G580" s="72" t="s">
        <v>1019</v>
      </c>
    </row>
    <row r="581" spans="1:7" x14ac:dyDescent="0.2">
      <c r="A581" s="5" t="s">
        <v>1027</v>
      </c>
      <c r="B581" s="6" t="s">
        <v>36</v>
      </c>
      <c r="C581" s="6" t="s">
        <v>38</v>
      </c>
      <c r="D581" s="72" t="str">
        <f t="shared" si="12"/>
        <v>080_O_b</v>
      </c>
      <c r="E581" s="72">
        <v>50</v>
      </c>
      <c r="F581" s="72" t="s">
        <v>68</v>
      </c>
      <c r="G581" s="72" t="s">
        <v>1033</v>
      </c>
    </row>
    <row r="582" spans="1:7" x14ac:dyDescent="0.2">
      <c r="A582" s="5" t="s">
        <v>1027</v>
      </c>
      <c r="B582" s="6" t="s">
        <v>27</v>
      </c>
      <c r="C582" s="6" t="s">
        <v>38</v>
      </c>
      <c r="D582" s="72" t="str">
        <f t="shared" si="12"/>
        <v>080_S_b</v>
      </c>
      <c r="E582" s="72">
        <v>44</v>
      </c>
      <c r="F582" s="72" t="s">
        <v>82</v>
      </c>
      <c r="G582" s="72" t="s">
        <v>1031</v>
      </c>
    </row>
    <row r="583" spans="1:7" x14ac:dyDescent="0.2">
      <c r="A583" s="1" t="s">
        <v>1027</v>
      </c>
      <c r="B583" t="s">
        <v>33</v>
      </c>
      <c r="C583" t="s">
        <v>38</v>
      </c>
      <c r="D583" s="72" t="str">
        <f t="shared" si="12"/>
        <v>080_V_b</v>
      </c>
      <c r="E583" s="72">
        <v>49</v>
      </c>
      <c r="F583" s="72" t="s">
        <v>63</v>
      </c>
      <c r="G583" s="72" t="s">
        <v>1032</v>
      </c>
    </row>
    <row r="584" spans="1:7" x14ac:dyDescent="0.2">
      <c r="A584" s="5" t="s">
        <v>1042</v>
      </c>
      <c r="B584" s="6" t="s">
        <v>36</v>
      </c>
      <c r="C584" s="6" t="s">
        <v>38</v>
      </c>
      <c r="D584" s="72" t="str">
        <f t="shared" si="12"/>
        <v>081_O_b</v>
      </c>
      <c r="E584" s="72">
        <v>44</v>
      </c>
      <c r="F584" s="72" t="s">
        <v>41</v>
      </c>
      <c r="G584" s="72" t="s">
        <v>1046</v>
      </c>
    </row>
    <row r="585" spans="1:7" x14ac:dyDescent="0.2">
      <c r="A585" s="5" t="s">
        <v>1042</v>
      </c>
      <c r="B585" s="6" t="s">
        <v>27</v>
      </c>
      <c r="C585" s="6" t="s">
        <v>38</v>
      </c>
      <c r="D585" s="72" t="str">
        <f t="shared" si="12"/>
        <v>081_S_b</v>
      </c>
      <c r="E585" s="72">
        <v>54</v>
      </c>
      <c r="F585" s="72" t="s">
        <v>49</v>
      </c>
      <c r="G585" s="72" t="s">
        <v>1048</v>
      </c>
    </row>
    <row r="586" spans="1:7" x14ac:dyDescent="0.2">
      <c r="A586" s="1" t="s">
        <v>1042</v>
      </c>
      <c r="B586" t="s">
        <v>33</v>
      </c>
      <c r="C586" t="s">
        <v>38</v>
      </c>
      <c r="D586" s="72" t="str">
        <f t="shared" si="12"/>
        <v>081_V_b</v>
      </c>
      <c r="E586" s="72">
        <v>52</v>
      </c>
      <c r="F586" s="72" t="s">
        <v>34</v>
      </c>
      <c r="G586" s="72" t="s">
        <v>1047</v>
      </c>
    </row>
    <row r="587" spans="1:7" x14ac:dyDescent="0.2">
      <c r="A587" s="5" t="s">
        <v>1056</v>
      </c>
      <c r="B587" s="6" t="s">
        <v>36</v>
      </c>
      <c r="C587" s="6" t="s">
        <v>38</v>
      </c>
      <c r="D587" s="72" t="str">
        <f t="shared" si="12"/>
        <v>082_O_b</v>
      </c>
      <c r="E587" s="72">
        <v>43</v>
      </c>
      <c r="F587" s="72" t="s">
        <v>43</v>
      </c>
      <c r="G587" s="72" t="s">
        <v>1060</v>
      </c>
    </row>
    <row r="588" spans="1:7" x14ac:dyDescent="0.2">
      <c r="A588" s="5" t="s">
        <v>1056</v>
      </c>
      <c r="B588" s="6" t="s">
        <v>27</v>
      </c>
      <c r="C588" s="6" t="s">
        <v>38</v>
      </c>
      <c r="D588" s="72" t="str">
        <f t="shared" si="12"/>
        <v>082_S_b</v>
      </c>
      <c r="E588" s="72">
        <v>72</v>
      </c>
      <c r="F588" s="72" t="s">
        <v>68</v>
      </c>
      <c r="G588" s="72" t="s">
        <v>1062</v>
      </c>
    </row>
    <row r="589" spans="1:7" x14ac:dyDescent="0.2">
      <c r="A589" s="1" t="s">
        <v>1056</v>
      </c>
      <c r="B589" t="s">
        <v>33</v>
      </c>
      <c r="C589" t="s">
        <v>38</v>
      </c>
      <c r="D589" s="72" t="str">
        <f t="shared" si="12"/>
        <v>082_V_b</v>
      </c>
      <c r="E589" s="72">
        <v>60</v>
      </c>
      <c r="F589" s="72" t="s">
        <v>34</v>
      </c>
      <c r="G589" s="72" t="s">
        <v>1061</v>
      </c>
    </row>
    <row r="590" spans="1:7" x14ac:dyDescent="0.2">
      <c r="A590" s="5" t="s">
        <v>1069</v>
      </c>
      <c r="B590" s="6" t="s">
        <v>36</v>
      </c>
      <c r="C590" s="6" t="s">
        <v>38</v>
      </c>
      <c r="D590" s="72" t="str">
        <f t="shared" si="12"/>
        <v>083_O_b</v>
      </c>
      <c r="E590" s="72">
        <v>63</v>
      </c>
      <c r="F590" s="72" t="s">
        <v>70</v>
      </c>
      <c r="G590" s="72" t="s">
        <v>1075</v>
      </c>
    </row>
    <row r="591" spans="1:7" x14ac:dyDescent="0.2">
      <c r="A591" s="5" t="s">
        <v>1069</v>
      </c>
      <c r="B591" s="6" t="s">
        <v>27</v>
      </c>
      <c r="C591" s="6" t="s">
        <v>38</v>
      </c>
      <c r="D591" s="72" t="str">
        <f t="shared" si="12"/>
        <v>083_S_b</v>
      </c>
      <c r="E591" s="72">
        <v>49</v>
      </c>
      <c r="F591" s="72" t="s">
        <v>68</v>
      </c>
      <c r="G591" s="72" t="s">
        <v>1073</v>
      </c>
    </row>
    <row r="592" spans="1:7" x14ac:dyDescent="0.2">
      <c r="A592" s="1" t="s">
        <v>1069</v>
      </c>
      <c r="B592" t="s">
        <v>33</v>
      </c>
      <c r="C592" t="s">
        <v>38</v>
      </c>
      <c r="D592" s="72" t="str">
        <f t="shared" si="12"/>
        <v>083_V_b</v>
      </c>
      <c r="E592" s="72">
        <v>52</v>
      </c>
      <c r="F592" s="72" t="s">
        <v>39</v>
      </c>
      <c r="G592" s="72" t="s">
        <v>1074</v>
      </c>
    </row>
    <row r="593" spans="1:7" x14ac:dyDescent="0.2">
      <c r="A593" s="5" t="s">
        <v>1082</v>
      </c>
      <c r="B593" s="6" t="s">
        <v>36</v>
      </c>
      <c r="C593" s="6" t="s">
        <v>38</v>
      </c>
      <c r="D593" s="72" t="str">
        <f t="shared" si="12"/>
        <v>084_O_b</v>
      </c>
      <c r="E593" s="72">
        <v>47</v>
      </c>
      <c r="F593" s="72" t="s">
        <v>70</v>
      </c>
      <c r="G593" s="72" t="s">
        <v>1087</v>
      </c>
    </row>
    <row r="594" spans="1:7" x14ac:dyDescent="0.2">
      <c r="A594" s="5" t="s">
        <v>1082</v>
      </c>
      <c r="B594" s="6" t="s">
        <v>27</v>
      </c>
      <c r="C594" s="6" t="s">
        <v>38</v>
      </c>
      <c r="D594" s="72" t="str">
        <f t="shared" si="12"/>
        <v>084_S_b</v>
      </c>
      <c r="E594" s="72">
        <v>45</v>
      </c>
      <c r="F594" s="72" t="s">
        <v>68</v>
      </c>
      <c r="G594" s="72" t="s">
        <v>1086</v>
      </c>
    </row>
    <row r="595" spans="1:7" x14ac:dyDescent="0.2">
      <c r="A595" s="1" t="s">
        <v>1082</v>
      </c>
      <c r="B595" t="s">
        <v>33</v>
      </c>
      <c r="C595" t="s">
        <v>38</v>
      </c>
      <c r="D595" s="72" t="str">
        <f t="shared" si="12"/>
        <v>084_V_b</v>
      </c>
      <c r="E595" s="72">
        <v>53</v>
      </c>
      <c r="F595" s="72" t="s">
        <v>41</v>
      </c>
      <c r="G595" s="72" t="s">
        <v>1088</v>
      </c>
    </row>
    <row r="596" spans="1:7" x14ac:dyDescent="0.2">
      <c r="A596" s="5" t="s">
        <v>1095</v>
      </c>
      <c r="B596" s="6" t="s">
        <v>36</v>
      </c>
      <c r="C596" s="6" t="s">
        <v>38</v>
      </c>
      <c r="D596" s="72" t="str">
        <f t="shared" si="12"/>
        <v>085_O_b</v>
      </c>
      <c r="E596" s="72">
        <v>51</v>
      </c>
      <c r="F596" s="72" t="s">
        <v>49</v>
      </c>
      <c r="G596" s="72" t="s">
        <v>1101</v>
      </c>
    </row>
    <row r="597" spans="1:7" x14ac:dyDescent="0.2">
      <c r="A597" s="5" t="s">
        <v>1095</v>
      </c>
      <c r="B597" s="6" t="s">
        <v>27</v>
      </c>
      <c r="C597" s="6" t="s">
        <v>38</v>
      </c>
      <c r="D597" s="72" t="str">
        <f t="shared" si="12"/>
        <v>085_S_b</v>
      </c>
      <c r="E597" s="72">
        <v>48</v>
      </c>
      <c r="F597" s="72" t="s">
        <v>70</v>
      </c>
      <c r="G597" s="72" t="s">
        <v>1100</v>
      </c>
    </row>
    <row r="598" spans="1:7" x14ac:dyDescent="0.2">
      <c r="A598" s="1" t="s">
        <v>1095</v>
      </c>
      <c r="B598" t="s">
        <v>33</v>
      </c>
      <c r="C598" t="s">
        <v>38</v>
      </c>
      <c r="D598" s="72" t="str">
        <f t="shared" si="12"/>
        <v>085_V_b</v>
      </c>
      <c r="E598" s="72">
        <v>40</v>
      </c>
      <c r="F598" s="72" t="s">
        <v>39</v>
      </c>
      <c r="G598" s="72" t="s">
        <v>1099</v>
      </c>
    </row>
    <row r="599" spans="1:7" x14ac:dyDescent="0.2">
      <c r="A599" s="5" t="s">
        <v>1108</v>
      </c>
      <c r="B599" s="6" t="s">
        <v>36</v>
      </c>
      <c r="C599" s="6" t="s">
        <v>38</v>
      </c>
      <c r="D599" s="72" t="str">
        <f t="shared" si="12"/>
        <v>086_O_b</v>
      </c>
      <c r="E599" s="72">
        <v>67</v>
      </c>
      <c r="F599" s="72" t="s">
        <v>70</v>
      </c>
      <c r="G599" s="72" t="s">
        <v>1114</v>
      </c>
    </row>
    <row r="600" spans="1:7" x14ac:dyDescent="0.2">
      <c r="A600" s="5" t="s">
        <v>1108</v>
      </c>
      <c r="B600" s="6" t="s">
        <v>27</v>
      </c>
      <c r="C600" s="6" t="s">
        <v>38</v>
      </c>
      <c r="D600" s="72" t="str">
        <f t="shared" si="12"/>
        <v>086_S_b</v>
      </c>
      <c r="E600" s="72">
        <v>46</v>
      </c>
      <c r="F600" s="72" t="s">
        <v>82</v>
      </c>
      <c r="G600" s="72" t="s">
        <v>1112</v>
      </c>
    </row>
    <row r="601" spans="1:7" x14ac:dyDescent="0.2">
      <c r="A601" s="1" t="s">
        <v>1108</v>
      </c>
      <c r="B601" t="s">
        <v>33</v>
      </c>
      <c r="C601" t="s">
        <v>38</v>
      </c>
      <c r="D601" s="72" t="str">
        <f t="shared" si="12"/>
        <v>086_V_b</v>
      </c>
      <c r="E601" s="72">
        <v>53</v>
      </c>
      <c r="F601" s="72" t="s">
        <v>70</v>
      </c>
      <c r="G601" s="72" t="s">
        <v>1113</v>
      </c>
    </row>
    <row r="602" spans="1:7" x14ac:dyDescent="0.2">
      <c r="A602" s="5" t="s">
        <v>1121</v>
      </c>
      <c r="B602" s="6" t="s">
        <v>36</v>
      </c>
      <c r="C602" s="6" t="s">
        <v>38</v>
      </c>
      <c r="D602" s="72" t="str">
        <f t="shared" si="12"/>
        <v>087_O_b</v>
      </c>
      <c r="E602" s="72">
        <v>51</v>
      </c>
      <c r="F602" s="72" t="s">
        <v>43</v>
      </c>
      <c r="G602" s="72" t="s">
        <v>1126</v>
      </c>
    </row>
    <row r="603" spans="1:7" x14ac:dyDescent="0.2">
      <c r="A603" s="5" t="s">
        <v>1121</v>
      </c>
      <c r="B603" s="6" t="s">
        <v>27</v>
      </c>
      <c r="C603" s="6" t="s">
        <v>38</v>
      </c>
      <c r="D603" s="72" t="str">
        <f t="shared" si="12"/>
        <v>087_S_b</v>
      </c>
      <c r="E603" s="72">
        <v>43</v>
      </c>
      <c r="F603" s="72" t="s">
        <v>63</v>
      </c>
      <c r="G603" s="72" t="s">
        <v>1125</v>
      </c>
    </row>
    <row r="604" spans="1:7" x14ac:dyDescent="0.2">
      <c r="A604" s="1" t="s">
        <v>1121</v>
      </c>
      <c r="B604" t="s">
        <v>33</v>
      </c>
      <c r="C604" t="s">
        <v>38</v>
      </c>
      <c r="D604" s="72" t="str">
        <f t="shared" si="12"/>
        <v>087_V_b</v>
      </c>
      <c r="E604" s="72">
        <v>65</v>
      </c>
      <c r="F604" s="72" t="s">
        <v>41</v>
      </c>
      <c r="G604" s="72" t="s">
        <v>1127</v>
      </c>
    </row>
    <row r="605" spans="1:7" x14ac:dyDescent="0.2">
      <c r="A605" s="5" t="s">
        <v>1135</v>
      </c>
      <c r="B605" s="6" t="s">
        <v>36</v>
      </c>
      <c r="C605" s="6" t="s">
        <v>38</v>
      </c>
      <c r="D605" s="72" t="str">
        <f t="shared" si="12"/>
        <v>088_O_b</v>
      </c>
      <c r="E605" s="72">
        <v>43</v>
      </c>
      <c r="F605" s="72" t="s">
        <v>49</v>
      </c>
      <c r="G605" s="72" t="s">
        <v>1140</v>
      </c>
    </row>
    <row r="606" spans="1:7" x14ac:dyDescent="0.2">
      <c r="A606" s="5" t="s">
        <v>1135</v>
      </c>
      <c r="B606" s="6" t="s">
        <v>27</v>
      </c>
      <c r="C606" s="6" t="s">
        <v>38</v>
      </c>
      <c r="D606" s="72" t="str">
        <f t="shared" si="12"/>
        <v>088_S_b</v>
      </c>
      <c r="E606" s="72">
        <v>40</v>
      </c>
      <c r="F606" s="72" t="s">
        <v>63</v>
      </c>
      <c r="G606" s="72" t="s">
        <v>1139</v>
      </c>
    </row>
    <row r="607" spans="1:7" x14ac:dyDescent="0.2">
      <c r="A607" s="1" t="s">
        <v>1135</v>
      </c>
      <c r="B607" t="s">
        <v>33</v>
      </c>
      <c r="C607" t="s">
        <v>38</v>
      </c>
      <c r="D607" s="72" t="str">
        <f t="shared" si="12"/>
        <v>088_V_b</v>
      </c>
      <c r="E607" s="72">
        <v>72</v>
      </c>
      <c r="F607" s="72" t="s">
        <v>49</v>
      </c>
      <c r="G607" s="72" t="s">
        <v>1141</v>
      </c>
    </row>
    <row r="608" spans="1:7" x14ac:dyDescent="0.2">
      <c r="A608" s="5" t="s">
        <v>1148</v>
      </c>
      <c r="B608" s="6" t="s">
        <v>36</v>
      </c>
      <c r="C608" s="6" t="s">
        <v>38</v>
      </c>
      <c r="D608" s="72" t="str">
        <f t="shared" si="12"/>
        <v>089_O_b</v>
      </c>
      <c r="E608" s="72">
        <v>63</v>
      </c>
      <c r="F608" s="72" t="s">
        <v>34</v>
      </c>
      <c r="G608" s="72" t="s">
        <v>1153</v>
      </c>
    </row>
    <row r="609" spans="1:7" x14ac:dyDescent="0.2">
      <c r="A609" s="5" t="s">
        <v>1148</v>
      </c>
      <c r="B609" s="6" t="s">
        <v>27</v>
      </c>
      <c r="C609" s="6" t="s">
        <v>38</v>
      </c>
      <c r="D609" s="72" t="str">
        <f t="shared" si="12"/>
        <v>089_S_b</v>
      </c>
      <c r="E609" s="72">
        <v>37</v>
      </c>
      <c r="F609" s="72" t="s">
        <v>82</v>
      </c>
      <c r="G609" s="72" t="s">
        <v>1152</v>
      </c>
    </row>
    <row r="610" spans="1:7" x14ac:dyDescent="0.2">
      <c r="A610" s="1" t="s">
        <v>1148</v>
      </c>
      <c r="B610" t="s">
        <v>33</v>
      </c>
      <c r="C610" t="s">
        <v>38</v>
      </c>
      <c r="D610" s="72" t="str">
        <f t="shared" si="12"/>
        <v>089_V_b</v>
      </c>
      <c r="E610" s="72">
        <v>64</v>
      </c>
      <c r="F610" s="72" t="s">
        <v>41</v>
      </c>
      <c r="G610" s="72" t="s">
        <v>1154</v>
      </c>
    </row>
    <row r="611" spans="1:7" x14ac:dyDescent="0.2">
      <c r="A611" s="5" t="s">
        <v>1161</v>
      </c>
      <c r="B611" s="6" t="s">
        <v>36</v>
      </c>
      <c r="C611" s="6" t="s">
        <v>38</v>
      </c>
      <c r="D611" s="72" t="str">
        <f t="shared" si="12"/>
        <v>090_O_b</v>
      </c>
      <c r="E611" s="72">
        <v>40</v>
      </c>
      <c r="F611" s="72" t="s">
        <v>82</v>
      </c>
      <c r="G611" s="72" t="s">
        <v>1165</v>
      </c>
    </row>
    <row r="612" spans="1:7" x14ac:dyDescent="0.2">
      <c r="A612" s="5" t="s">
        <v>1161</v>
      </c>
      <c r="B612" s="6" t="s">
        <v>27</v>
      </c>
      <c r="C612" s="6" t="s">
        <v>38</v>
      </c>
      <c r="D612" s="72" t="str">
        <f t="shared" si="12"/>
        <v>090_S_b</v>
      </c>
      <c r="E612" s="72">
        <v>60</v>
      </c>
      <c r="F612" s="72" t="s">
        <v>49</v>
      </c>
      <c r="G612" s="72" t="s">
        <v>1167</v>
      </c>
    </row>
    <row r="613" spans="1:7" x14ac:dyDescent="0.2">
      <c r="A613" s="1" t="s">
        <v>1161</v>
      </c>
      <c r="B613" t="s">
        <v>33</v>
      </c>
      <c r="C613" t="s">
        <v>38</v>
      </c>
      <c r="D613" s="72" t="str">
        <f t="shared" si="12"/>
        <v>090_V_b</v>
      </c>
      <c r="E613" s="72">
        <v>56</v>
      </c>
      <c r="F613" s="72" t="s">
        <v>49</v>
      </c>
      <c r="G613" s="72" t="s">
        <v>1166</v>
      </c>
    </row>
    <row r="614" spans="1:7" x14ac:dyDescent="0.2">
      <c r="A614" s="5" t="s">
        <v>1174</v>
      </c>
      <c r="B614" s="6" t="s">
        <v>36</v>
      </c>
      <c r="C614" s="6" t="s">
        <v>38</v>
      </c>
      <c r="D614" s="72" t="str">
        <f t="shared" si="12"/>
        <v>091_O_b</v>
      </c>
      <c r="E614" s="72">
        <v>62</v>
      </c>
      <c r="F614" s="72" t="s">
        <v>39</v>
      </c>
      <c r="G614" s="72" t="s">
        <v>1179</v>
      </c>
    </row>
    <row r="615" spans="1:7" x14ac:dyDescent="0.2">
      <c r="A615" s="5" t="s">
        <v>1174</v>
      </c>
      <c r="B615" s="6" t="s">
        <v>27</v>
      </c>
      <c r="C615" s="6" t="s">
        <v>38</v>
      </c>
      <c r="D615" s="72" t="str">
        <f t="shared" si="12"/>
        <v>091_S_b</v>
      </c>
      <c r="E615" s="72">
        <v>69</v>
      </c>
      <c r="F615" s="72" t="s">
        <v>43</v>
      </c>
      <c r="G615" s="72" t="s">
        <v>1180</v>
      </c>
    </row>
    <row r="616" spans="1:7" x14ac:dyDescent="0.2">
      <c r="A616" s="2" t="s">
        <v>1174</v>
      </c>
      <c r="B616" t="s">
        <v>33</v>
      </c>
      <c r="C616" t="s">
        <v>38</v>
      </c>
      <c r="D616" s="72" t="str">
        <f t="shared" si="12"/>
        <v>091_V_b</v>
      </c>
      <c r="E616" s="72">
        <v>40</v>
      </c>
      <c r="F616" s="72" t="s">
        <v>34</v>
      </c>
      <c r="G616" s="72" t="s">
        <v>1178</v>
      </c>
    </row>
    <row r="617" spans="1:7" x14ac:dyDescent="0.2">
      <c r="A617" s="5" t="s">
        <v>1187</v>
      </c>
      <c r="B617" s="6" t="s">
        <v>36</v>
      </c>
      <c r="C617" s="6" t="s">
        <v>38</v>
      </c>
      <c r="D617" s="72" t="str">
        <f t="shared" si="12"/>
        <v>092_O_b</v>
      </c>
      <c r="E617" s="72">
        <v>52</v>
      </c>
      <c r="F617" s="72" t="s">
        <v>70</v>
      </c>
      <c r="G617" s="72" t="s">
        <v>1192</v>
      </c>
    </row>
    <row r="618" spans="1:7" x14ac:dyDescent="0.2">
      <c r="A618" s="5" t="s">
        <v>1187</v>
      </c>
      <c r="B618" s="6" t="s">
        <v>27</v>
      </c>
      <c r="C618" s="6" t="s">
        <v>38</v>
      </c>
      <c r="D618" s="72" t="str">
        <f t="shared" si="12"/>
        <v>092_S_b</v>
      </c>
      <c r="E618" s="72">
        <v>70</v>
      </c>
      <c r="F618" s="72" t="s">
        <v>29</v>
      </c>
      <c r="G618" s="72" t="s">
        <v>1193</v>
      </c>
    </row>
    <row r="619" spans="1:7" x14ac:dyDescent="0.2">
      <c r="A619" s="1" t="s">
        <v>1187</v>
      </c>
      <c r="B619" t="s">
        <v>33</v>
      </c>
      <c r="C619" t="s">
        <v>38</v>
      </c>
      <c r="D619" s="72" t="str">
        <f t="shared" si="12"/>
        <v>092_V_b</v>
      </c>
      <c r="E619" s="72">
        <v>48</v>
      </c>
      <c r="F619" s="72" t="s">
        <v>82</v>
      </c>
      <c r="G619" s="72" t="s">
        <v>1191</v>
      </c>
    </row>
    <row r="620" spans="1:7" x14ac:dyDescent="0.2">
      <c r="A620" s="5" t="s">
        <v>1200</v>
      </c>
      <c r="B620" s="6" t="s">
        <v>36</v>
      </c>
      <c r="C620" s="6" t="s">
        <v>38</v>
      </c>
      <c r="D620" s="72" t="str">
        <f t="shared" si="12"/>
        <v>093_O_b</v>
      </c>
      <c r="E620" s="72">
        <v>61</v>
      </c>
      <c r="F620" s="72" t="s">
        <v>34</v>
      </c>
      <c r="G620" s="72" t="s">
        <v>1205</v>
      </c>
    </row>
    <row r="621" spans="1:7" x14ac:dyDescent="0.2">
      <c r="A621" s="5" t="s">
        <v>1200</v>
      </c>
      <c r="B621" s="6" t="s">
        <v>27</v>
      </c>
      <c r="C621" s="6" t="s">
        <v>38</v>
      </c>
      <c r="D621" s="72" t="str">
        <f t="shared" si="12"/>
        <v>093_S_b</v>
      </c>
      <c r="E621" s="72">
        <v>64</v>
      </c>
      <c r="F621" s="72" t="s">
        <v>70</v>
      </c>
      <c r="G621" s="72" t="s">
        <v>1206</v>
      </c>
    </row>
    <row r="622" spans="1:7" x14ac:dyDescent="0.2">
      <c r="A622" s="1" t="s">
        <v>1200</v>
      </c>
      <c r="B622" t="s">
        <v>33</v>
      </c>
      <c r="C622" t="s">
        <v>38</v>
      </c>
      <c r="D622" s="72" t="str">
        <f t="shared" si="12"/>
        <v>093_V_b</v>
      </c>
      <c r="E622" s="72">
        <v>38</v>
      </c>
      <c r="F622" s="72" t="s">
        <v>68</v>
      </c>
      <c r="G622" s="72" t="s">
        <v>1204</v>
      </c>
    </row>
    <row r="623" spans="1:7" x14ac:dyDescent="0.2">
      <c r="A623" s="5" t="s">
        <v>1213</v>
      </c>
      <c r="B623" s="6" t="s">
        <v>36</v>
      </c>
      <c r="C623" s="6" t="s">
        <v>38</v>
      </c>
      <c r="D623" s="72" t="str">
        <f t="shared" si="12"/>
        <v>094_O_b</v>
      </c>
      <c r="E623" s="72">
        <v>58</v>
      </c>
      <c r="F623" s="72" t="s">
        <v>63</v>
      </c>
      <c r="G623" s="72" t="s">
        <v>1218</v>
      </c>
    </row>
    <row r="624" spans="1:7" x14ac:dyDescent="0.2">
      <c r="A624" s="5" t="s">
        <v>1213</v>
      </c>
      <c r="B624" s="6" t="s">
        <v>27</v>
      </c>
      <c r="C624" s="6" t="s">
        <v>38</v>
      </c>
      <c r="D624" s="72" t="str">
        <f t="shared" si="12"/>
        <v>094_S_b</v>
      </c>
      <c r="E624" s="72">
        <v>59</v>
      </c>
      <c r="F624" s="72" t="s">
        <v>41</v>
      </c>
      <c r="G624" s="72" t="s">
        <v>1219</v>
      </c>
    </row>
    <row r="625" spans="1:7" x14ac:dyDescent="0.2">
      <c r="A625" s="1" t="s">
        <v>1213</v>
      </c>
      <c r="B625" t="s">
        <v>33</v>
      </c>
      <c r="C625" t="s">
        <v>38</v>
      </c>
      <c r="D625" s="72" t="str">
        <f t="shared" si="12"/>
        <v>094_V_b</v>
      </c>
      <c r="E625" s="72">
        <v>45</v>
      </c>
      <c r="F625" s="72" t="s">
        <v>43</v>
      </c>
      <c r="G625" s="72" t="s">
        <v>1217</v>
      </c>
    </row>
    <row r="626" spans="1:7" x14ac:dyDescent="0.2">
      <c r="A626" s="5" t="s">
        <v>1226</v>
      </c>
      <c r="B626" s="6" t="s">
        <v>36</v>
      </c>
      <c r="C626" s="6" t="s">
        <v>38</v>
      </c>
      <c r="D626" s="72" t="str">
        <f t="shared" si="12"/>
        <v>095_O_b</v>
      </c>
      <c r="E626" s="72">
        <v>61</v>
      </c>
      <c r="F626" s="72" t="s">
        <v>29</v>
      </c>
      <c r="G626" s="72" t="s">
        <v>1230</v>
      </c>
    </row>
    <row r="627" spans="1:7" x14ac:dyDescent="0.2">
      <c r="A627" s="5" t="s">
        <v>1226</v>
      </c>
      <c r="B627" s="6" t="s">
        <v>27</v>
      </c>
      <c r="C627" s="6" t="s">
        <v>38</v>
      </c>
      <c r="D627" s="72" t="str">
        <f t="shared" si="12"/>
        <v>095_S_b</v>
      </c>
      <c r="E627" s="72">
        <v>70</v>
      </c>
      <c r="F627" s="72" t="s">
        <v>41</v>
      </c>
      <c r="G627" s="72" t="s">
        <v>1232</v>
      </c>
    </row>
    <row r="628" spans="1:7" x14ac:dyDescent="0.2">
      <c r="A628" s="1" t="s">
        <v>1226</v>
      </c>
      <c r="B628" t="s">
        <v>33</v>
      </c>
      <c r="C628" t="s">
        <v>38</v>
      </c>
      <c r="D628" s="72" t="str">
        <f t="shared" si="12"/>
        <v>095_V_b</v>
      </c>
      <c r="E628" s="72">
        <v>65</v>
      </c>
      <c r="F628" s="72" t="s">
        <v>49</v>
      </c>
      <c r="G628" s="72" t="s">
        <v>1231</v>
      </c>
    </row>
    <row r="629" spans="1:7" x14ac:dyDescent="0.2">
      <c r="A629" s="5" t="s">
        <v>1239</v>
      </c>
      <c r="B629" s="6" t="s">
        <v>36</v>
      </c>
      <c r="C629" s="6" t="s">
        <v>38</v>
      </c>
      <c r="D629" s="72" t="str">
        <f t="shared" si="12"/>
        <v>096_O_b</v>
      </c>
      <c r="E629" s="72">
        <v>65</v>
      </c>
      <c r="F629" s="72" t="s">
        <v>43</v>
      </c>
      <c r="G629" s="72" t="s">
        <v>1244</v>
      </c>
    </row>
    <row r="630" spans="1:7" x14ac:dyDescent="0.2">
      <c r="A630" s="5" t="s">
        <v>1239</v>
      </c>
      <c r="B630" s="6" t="s">
        <v>27</v>
      </c>
      <c r="C630" s="6" t="s">
        <v>38</v>
      </c>
      <c r="D630" s="72" t="str">
        <f t="shared" si="12"/>
        <v>096_S_b</v>
      </c>
      <c r="E630" s="72">
        <v>72</v>
      </c>
      <c r="F630" s="72" t="s">
        <v>43</v>
      </c>
      <c r="G630" s="72" t="s">
        <v>1245</v>
      </c>
    </row>
    <row r="631" spans="1:7" x14ac:dyDescent="0.2">
      <c r="A631" s="1" t="s">
        <v>1239</v>
      </c>
      <c r="B631" t="s">
        <v>33</v>
      </c>
      <c r="C631" t="s">
        <v>38</v>
      </c>
      <c r="D631" s="72" t="str">
        <f t="shared" si="12"/>
        <v>096_V_b</v>
      </c>
      <c r="E631" s="72">
        <v>47</v>
      </c>
      <c r="F631" s="72" t="s">
        <v>49</v>
      </c>
      <c r="G631" s="72" t="s">
        <v>1243</v>
      </c>
    </row>
    <row r="632" spans="1:7" x14ac:dyDescent="0.2">
      <c r="A632" s="5" t="s">
        <v>1252</v>
      </c>
      <c r="B632" s="6" t="s">
        <v>36</v>
      </c>
      <c r="C632" s="6" t="s">
        <v>38</v>
      </c>
      <c r="D632" s="72" t="str">
        <f t="shared" si="12"/>
        <v>097_O_b</v>
      </c>
      <c r="E632" s="72">
        <v>41</v>
      </c>
      <c r="F632" s="72" t="s">
        <v>34</v>
      </c>
      <c r="G632" s="72" t="s">
        <v>1257</v>
      </c>
    </row>
    <row r="633" spans="1:7" x14ac:dyDescent="0.2">
      <c r="A633" s="5" t="s">
        <v>1252</v>
      </c>
      <c r="B633" s="6" t="s">
        <v>27</v>
      </c>
      <c r="C633" s="6" t="s">
        <v>38</v>
      </c>
      <c r="D633" s="72" t="str">
        <f t="shared" si="12"/>
        <v>097_S_b</v>
      </c>
      <c r="E633" s="72">
        <v>41</v>
      </c>
      <c r="F633" s="72" t="s">
        <v>43</v>
      </c>
      <c r="G633" s="72" t="s">
        <v>1258</v>
      </c>
    </row>
    <row r="634" spans="1:7" x14ac:dyDescent="0.2">
      <c r="A634" s="2" t="s">
        <v>1252</v>
      </c>
      <c r="B634" t="s">
        <v>33</v>
      </c>
      <c r="C634" t="s">
        <v>38</v>
      </c>
      <c r="D634" s="72" t="str">
        <f t="shared" si="12"/>
        <v>097_V_b</v>
      </c>
      <c r="E634" s="72">
        <v>44</v>
      </c>
      <c r="F634" s="72" t="s">
        <v>63</v>
      </c>
      <c r="G634" s="72" t="s">
        <v>1259</v>
      </c>
    </row>
    <row r="635" spans="1:7" x14ac:dyDescent="0.2">
      <c r="A635" s="5" t="s">
        <v>1266</v>
      </c>
      <c r="B635" s="6" t="s">
        <v>36</v>
      </c>
      <c r="C635" s="6" t="s">
        <v>38</v>
      </c>
      <c r="D635" s="72" t="str">
        <f t="shared" si="12"/>
        <v>098_O_b</v>
      </c>
      <c r="E635" s="72">
        <v>51</v>
      </c>
      <c r="F635" s="72" t="s">
        <v>39</v>
      </c>
      <c r="G635" s="72" t="s">
        <v>1270</v>
      </c>
    </row>
    <row r="636" spans="1:7" x14ac:dyDescent="0.2">
      <c r="A636" s="5" t="s">
        <v>1266</v>
      </c>
      <c r="B636" s="6" t="s">
        <v>27</v>
      </c>
      <c r="C636" s="6" t="s">
        <v>38</v>
      </c>
      <c r="D636" s="72" t="str">
        <f t="shared" si="12"/>
        <v>098_S_b</v>
      </c>
      <c r="E636" s="72">
        <v>51</v>
      </c>
      <c r="F636" s="72" t="s">
        <v>41</v>
      </c>
      <c r="G636" s="72" t="s">
        <v>1271</v>
      </c>
    </row>
    <row r="637" spans="1:7" x14ac:dyDescent="0.2">
      <c r="A637" s="2" t="s">
        <v>1266</v>
      </c>
      <c r="B637" t="s">
        <v>33</v>
      </c>
      <c r="C637" t="s">
        <v>38</v>
      </c>
      <c r="D637" s="72" t="str">
        <f t="shared" si="12"/>
        <v>098_V_b</v>
      </c>
      <c r="E637" s="72">
        <v>58</v>
      </c>
      <c r="F637" s="72" t="s">
        <v>39</v>
      </c>
      <c r="G637" s="72" t="s">
        <v>1272</v>
      </c>
    </row>
    <row r="638" spans="1:7" x14ac:dyDescent="0.2">
      <c r="A638" s="5" t="s">
        <v>1279</v>
      </c>
      <c r="B638" s="6" t="s">
        <v>36</v>
      </c>
      <c r="C638" s="6" t="s">
        <v>38</v>
      </c>
      <c r="D638" s="72" t="str">
        <f t="shared" si="12"/>
        <v>099_O_b</v>
      </c>
      <c r="E638" s="72">
        <v>46</v>
      </c>
      <c r="F638" s="72" t="s">
        <v>43</v>
      </c>
      <c r="G638" s="72" t="s">
        <v>1285</v>
      </c>
    </row>
    <row r="639" spans="1:7" x14ac:dyDescent="0.2">
      <c r="A639" s="5" t="s">
        <v>1279</v>
      </c>
      <c r="B639" s="6" t="s">
        <v>27</v>
      </c>
      <c r="C639" s="6" t="s">
        <v>38</v>
      </c>
      <c r="D639" s="72" t="str">
        <f t="shared" si="12"/>
        <v>099_S_b</v>
      </c>
      <c r="E639" s="72">
        <v>46</v>
      </c>
      <c r="F639" s="72" t="s">
        <v>34</v>
      </c>
      <c r="G639" s="72" t="s">
        <v>1284</v>
      </c>
    </row>
    <row r="640" spans="1:7" x14ac:dyDescent="0.2">
      <c r="A640" s="2" t="s">
        <v>1279</v>
      </c>
      <c r="B640" t="s">
        <v>33</v>
      </c>
      <c r="C640" t="s">
        <v>38</v>
      </c>
      <c r="D640" s="72" t="str">
        <f t="shared" si="12"/>
        <v>099_V_b</v>
      </c>
      <c r="E640" s="72">
        <v>38</v>
      </c>
      <c r="F640" s="72" t="s">
        <v>41</v>
      </c>
      <c r="G640" s="72" t="s">
        <v>1283</v>
      </c>
    </row>
    <row r="641" spans="1:7" x14ac:dyDescent="0.2">
      <c r="A641" s="7" t="s">
        <v>1292</v>
      </c>
      <c r="B641" s="6" t="s">
        <v>36</v>
      </c>
      <c r="C641" s="6" t="s">
        <v>38</v>
      </c>
      <c r="D641" s="72" t="str">
        <f t="shared" si="12"/>
        <v>100_O_b</v>
      </c>
      <c r="E641" s="72">
        <v>41</v>
      </c>
      <c r="F641" s="72" t="s">
        <v>63</v>
      </c>
      <c r="G641" s="72" t="s">
        <v>1296</v>
      </c>
    </row>
    <row r="642" spans="1:7" x14ac:dyDescent="0.2">
      <c r="A642" s="7" t="s">
        <v>1292</v>
      </c>
      <c r="B642" s="6" t="s">
        <v>27</v>
      </c>
      <c r="C642" s="6" t="s">
        <v>38</v>
      </c>
      <c r="D642" s="72" t="str">
        <f t="shared" ref="D642:D705" si="13">A642&amp;"_"&amp;B642&amp;"_"&amp;C642</f>
        <v>100_S_b</v>
      </c>
      <c r="E642" s="72">
        <v>54</v>
      </c>
      <c r="F642" s="72" t="s">
        <v>63</v>
      </c>
      <c r="G642" s="72" t="s">
        <v>1297</v>
      </c>
    </row>
    <row r="643" spans="1:7" x14ac:dyDescent="0.2">
      <c r="A643" s="3" t="s">
        <v>1292</v>
      </c>
      <c r="B643" t="s">
        <v>33</v>
      </c>
      <c r="C643" t="s">
        <v>38</v>
      </c>
      <c r="D643" s="72" t="str">
        <f t="shared" si="13"/>
        <v>100_V_b</v>
      </c>
      <c r="E643" s="72">
        <v>62</v>
      </c>
      <c r="F643" s="72" t="s">
        <v>68</v>
      </c>
      <c r="G643" s="72" t="s">
        <v>1298</v>
      </c>
    </row>
    <row r="644" spans="1:7" x14ac:dyDescent="0.2">
      <c r="A644" s="7" t="s">
        <v>1305</v>
      </c>
      <c r="B644" s="6" t="s">
        <v>36</v>
      </c>
      <c r="C644" s="6" t="s">
        <v>38</v>
      </c>
      <c r="D644" s="72" t="str">
        <f t="shared" si="13"/>
        <v>101_O_b</v>
      </c>
      <c r="E644" s="72">
        <v>53</v>
      </c>
      <c r="F644" s="72" t="s">
        <v>82</v>
      </c>
      <c r="G644" s="72" t="s">
        <v>1310</v>
      </c>
    </row>
    <row r="645" spans="1:7" x14ac:dyDescent="0.2">
      <c r="A645" s="7" t="s">
        <v>1305</v>
      </c>
      <c r="B645" s="6" t="s">
        <v>27</v>
      </c>
      <c r="C645" s="6" t="s">
        <v>38</v>
      </c>
      <c r="D645" s="72" t="str">
        <f t="shared" si="13"/>
        <v>101_S_b</v>
      </c>
      <c r="E645" s="72">
        <v>52</v>
      </c>
      <c r="F645" s="72" t="s">
        <v>68</v>
      </c>
      <c r="G645" s="72" t="s">
        <v>1309</v>
      </c>
    </row>
    <row r="646" spans="1:7" x14ac:dyDescent="0.2">
      <c r="A646" s="3" t="s">
        <v>1305</v>
      </c>
      <c r="B646" t="s">
        <v>33</v>
      </c>
      <c r="C646" t="s">
        <v>38</v>
      </c>
      <c r="D646" s="72" t="str">
        <f t="shared" si="13"/>
        <v>101_V_b</v>
      </c>
      <c r="E646" s="72">
        <v>71</v>
      </c>
      <c r="F646" s="72" t="s">
        <v>82</v>
      </c>
      <c r="G646" s="72" t="s">
        <v>1311</v>
      </c>
    </row>
    <row r="647" spans="1:7" x14ac:dyDescent="0.2">
      <c r="A647" s="4" t="s">
        <v>1318</v>
      </c>
      <c r="B647" s="6" t="s">
        <v>36</v>
      </c>
      <c r="C647" s="6" t="s">
        <v>38</v>
      </c>
      <c r="D647" s="72" t="str">
        <f t="shared" si="13"/>
        <v>102_O_b</v>
      </c>
      <c r="E647" s="72">
        <v>65</v>
      </c>
      <c r="F647" s="72" t="s">
        <v>68</v>
      </c>
      <c r="G647" s="72" t="s">
        <v>1324</v>
      </c>
    </row>
    <row r="648" spans="1:7" x14ac:dyDescent="0.2">
      <c r="A648" s="4" t="s">
        <v>1318</v>
      </c>
      <c r="B648" s="6" t="s">
        <v>27</v>
      </c>
      <c r="C648" s="6" t="s">
        <v>38</v>
      </c>
      <c r="D648" s="72" t="str">
        <f t="shared" si="13"/>
        <v>102_S_b</v>
      </c>
      <c r="E648" s="72">
        <v>41</v>
      </c>
      <c r="F648" s="72" t="s">
        <v>39</v>
      </c>
      <c r="G648" s="72" t="s">
        <v>1322</v>
      </c>
    </row>
    <row r="649" spans="1:7" x14ac:dyDescent="0.2">
      <c r="A649" s="4" t="s">
        <v>1318</v>
      </c>
      <c r="B649" t="s">
        <v>33</v>
      </c>
      <c r="C649" t="s">
        <v>38</v>
      </c>
      <c r="D649" s="72" t="str">
        <f t="shared" si="13"/>
        <v>102_V_b</v>
      </c>
      <c r="E649" s="72">
        <v>49</v>
      </c>
      <c r="F649" s="72" t="s">
        <v>34</v>
      </c>
      <c r="G649" s="72" t="s">
        <v>1323</v>
      </c>
    </row>
    <row r="650" spans="1:7" x14ac:dyDescent="0.2">
      <c r="A650" s="7" t="s">
        <v>1332</v>
      </c>
      <c r="B650" s="6" t="s">
        <v>36</v>
      </c>
      <c r="C650" s="6" t="s">
        <v>38</v>
      </c>
      <c r="D650" s="72" t="str">
        <f t="shared" si="13"/>
        <v>103_O_b</v>
      </c>
      <c r="E650" s="72">
        <v>71</v>
      </c>
      <c r="F650" s="72" t="s">
        <v>43</v>
      </c>
      <c r="G650" s="72" t="s">
        <v>1338</v>
      </c>
    </row>
    <row r="651" spans="1:7" x14ac:dyDescent="0.2">
      <c r="A651" s="7" t="s">
        <v>1332</v>
      </c>
      <c r="B651" s="6" t="s">
        <v>27</v>
      </c>
      <c r="C651" s="6" t="s">
        <v>38</v>
      </c>
      <c r="D651" s="72" t="str">
        <f t="shared" si="13"/>
        <v>103_S_b</v>
      </c>
      <c r="E651" s="72">
        <v>40</v>
      </c>
      <c r="F651" s="72" t="s">
        <v>70</v>
      </c>
      <c r="G651" s="72" t="s">
        <v>1336</v>
      </c>
    </row>
    <row r="652" spans="1:7" x14ac:dyDescent="0.2">
      <c r="A652" s="3" t="s">
        <v>1332</v>
      </c>
      <c r="B652" t="s">
        <v>33</v>
      </c>
      <c r="C652" t="s">
        <v>38</v>
      </c>
      <c r="D652" s="72" t="str">
        <f t="shared" si="13"/>
        <v>103_V_b</v>
      </c>
      <c r="E652" s="72">
        <v>48</v>
      </c>
      <c r="F652" s="72" t="s">
        <v>49</v>
      </c>
      <c r="G652" s="72" t="s">
        <v>1337</v>
      </c>
    </row>
    <row r="653" spans="1:7" x14ac:dyDescent="0.2">
      <c r="A653" s="4" t="s">
        <v>1345</v>
      </c>
      <c r="B653" s="6" t="s">
        <v>36</v>
      </c>
      <c r="C653" s="6" t="s">
        <v>38</v>
      </c>
      <c r="D653" s="72" t="str">
        <f t="shared" si="13"/>
        <v>104_O_b</v>
      </c>
      <c r="E653" s="72">
        <v>37</v>
      </c>
      <c r="F653" s="72" t="s">
        <v>43</v>
      </c>
      <c r="G653" s="72" t="s">
        <v>1349</v>
      </c>
    </row>
    <row r="654" spans="1:7" x14ac:dyDescent="0.2">
      <c r="A654" s="4" t="s">
        <v>1345</v>
      </c>
      <c r="B654" s="6" t="s">
        <v>27</v>
      </c>
      <c r="C654" s="6" t="s">
        <v>38</v>
      </c>
      <c r="D654" s="72" t="str">
        <f t="shared" si="13"/>
        <v>104_S_b</v>
      </c>
      <c r="E654" s="72">
        <v>63</v>
      </c>
      <c r="F654" s="72" t="s">
        <v>68</v>
      </c>
      <c r="G654" s="72" t="s">
        <v>1351</v>
      </c>
    </row>
    <row r="655" spans="1:7" x14ac:dyDescent="0.2">
      <c r="A655" s="4" t="s">
        <v>1345</v>
      </c>
      <c r="B655" t="s">
        <v>33</v>
      </c>
      <c r="C655" t="s">
        <v>38</v>
      </c>
      <c r="D655" s="72" t="str">
        <f t="shared" si="13"/>
        <v>104_V_b</v>
      </c>
      <c r="E655" s="72">
        <v>63</v>
      </c>
      <c r="F655" s="72" t="s">
        <v>63</v>
      </c>
      <c r="G655" s="72" t="s">
        <v>1350</v>
      </c>
    </row>
    <row r="656" spans="1:7" x14ac:dyDescent="0.2">
      <c r="A656" s="7" t="s">
        <v>1358</v>
      </c>
      <c r="B656" s="6" t="s">
        <v>36</v>
      </c>
      <c r="C656" s="6" t="s">
        <v>38</v>
      </c>
      <c r="D656" s="72" t="str">
        <f t="shared" si="13"/>
        <v>105_O_b</v>
      </c>
      <c r="E656" s="72">
        <v>41</v>
      </c>
      <c r="F656" s="72" t="s">
        <v>29</v>
      </c>
      <c r="G656" s="72" t="s">
        <v>1362</v>
      </c>
    </row>
    <row r="657" spans="1:7" x14ac:dyDescent="0.2">
      <c r="A657" s="7" t="s">
        <v>1358</v>
      </c>
      <c r="B657" s="6" t="s">
        <v>27</v>
      </c>
      <c r="C657" s="6" t="s">
        <v>38</v>
      </c>
      <c r="D657" s="72" t="str">
        <f t="shared" si="13"/>
        <v>105_S_b</v>
      </c>
      <c r="E657" s="72">
        <v>43</v>
      </c>
      <c r="F657" s="72" t="s">
        <v>70</v>
      </c>
      <c r="G657" s="72" t="s">
        <v>1363</v>
      </c>
    </row>
    <row r="658" spans="1:7" x14ac:dyDescent="0.2">
      <c r="A658" s="3" t="s">
        <v>1358</v>
      </c>
      <c r="B658" t="s">
        <v>33</v>
      </c>
      <c r="C658" t="s">
        <v>38</v>
      </c>
      <c r="D658" s="72" t="str">
        <f t="shared" si="13"/>
        <v>105_V_b</v>
      </c>
      <c r="E658" s="72">
        <v>72</v>
      </c>
      <c r="F658" s="72" t="s">
        <v>34</v>
      </c>
      <c r="G658" s="72" t="s">
        <v>1364</v>
      </c>
    </row>
    <row r="659" spans="1:7" x14ac:dyDescent="0.2">
      <c r="A659" s="5" t="s">
        <v>1371</v>
      </c>
      <c r="B659" s="6" t="s">
        <v>36</v>
      </c>
      <c r="C659" s="6" t="s">
        <v>38</v>
      </c>
      <c r="D659" s="72" t="str">
        <f t="shared" si="13"/>
        <v>106_O_b</v>
      </c>
      <c r="E659" s="72">
        <v>68</v>
      </c>
      <c r="F659" s="72" t="s">
        <v>68</v>
      </c>
      <c r="G659" s="72" t="s">
        <v>1377</v>
      </c>
    </row>
    <row r="660" spans="1:7" x14ac:dyDescent="0.2">
      <c r="A660" s="5" t="s">
        <v>1371</v>
      </c>
      <c r="B660" s="6" t="s">
        <v>27</v>
      </c>
      <c r="C660" s="6" t="s">
        <v>38</v>
      </c>
      <c r="D660" s="72" t="str">
        <f t="shared" si="13"/>
        <v>106_S_b</v>
      </c>
      <c r="E660" s="72">
        <v>38</v>
      </c>
      <c r="F660" s="72" t="s">
        <v>70</v>
      </c>
      <c r="G660" s="72" t="s">
        <v>1375</v>
      </c>
    </row>
    <row r="661" spans="1:7" x14ac:dyDescent="0.2">
      <c r="A661" s="1" t="s">
        <v>1371</v>
      </c>
      <c r="B661" t="s">
        <v>33</v>
      </c>
      <c r="C661" t="s">
        <v>38</v>
      </c>
      <c r="D661" s="72" t="str">
        <f t="shared" si="13"/>
        <v>106_V_b</v>
      </c>
      <c r="E661" s="72">
        <v>63</v>
      </c>
      <c r="F661" s="72" t="s">
        <v>29</v>
      </c>
      <c r="G661" s="72" t="s">
        <v>1376</v>
      </c>
    </row>
    <row r="662" spans="1:7" x14ac:dyDescent="0.2">
      <c r="A662" s="5" t="s">
        <v>1384</v>
      </c>
      <c r="B662" s="6" t="s">
        <v>36</v>
      </c>
      <c r="C662" s="6" t="s">
        <v>38</v>
      </c>
      <c r="D662" s="72" t="str">
        <f t="shared" si="13"/>
        <v>107_O_b</v>
      </c>
      <c r="E662" s="72">
        <v>60</v>
      </c>
      <c r="F662" s="72" t="s">
        <v>70</v>
      </c>
      <c r="G662" s="72" t="s">
        <v>1390</v>
      </c>
    </row>
    <row r="663" spans="1:7" x14ac:dyDescent="0.2">
      <c r="A663" s="5" t="s">
        <v>1384</v>
      </c>
      <c r="B663" s="6" t="s">
        <v>27</v>
      </c>
      <c r="C663" s="6" t="s">
        <v>38</v>
      </c>
      <c r="D663" s="72" t="str">
        <f t="shared" si="13"/>
        <v>107_S_b</v>
      </c>
      <c r="E663" s="72">
        <v>56</v>
      </c>
      <c r="F663" s="72" t="s">
        <v>68</v>
      </c>
      <c r="G663" s="72" t="s">
        <v>1388</v>
      </c>
    </row>
    <row r="664" spans="1:7" x14ac:dyDescent="0.2">
      <c r="A664" s="1" t="s">
        <v>1384</v>
      </c>
      <c r="B664" t="s">
        <v>33</v>
      </c>
      <c r="C664" t="s">
        <v>38</v>
      </c>
      <c r="D664" s="72" t="str">
        <f t="shared" si="13"/>
        <v>107_V_b</v>
      </c>
      <c r="E664" s="72">
        <v>59</v>
      </c>
      <c r="F664" s="72" t="s">
        <v>43</v>
      </c>
      <c r="G664" s="72" t="s">
        <v>1389</v>
      </c>
    </row>
    <row r="665" spans="1:7" x14ac:dyDescent="0.2">
      <c r="A665" s="5" t="s">
        <v>1398</v>
      </c>
      <c r="B665" s="6" t="s">
        <v>36</v>
      </c>
      <c r="C665" s="6" t="s">
        <v>38</v>
      </c>
      <c r="D665" s="72" t="str">
        <f t="shared" si="13"/>
        <v>108_O_b</v>
      </c>
      <c r="E665" s="72">
        <v>67</v>
      </c>
      <c r="F665" s="72" t="s">
        <v>49</v>
      </c>
      <c r="G665" s="72" t="s">
        <v>1403</v>
      </c>
    </row>
    <row r="666" spans="1:7" x14ac:dyDescent="0.2">
      <c r="A666" s="5" t="s">
        <v>1398</v>
      </c>
      <c r="B666" s="6" t="s">
        <v>27</v>
      </c>
      <c r="C666" s="6" t="s">
        <v>38</v>
      </c>
      <c r="D666" s="72" t="str">
        <f t="shared" si="13"/>
        <v>108_S_b</v>
      </c>
      <c r="E666" s="72">
        <v>51</v>
      </c>
      <c r="F666" s="72" t="s">
        <v>29</v>
      </c>
      <c r="G666" s="72" t="s">
        <v>1402</v>
      </c>
    </row>
    <row r="667" spans="1:7" x14ac:dyDescent="0.2">
      <c r="A667" s="1" t="s">
        <v>1398</v>
      </c>
      <c r="B667" t="s">
        <v>33</v>
      </c>
      <c r="C667" t="s">
        <v>38</v>
      </c>
      <c r="D667" s="72" t="str">
        <f t="shared" si="13"/>
        <v>108_V_b</v>
      </c>
      <c r="E667" s="72">
        <v>71</v>
      </c>
      <c r="F667" s="72" t="s">
        <v>39</v>
      </c>
      <c r="G667" s="72" t="s">
        <v>1404</v>
      </c>
    </row>
    <row r="668" spans="1:7" x14ac:dyDescent="0.2">
      <c r="A668" s="5" t="s">
        <v>1411</v>
      </c>
      <c r="B668" s="6" t="s">
        <v>36</v>
      </c>
      <c r="C668" s="6" t="s">
        <v>38</v>
      </c>
      <c r="D668" s="72" t="str">
        <f t="shared" si="13"/>
        <v>109_O_b</v>
      </c>
      <c r="E668" s="72">
        <v>66</v>
      </c>
      <c r="F668" s="72" t="s">
        <v>29</v>
      </c>
      <c r="G668" s="72" t="s">
        <v>1417</v>
      </c>
    </row>
    <row r="669" spans="1:7" x14ac:dyDescent="0.2">
      <c r="A669" s="5" t="s">
        <v>1411</v>
      </c>
      <c r="B669" s="6" t="s">
        <v>27</v>
      </c>
      <c r="C669" s="6" t="s">
        <v>38</v>
      </c>
      <c r="D669" s="72" t="str">
        <f t="shared" si="13"/>
        <v>109_S_b</v>
      </c>
      <c r="E669" s="72">
        <v>39</v>
      </c>
      <c r="F669" s="72" t="s">
        <v>41</v>
      </c>
      <c r="G669" s="72" t="s">
        <v>1415</v>
      </c>
    </row>
    <row r="670" spans="1:7" x14ac:dyDescent="0.2">
      <c r="A670" s="1" t="s">
        <v>1411</v>
      </c>
      <c r="B670" t="s">
        <v>33</v>
      </c>
      <c r="C670" t="s">
        <v>38</v>
      </c>
      <c r="D670" s="72" t="str">
        <f t="shared" si="13"/>
        <v>109_V_b</v>
      </c>
      <c r="E670" s="72">
        <v>40</v>
      </c>
      <c r="F670" s="72" t="s">
        <v>43</v>
      </c>
      <c r="G670" s="72" t="s">
        <v>1416</v>
      </c>
    </row>
    <row r="671" spans="1:7" x14ac:dyDescent="0.2">
      <c r="A671" s="5" t="s">
        <v>1424</v>
      </c>
      <c r="B671" s="6" t="s">
        <v>36</v>
      </c>
      <c r="C671" s="6" t="s">
        <v>38</v>
      </c>
      <c r="D671" s="72" t="str">
        <f t="shared" si="13"/>
        <v>110_O_b</v>
      </c>
      <c r="E671" s="72">
        <v>70</v>
      </c>
      <c r="F671" s="72" t="s">
        <v>39</v>
      </c>
      <c r="G671" s="72" t="s">
        <v>1429</v>
      </c>
    </row>
    <row r="672" spans="1:7" x14ac:dyDescent="0.2">
      <c r="A672" s="5" t="s">
        <v>1424</v>
      </c>
      <c r="B672" s="6" t="s">
        <v>27</v>
      </c>
      <c r="C672" s="6" t="s">
        <v>38</v>
      </c>
      <c r="D672" s="72" t="str">
        <f t="shared" si="13"/>
        <v>110_S_b</v>
      </c>
      <c r="E672" s="72">
        <v>37</v>
      </c>
      <c r="F672" s="72" t="s">
        <v>63</v>
      </c>
      <c r="G672" s="72" t="s">
        <v>1428</v>
      </c>
    </row>
    <row r="673" spans="1:7" x14ac:dyDescent="0.2">
      <c r="A673" s="1" t="s">
        <v>1424</v>
      </c>
      <c r="B673" t="s">
        <v>33</v>
      </c>
      <c r="C673" t="s">
        <v>38</v>
      </c>
      <c r="D673" s="72" t="str">
        <f t="shared" si="13"/>
        <v>110_V_b</v>
      </c>
      <c r="E673" s="72">
        <v>71</v>
      </c>
      <c r="F673" s="72" t="s">
        <v>63</v>
      </c>
      <c r="G673" s="72" t="s">
        <v>1431</v>
      </c>
    </row>
    <row r="674" spans="1:7" x14ac:dyDescent="0.2">
      <c r="A674" s="5" t="s">
        <v>1439</v>
      </c>
      <c r="B674" s="6" t="s">
        <v>36</v>
      </c>
      <c r="C674" s="6" t="s">
        <v>38</v>
      </c>
      <c r="D674" s="72" t="str">
        <f t="shared" si="13"/>
        <v>111_O_b</v>
      </c>
      <c r="E674" s="72">
        <v>37</v>
      </c>
      <c r="F674" s="72" t="s">
        <v>29</v>
      </c>
      <c r="G674" s="72" t="s">
        <v>1443</v>
      </c>
    </row>
    <row r="675" spans="1:7" x14ac:dyDescent="0.2">
      <c r="A675" s="5" t="s">
        <v>1439</v>
      </c>
      <c r="B675" s="6" t="s">
        <v>27</v>
      </c>
      <c r="C675" s="6" t="s">
        <v>38</v>
      </c>
      <c r="D675" s="72" t="str">
        <f t="shared" si="13"/>
        <v>111_S_b</v>
      </c>
      <c r="E675" s="72">
        <v>43</v>
      </c>
      <c r="F675" s="72" t="s">
        <v>39</v>
      </c>
      <c r="G675" s="72" t="s">
        <v>1445</v>
      </c>
    </row>
    <row r="676" spans="1:7" x14ac:dyDescent="0.2">
      <c r="A676" s="1" t="s">
        <v>1439</v>
      </c>
      <c r="B676" t="s">
        <v>33</v>
      </c>
      <c r="C676" t="s">
        <v>38</v>
      </c>
      <c r="D676" s="72" t="str">
        <f t="shared" si="13"/>
        <v>111_V_b</v>
      </c>
      <c r="E676" s="72">
        <v>41</v>
      </c>
      <c r="F676" s="72" t="s">
        <v>70</v>
      </c>
      <c r="G676" s="72" t="s">
        <v>1444</v>
      </c>
    </row>
    <row r="677" spans="1:7" x14ac:dyDescent="0.2">
      <c r="A677" s="5" t="s">
        <v>1452</v>
      </c>
      <c r="B677" s="6" t="s">
        <v>36</v>
      </c>
      <c r="C677" s="6" t="s">
        <v>38</v>
      </c>
      <c r="D677" s="72" t="str">
        <f t="shared" si="13"/>
        <v>112_O_b</v>
      </c>
      <c r="E677" s="72">
        <v>68</v>
      </c>
      <c r="F677" s="72" t="s">
        <v>63</v>
      </c>
      <c r="G677" s="72" t="s">
        <v>1458</v>
      </c>
    </row>
    <row r="678" spans="1:7" x14ac:dyDescent="0.2">
      <c r="A678" s="5" t="s">
        <v>1452</v>
      </c>
      <c r="B678" s="6" t="s">
        <v>27</v>
      </c>
      <c r="C678" s="6" t="s">
        <v>38</v>
      </c>
      <c r="D678" s="72" t="str">
        <f t="shared" si="13"/>
        <v>112_S_b</v>
      </c>
      <c r="E678" s="72">
        <v>40</v>
      </c>
      <c r="F678" s="72" t="s">
        <v>29</v>
      </c>
      <c r="G678" s="72" t="s">
        <v>1456</v>
      </c>
    </row>
    <row r="679" spans="1:7" x14ac:dyDescent="0.2">
      <c r="A679" s="1" t="s">
        <v>1452</v>
      </c>
      <c r="B679" t="s">
        <v>33</v>
      </c>
      <c r="C679" t="s">
        <v>38</v>
      </c>
      <c r="D679" s="72" t="str">
        <f t="shared" si="13"/>
        <v>112_V_b</v>
      </c>
      <c r="E679" s="72">
        <v>52</v>
      </c>
      <c r="F679" s="72" t="s">
        <v>29</v>
      </c>
      <c r="G679" s="72" t="s">
        <v>1457</v>
      </c>
    </row>
    <row r="680" spans="1:7" x14ac:dyDescent="0.2">
      <c r="A680" s="5" t="s">
        <v>1466</v>
      </c>
      <c r="B680" s="6" t="s">
        <v>36</v>
      </c>
      <c r="C680" s="6" t="s">
        <v>38</v>
      </c>
      <c r="D680" s="72" t="str">
        <f t="shared" si="13"/>
        <v>113_O_b</v>
      </c>
      <c r="E680" s="72">
        <v>58</v>
      </c>
      <c r="F680" s="72" t="s">
        <v>49</v>
      </c>
      <c r="G680" s="72" t="s">
        <v>1470</v>
      </c>
    </row>
    <row r="681" spans="1:7" x14ac:dyDescent="0.2">
      <c r="A681" s="5" t="s">
        <v>1466</v>
      </c>
      <c r="B681" s="6" t="s">
        <v>27</v>
      </c>
      <c r="C681" s="6" t="s">
        <v>38</v>
      </c>
      <c r="D681" s="72" t="str">
        <f t="shared" si="13"/>
        <v>113_S_b</v>
      </c>
      <c r="E681" s="72">
        <v>70</v>
      </c>
      <c r="F681" s="72" t="s">
        <v>43</v>
      </c>
      <c r="G681" s="72" t="s">
        <v>1471</v>
      </c>
    </row>
    <row r="682" spans="1:7" x14ac:dyDescent="0.2">
      <c r="A682" s="1" t="s">
        <v>1466</v>
      </c>
      <c r="B682" t="s">
        <v>33</v>
      </c>
      <c r="C682" t="s">
        <v>38</v>
      </c>
      <c r="D682" s="72" t="str">
        <f t="shared" si="13"/>
        <v>113_V_b</v>
      </c>
      <c r="E682" s="72">
        <v>72</v>
      </c>
      <c r="F682" s="72" t="s">
        <v>39</v>
      </c>
      <c r="G682" s="72" t="s">
        <v>1472</v>
      </c>
    </row>
    <row r="683" spans="1:7" x14ac:dyDescent="0.2">
      <c r="A683" s="5" t="s">
        <v>1479</v>
      </c>
      <c r="B683" s="6" t="s">
        <v>36</v>
      </c>
      <c r="C683" s="6" t="s">
        <v>38</v>
      </c>
      <c r="D683" s="72" t="str">
        <f t="shared" si="13"/>
        <v>114_O_b</v>
      </c>
      <c r="E683" s="72">
        <v>50</v>
      </c>
      <c r="F683" s="72" t="s">
        <v>39</v>
      </c>
      <c r="G683" s="72" t="s">
        <v>1484</v>
      </c>
    </row>
    <row r="684" spans="1:7" x14ac:dyDescent="0.2">
      <c r="A684" s="5" t="s">
        <v>1479</v>
      </c>
      <c r="B684" s="6" t="s">
        <v>27</v>
      </c>
      <c r="C684" s="6" t="s">
        <v>38</v>
      </c>
      <c r="D684" s="72" t="str">
        <f t="shared" si="13"/>
        <v>114_S_b</v>
      </c>
      <c r="E684" s="72">
        <v>68</v>
      </c>
      <c r="F684" s="72" t="s">
        <v>34</v>
      </c>
      <c r="G684" s="72" t="s">
        <v>1486</v>
      </c>
    </row>
    <row r="685" spans="1:7" x14ac:dyDescent="0.2">
      <c r="A685" s="1" t="s">
        <v>1479</v>
      </c>
      <c r="B685" t="s">
        <v>33</v>
      </c>
      <c r="C685" t="s">
        <v>38</v>
      </c>
      <c r="D685" s="72" t="str">
        <f t="shared" si="13"/>
        <v>114_V_b</v>
      </c>
      <c r="E685" s="72">
        <v>59</v>
      </c>
      <c r="F685" s="72" t="s">
        <v>68</v>
      </c>
      <c r="G685" s="72" t="s">
        <v>1485</v>
      </c>
    </row>
    <row r="686" spans="1:7" x14ac:dyDescent="0.2">
      <c r="A686" s="5" t="s">
        <v>1493</v>
      </c>
      <c r="B686" s="6" t="s">
        <v>36</v>
      </c>
      <c r="C686" s="6" t="s">
        <v>38</v>
      </c>
      <c r="D686" s="72" t="str">
        <f t="shared" si="13"/>
        <v>115_O_b</v>
      </c>
      <c r="E686" s="72">
        <v>71</v>
      </c>
      <c r="F686" s="72" t="s">
        <v>70</v>
      </c>
      <c r="G686" s="72" t="s">
        <v>1499</v>
      </c>
    </row>
    <row r="687" spans="1:7" x14ac:dyDescent="0.2">
      <c r="A687" s="5" t="s">
        <v>1493</v>
      </c>
      <c r="B687" s="6" t="s">
        <v>27</v>
      </c>
      <c r="C687" s="6" t="s">
        <v>38</v>
      </c>
      <c r="D687" s="72" t="str">
        <f t="shared" si="13"/>
        <v>115_S_b</v>
      </c>
      <c r="E687" s="72">
        <v>63</v>
      </c>
      <c r="F687" s="72" t="s">
        <v>39</v>
      </c>
      <c r="G687" s="72" t="s">
        <v>1498</v>
      </c>
    </row>
    <row r="688" spans="1:7" x14ac:dyDescent="0.2">
      <c r="A688" s="1" t="s">
        <v>1493</v>
      </c>
      <c r="B688" t="s">
        <v>33</v>
      </c>
      <c r="C688" t="s">
        <v>38</v>
      </c>
      <c r="D688" s="72" t="str">
        <f t="shared" si="13"/>
        <v>115_V_b</v>
      </c>
      <c r="E688" s="72">
        <v>59</v>
      </c>
      <c r="F688" s="72" t="s">
        <v>39</v>
      </c>
      <c r="G688" s="72" t="s">
        <v>1497</v>
      </c>
    </row>
    <row r="689" spans="1:7" x14ac:dyDescent="0.2">
      <c r="A689" s="5" t="s">
        <v>1506</v>
      </c>
      <c r="B689" s="6" t="s">
        <v>36</v>
      </c>
      <c r="C689" s="6" t="s">
        <v>38</v>
      </c>
      <c r="D689" s="72" t="str">
        <f t="shared" si="13"/>
        <v>116_O_b</v>
      </c>
      <c r="E689" s="72">
        <v>50</v>
      </c>
      <c r="F689" s="72" t="s">
        <v>43</v>
      </c>
      <c r="G689" s="72" t="s">
        <v>1510</v>
      </c>
    </row>
    <row r="690" spans="1:7" x14ac:dyDescent="0.2">
      <c r="A690" s="5" t="s">
        <v>1506</v>
      </c>
      <c r="B690" s="6" t="s">
        <v>27</v>
      </c>
      <c r="C690" s="6" t="s">
        <v>38</v>
      </c>
      <c r="D690" s="72" t="str">
        <f t="shared" si="13"/>
        <v>116_S_b</v>
      </c>
      <c r="E690" s="72">
        <v>65</v>
      </c>
      <c r="F690" s="72" t="s">
        <v>70</v>
      </c>
      <c r="G690" s="72" t="s">
        <v>1511</v>
      </c>
    </row>
    <row r="691" spans="1:7" x14ac:dyDescent="0.2">
      <c r="A691" s="1" t="s">
        <v>1506</v>
      </c>
      <c r="B691" t="s">
        <v>33</v>
      </c>
      <c r="C691" t="s">
        <v>38</v>
      </c>
      <c r="D691" s="72" t="str">
        <f t="shared" si="13"/>
        <v>116_V_b</v>
      </c>
      <c r="E691" s="72">
        <v>67</v>
      </c>
      <c r="F691" s="72" t="s">
        <v>68</v>
      </c>
      <c r="G691" s="72" t="s">
        <v>1512</v>
      </c>
    </row>
    <row r="692" spans="1:7" x14ac:dyDescent="0.2">
      <c r="A692" s="5" t="s">
        <v>1519</v>
      </c>
      <c r="B692" s="6" t="s">
        <v>36</v>
      </c>
      <c r="C692" s="6" t="s">
        <v>38</v>
      </c>
      <c r="D692" s="72" t="str">
        <f t="shared" si="13"/>
        <v>117_O_b</v>
      </c>
      <c r="E692" s="72">
        <v>66</v>
      </c>
      <c r="F692" s="72" t="s">
        <v>34</v>
      </c>
      <c r="G692" s="72" t="s">
        <v>1525</v>
      </c>
    </row>
    <row r="693" spans="1:7" x14ac:dyDescent="0.2">
      <c r="A693" s="5" t="s">
        <v>1519</v>
      </c>
      <c r="B693" s="6" t="s">
        <v>27</v>
      </c>
      <c r="C693" s="6" t="s">
        <v>38</v>
      </c>
      <c r="D693" s="72" t="str">
        <f t="shared" si="13"/>
        <v>117_S_b</v>
      </c>
      <c r="E693" s="72">
        <v>48</v>
      </c>
      <c r="F693" s="72" t="s">
        <v>43</v>
      </c>
      <c r="G693" s="72" t="s">
        <v>1523</v>
      </c>
    </row>
    <row r="694" spans="1:7" x14ac:dyDescent="0.2">
      <c r="A694" s="1" t="s">
        <v>1519</v>
      </c>
      <c r="B694" t="s">
        <v>33</v>
      </c>
      <c r="C694" t="s">
        <v>38</v>
      </c>
      <c r="D694" s="72" t="str">
        <f t="shared" si="13"/>
        <v>117_V_b</v>
      </c>
      <c r="E694" s="72">
        <v>62</v>
      </c>
      <c r="F694" s="72" t="s">
        <v>43</v>
      </c>
      <c r="G694" s="72" t="s">
        <v>1524</v>
      </c>
    </row>
    <row r="695" spans="1:7" x14ac:dyDescent="0.2">
      <c r="A695" s="5" t="s">
        <v>1532</v>
      </c>
      <c r="B695" s="6" t="s">
        <v>36</v>
      </c>
      <c r="C695" s="6" t="s">
        <v>38</v>
      </c>
      <c r="D695" s="72" t="str">
        <f t="shared" si="13"/>
        <v>118_O_b</v>
      </c>
      <c r="E695" s="72">
        <v>65</v>
      </c>
      <c r="F695" s="72" t="s">
        <v>63</v>
      </c>
      <c r="G695" s="72" t="s">
        <v>1539</v>
      </c>
    </row>
    <row r="696" spans="1:7" x14ac:dyDescent="0.2">
      <c r="A696" s="5" t="s">
        <v>1532</v>
      </c>
      <c r="B696" s="6" t="s">
        <v>27</v>
      </c>
      <c r="C696" s="6" t="s">
        <v>38</v>
      </c>
      <c r="D696" s="72" t="str">
        <f t="shared" si="13"/>
        <v>118_S_b</v>
      </c>
      <c r="E696" s="72">
        <v>66</v>
      </c>
      <c r="F696" s="72" t="s">
        <v>82</v>
      </c>
      <c r="G696" s="72" t="s">
        <v>1540</v>
      </c>
    </row>
    <row r="697" spans="1:7" x14ac:dyDescent="0.2">
      <c r="A697" s="1" t="s">
        <v>1532</v>
      </c>
      <c r="B697" t="s">
        <v>33</v>
      </c>
      <c r="C697" t="s">
        <v>38</v>
      </c>
      <c r="D697" s="72" t="str">
        <f t="shared" si="13"/>
        <v>118_V_b</v>
      </c>
      <c r="E697" s="72">
        <v>53</v>
      </c>
      <c r="F697" s="72" t="s">
        <v>68</v>
      </c>
      <c r="G697" s="72" t="s">
        <v>1538</v>
      </c>
    </row>
    <row r="698" spans="1:7" x14ac:dyDescent="0.2">
      <c r="A698" s="5" t="s">
        <v>1551</v>
      </c>
      <c r="B698" s="6" t="s">
        <v>36</v>
      </c>
      <c r="C698" s="6" t="s">
        <v>38</v>
      </c>
      <c r="D698" s="72" t="str">
        <f t="shared" si="13"/>
        <v>119_O_b</v>
      </c>
      <c r="E698" s="72">
        <v>37</v>
      </c>
      <c r="F698" s="72" t="s">
        <v>49</v>
      </c>
      <c r="G698" s="72" t="s">
        <v>1555</v>
      </c>
    </row>
    <row r="699" spans="1:7" x14ac:dyDescent="0.2">
      <c r="A699" s="5" t="s">
        <v>1551</v>
      </c>
      <c r="B699" s="6" t="s">
        <v>27</v>
      </c>
      <c r="C699" s="6" t="s">
        <v>38</v>
      </c>
      <c r="D699" s="72" t="str">
        <f t="shared" si="13"/>
        <v>119_S_b</v>
      </c>
      <c r="E699" s="72">
        <v>54</v>
      </c>
      <c r="F699" s="72" t="s">
        <v>70</v>
      </c>
      <c r="G699" s="72" t="s">
        <v>1556</v>
      </c>
    </row>
    <row r="700" spans="1:7" x14ac:dyDescent="0.2">
      <c r="A700" s="1" t="s">
        <v>1551</v>
      </c>
      <c r="B700" t="s">
        <v>33</v>
      </c>
      <c r="C700" t="s">
        <v>38</v>
      </c>
      <c r="D700" s="72" t="str">
        <f t="shared" si="13"/>
        <v>119_V_b</v>
      </c>
      <c r="E700" s="72">
        <v>69</v>
      </c>
      <c r="F700" s="72" t="s">
        <v>68</v>
      </c>
      <c r="G700" s="72" t="s">
        <v>1557</v>
      </c>
    </row>
    <row r="701" spans="1:7" x14ac:dyDescent="0.2">
      <c r="A701" s="5" t="s">
        <v>1564</v>
      </c>
      <c r="B701" s="6" t="s">
        <v>36</v>
      </c>
      <c r="C701" s="6" t="s">
        <v>38</v>
      </c>
      <c r="D701" s="72" t="str">
        <f t="shared" si="13"/>
        <v>120_O_b</v>
      </c>
      <c r="E701" s="72">
        <v>60</v>
      </c>
      <c r="F701" s="72" t="s">
        <v>63</v>
      </c>
      <c r="G701" s="72" t="s">
        <v>1570</v>
      </c>
    </row>
    <row r="702" spans="1:7" x14ac:dyDescent="0.2">
      <c r="A702" s="5" t="s">
        <v>1564</v>
      </c>
      <c r="B702" s="6" t="s">
        <v>27</v>
      </c>
      <c r="C702" s="6" t="s">
        <v>38</v>
      </c>
      <c r="D702" s="72" t="str">
        <f t="shared" si="13"/>
        <v>120_S_b</v>
      </c>
      <c r="E702" s="72">
        <v>49</v>
      </c>
      <c r="F702" s="72" t="s">
        <v>82</v>
      </c>
      <c r="G702" s="72" t="s">
        <v>1569</v>
      </c>
    </row>
    <row r="703" spans="1:7" x14ac:dyDescent="0.2">
      <c r="A703" s="1" t="s">
        <v>1564</v>
      </c>
      <c r="B703" t="s">
        <v>33</v>
      </c>
      <c r="C703" t="s">
        <v>38</v>
      </c>
      <c r="D703" s="72" t="str">
        <f t="shared" si="13"/>
        <v>120_V_b</v>
      </c>
      <c r="E703" s="72">
        <v>48</v>
      </c>
      <c r="F703" s="72" t="s">
        <v>63</v>
      </c>
      <c r="G703" s="72" t="s">
        <v>1568</v>
      </c>
    </row>
    <row r="704" spans="1:7" x14ac:dyDescent="0.2">
      <c r="A704" s="5" t="s">
        <v>1577</v>
      </c>
      <c r="B704" s="6" t="s">
        <v>36</v>
      </c>
      <c r="C704" s="6" t="s">
        <v>38</v>
      </c>
      <c r="D704" s="72" t="str">
        <f t="shared" si="13"/>
        <v>121_O_b</v>
      </c>
      <c r="E704" s="72">
        <v>51</v>
      </c>
      <c r="F704" s="72" t="s">
        <v>68</v>
      </c>
      <c r="G704" s="72" t="s">
        <v>1582</v>
      </c>
    </row>
    <row r="705" spans="1:7" x14ac:dyDescent="0.2">
      <c r="A705" s="5" t="s">
        <v>1577</v>
      </c>
      <c r="B705" s="6" t="s">
        <v>27</v>
      </c>
      <c r="C705" s="6" t="s">
        <v>38</v>
      </c>
      <c r="D705" s="72" t="str">
        <f t="shared" si="13"/>
        <v>121_S_b</v>
      </c>
      <c r="E705" s="72">
        <v>38</v>
      </c>
      <c r="F705" s="72" t="s">
        <v>63</v>
      </c>
      <c r="G705" s="72" t="s">
        <v>1581</v>
      </c>
    </row>
    <row r="706" spans="1:7" x14ac:dyDescent="0.2">
      <c r="A706" s="1" t="s">
        <v>1577</v>
      </c>
      <c r="B706" t="s">
        <v>33</v>
      </c>
      <c r="C706" t="s">
        <v>38</v>
      </c>
      <c r="D706" s="72" t="str">
        <f t="shared" ref="D706:D769" si="14">A706&amp;"_"&amp;B706&amp;"_"&amp;C706</f>
        <v>121_V_b</v>
      </c>
      <c r="E706" s="72">
        <v>56</v>
      </c>
      <c r="F706" s="72" t="s">
        <v>39</v>
      </c>
      <c r="G706" s="72" t="s">
        <v>1583</v>
      </c>
    </row>
    <row r="707" spans="1:7" x14ac:dyDescent="0.2">
      <c r="A707" s="5" t="s">
        <v>1593</v>
      </c>
      <c r="B707" s="6" t="s">
        <v>36</v>
      </c>
      <c r="C707" s="6" t="s">
        <v>38</v>
      </c>
      <c r="D707" s="72" t="str">
        <f t="shared" si="14"/>
        <v>122_O_b</v>
      </c>
      <c r="E707" s="72">
        <v>64</v>
      </c>
      <c r="F707" s="72" t="s">
        <v>34</v>
      </c>
      <c r="G707" s="72" t="s">
        <v>1599</v>
      </c>
    </row>
    <row r="708" spans="1:7" x14ac:dyDescent="0.2">
      <c r="A708" s="5" t="s">
        <v>1593</v>
      </c>
      <c r="B708" s="6" t="s">
        <v>27</v>
      </c>
      <c r="C708" s="6" t="s">
        <v>38</v>
      </c>
      <c r="D708" s="72" t="str">
        <f t="shared" si="14"/>
        <v>122_S_b</v>
      </c>
      <c r="E708" s="72">
        <v>56</v>
      </c>
      <c r="F708" s="72" t="s">
        <v>82</v>
      </c>
      <c r="G708" s="72" t="s">
        <v>1598</v>
      </c>
    </row>
    <row r="709" spans="1:7" x14ac:dyDescent="0.2">
      <c r="A709" s="1" t="s">
        <v>1593</v>
      </c>
      <c r="B709" t="s">
        <v>33</v>
      </c>
      <c r="C709" t="s">
        <v>38</v>
      </c>
      <c r="D709" s="72" t="str">
        <f t="shared" si="14"/>
        <v>122_V_b</v>
      </c>
      <c r="E709" s="72">
        <v>53</v>
      </c>
      <c r="F709" s="72" t="s">
        <v>29</v>
      </c>
      <c r="G709" s="72" t="s">
        <v>1597</v>
      </c>
    </row>
    <row r="710" spans="1:7" x14ac:dyDescent="0.2">
      <c r="A710" s="5" t="s">
        <v>1606</v>
      </c>
      <c r="B710" s="6" t="s">
        <v>36</v>
      </c>
      <c r="C710" s="6" t="s">
        <v>38</v>
      </c>
      <c r="D710" s="72" t="str">
        <f t="shared" si="14"/>
        <v>123_O_b</v>
      </c>
      <c r="E710" s="72">
        <v>56</v>
      </c>
      <c r="F710" s="72" t="s">
        <v>70</v>
      </c>
      <c r="G710" s="72" t="s">
        <v>1611</v>
      </c>
    </row>
    <row r="711" spans="1:7" x14ac:dyDescent="0.2">
      <c r="A711" s="5" t="s">
        <v>1606</v>
      </c>
      <c r="B711" s="6" t="s">
        <v>27</v>
      </c>
      <c r="C711" s="6" t="s">
        <v>38</v>
      </c>
      <c r="D711" s="72" t="str">
        <f t="shared" si="14"/>
        <v>123_S_b</v>
      </c>
      <c r="E711" s="72">
        <v>72</v>
      </c>
      <c r="F711" s="72" t="s">
        <v>29</v>
      </c>
      <c r="G711" s="72" t="s">
        <v>1612</v>
      </c>
    </row>
    <row r="712" spans="1:7" x14ac:dyDescent="0.2">
      <c r="A712" s="1" t="s">
        <v>1606</v>
      </c>
      <c r="B712" t="s">
        <v>33</v>
      </c>
      <c r="C712" t="s">
        <v>38</v>
      </c>
      <c r="D712" s="72" t="str">
        <f t="shared" si="14"/>
        <v>123_V_b</v>
      </c>
      <c r="E712" s="72">
        <v>45</v>
      </c>
      <c r="F712" s="72" t="s">
        <v>49</v>
      </c>
      <c r="G712" s="72" t="s">
        <v>1610</v>
      </c>
    </row>
    <row r="713" spans="1:7" x14ac:dyDescent="0.2">
      <c r="A713" s="5" t="s">
        <v>1619</v>
      </c>
      <c r="B713" s="6" t="s">
        <v>36</v>
      </c>
      <c r="C713" s="6" t="s">
        <v>38</v>
      </c>
      <c r="D713" s="72" t="str">
        <f t="shared" si="14"/>
        <v>EXC_O_b</v>
      </c>
      <c r="E713" s="72">
        <v>60</v>
      </c>
      <c r="F713" s="72" t="s">
        <v>43</v>
      </c>
      <c r="G713" s="72" t="s">
        <v>1625</v>
      </c>
    </row>
    <row r="714" spans="1:7" x14ac:dyDescent="0.2">
      <c r="A714" s="5" t="s">
        <v>1619</v>
      </c>
      <c r="B714" s="6" t="s">
        <v>27</v>
      </c>
      <c r="C714" s="6" t="s">
        <v>38</v>
      </c>
      <c r="D714" s="72" t="str">
        <f t="shared" si="14"/>
        <v>EXC_S_b</v>
      </c>
      <c r="E714" s="72">
        <v>39</v>
      </c>
      <c r="F714" s="72" t="s">
        <v>68</v>
      </c>
      <c r="G714" s="72" t="s">
        <v>1623</v>
      </c>
    </row>
    <row r="715" spans="1:7" x14ac:dyDescent="0.2">
      <c r="A715" s="1" t="s">
        <v>1619</v>
      </c>
      <c r="B715" t="s">
        <v>33</v>
      </c>
      <c r="C715" t="s">
        <v>38</v>
      </c>
      <c r="D715" s="72" t="str">
        <f t="shared" si="14"/>
        <v>EXC_V_b</v>
      </c>
      <c r="E715" s="72">
        <v>48</v>
      </c>
      <c r="F715" s="72" t="s">
        <v>41</v>
      </c>
      <c r="G715" s="72" t="s">
        <v>1624</v>
      </c>
    </row>
    <row r="716" spans="1:7" x14ac:dyDescent="0.2">
      <c r="A716" s="5" t="s">
        <v>1675</v>
      </c>
      <c r="B716" s="6" t="s">
        <v>36</v>
      </c>
      <c r="C716" s="6" t="s">
        <v>38</v>
      </c>
      <c r="D716" s="72" t="str">
        <f t="shared" si="14"/>
        <v>NIG_O_b</v>
      </c>
      <c r="E716" s="72">
        <v>49</v>
      </c>
      <c r="F716" s="72" t="s">
        <v>29</v>
      </c>
      <c r="G716" s="72" t="s">
        <v>1681</v>
      </c>
    </row>
    <row r="717" spans="1:7" x14ac:dyDescent="0.2">
      <c r="A717" s="5" t="s">
        <v>1675</v>
      </c>
      <c r="B717" s="6" t="s">
        <v>27</v>
      </c>
      <c r="C717" s="6" t="s">
        <v>38</v>
      </c>
      <c r="D717" s="72" t="str">
        <f t="shared" si="14"/>
        <v>NIG_S_b</v>
      </c>
      <c r="E717" s="72">
        <v>48</v>
      </c>
      <c r="F717" s="72" t="s">
        <v>34</v>
      </c>
      <c r="G717" s="72" t="s">
        <v>1680</v>
      </c>
    </row>
    <row r="718" spans="1:7" x14ac:dyDescent="0.2">
      <c r="A718" s="1" t="s">
        <v>1675</v>
      </c>
      <c r="B718" t="s">
        <v>33</v>
      </c>
      <c r="C718" t="s">
        <v>38</v>
      </c>
      <c r="D718" s="72" t="str">
        <f t="shared" si="14"/>
        <v>NIG_V_b</v>
      </c>
      <c r="E718" s="72">
        <v>39</v>
      </c>
      <c r="F718" s="72" t="s">
        <v>70</v>
      </c>
      <c r="G718" s="72" t="s">
        <v>1679</v>
      </c>
    </row>
    <row r="719" spans="1:7" x14ac:dyDescent="0.2">
      <c r="A719" s="5" t="s">
        <v>1688</v>
      </c>
      <c r="B719" s="6" t="s">
        <v>36</v>
      </c>
      <c r="C719" s="6" t="s">
        <v>38</v>
      </c>
      <c r="D719" s="72" t="str">
        <f t="shared" si="14"/>
        <v>UNI_O_b</v>
      </c>
      <c r="E719" s="72">
        <v>68</v>
      </c>
      <c r="F719" s="72" t="s">
        <v>82</v>
      </c>
      <c r="G719" s="72" t="s">
        <v>1695</v>
      </c>
    </row>
    <row r="720" spans="1:7" x14ac:dyDescent="0.2">
      <c r="A720" s="5" t="s">
        <v>1688</v>
      </c>
      <c r="B720" s="6" t="s">
        <v>27</v>
      </c>
      <c r="C720" s="6" t="s">
        <v>38</v>
      </c>
      <c r="D720" s="72" t="str">
        <f t="shared" si="14"/>
        <v>UNI_S_b</v>
      </c>
      <c r="E720" s="72">
        <v>39</v>
      </c>
      <c r="F720" s="72" t="s">
        <v>43</v>
      </c>
      <c r="G720" s="72" t="s">
        <v>1694</v>
      </c>
    </row>
    <row r="721" spans="1:7" x14ac:dyDescent="0.2">
      <c r="A721" s="1" t="s">
        <v>1688</v>
      </c>
      <c r="B721" t="s">
        <v>33</v>
      </c>
      <c r="C721" t="s">
        <v>38</v>
      </c>
      <c r="D721" s="72" t="str">
        <f t="shared" si="14"/>
        <v>UNI_V_b</v>
      </c>
      <c r="E721" s="72">
        <v>69</v>
      </c>
      <c r="F721" s="72" t="s">
        <v>39</v>
      </c>
      <c r="G721" s="72" t="s">
        <v>1697</v>
      </c>
    </row>
    <row r="722" spans="1:7" s="19" customFormat="1" x14ac:dyDescent="0.2">
      <c r="A722" s="17" t="s">
        <v>26</v>
      </c>
      <c r="B722" s="18" t="s">
        <v>36</v>
      </c>
      <c r="C722" s="18" t="s">
        <v>45</v>
      </c>
      <c r="D722" s="72" t="str">
        <f t="shared" si="14"/>
        <v>001_O_c</v>
      </c>
      <c r="E722" s="72">
        <v>95</v>
      </c>
      <c r="F722" s="72" t="s">
        <v>34</v>
      </c>
      <c r="G722" s="72" t="s">
        <v>46</v>
      </c>
    </row>
    <row r="723" spans="1:7" x14ac:dyDescent="0.2">
      <c r="A723" s="5" t="s">
        <v>26</v>
      </c>
      <c r="B723" s="6" t="s">
        <v>27</v>
      </c>
      <c r="C723" s="6" t="s">
        <v>45</v>
      </c>
      <c r="D723" s="72" t="str">
        <f t="shared" si="14"/>
        <v>001_S_c</v>
      </c>
      <c r="E723" s="72">
        <v>102</v>
      </c>
      <c r="F723" s="72" t="s">
        <v>29</v>
      </c>
      <c r="G723" s="72" t="s">
        <v>48</v>
      </c>
    </row>
    <row r="724" spans="1:7" x14ac:dyDescent="0.2">
      <c r="A724" s="5" t="s">
        <v>26</v>
      </c>
      <c r="B724" s="6" t="s">
        <v>33</v>
      </c>
      <c r="C724" s="6" t="s">
        <v>45</v>
      </c>
      <c r="D724" s="72" t="str">
        <f t="shared" si="14"/>
        <v>001_V_c</v>
      </c>
      <c r="E724" s="72">
        <v>107</v>
      </c>
      <c r="F724" s="72" t="s">
        <v>49</v>
      </c>
      <c r="G724" s="72" t="s">
        <v>50</v>
      </c>
    </row>
    <row r="725" spans="1:7" x14ac:dyDescent="0.2">
      <c r="A725" s="5" t="s">
        <v>59</v>
      </c>
      <c r="B725" s="6" t="s">
        <v>36</v>
      </c>
      <c r="C725" s="6" t="s">
        <v>45</v>
      </c>
      <c r="D725" s="72" t="str">
        <f t="shared" si="14"/>
        <v>002_O_c</v>
      </c>
      <c r="E725" s="72">
        <v>84</v>
      </c>
      <c r="F725" s="72" t="s">
        <v>70</v>
      </c>
      <c r="G725" s="72" t="s">
        <v>71</v>
      </c>
    </row>
    <row r="726" spans="1:7" x14ac:dyDescent="0.2">
      <c r="A726" s="5" t="s">
        <v>59</v>
      </c>
      <c r="B726" s="6" t="s">
        <v>27</v>
      </c>
      <c r="C726" s="6" t="s">
        <v>45</v>
      </c>
      <c r="D726" s="72" t="str">
        <f t="shared" si="14"/>
        <v>002_S_c</v>
      </c>
      <c r="E726" s="72">
        <v>101</v>
      </c>
      <c r="F726" s="72" t="s">
        <v>41</v>
      </c>
      <c r="G726" s="72" t="s">
        <v>74</v>
      </c>
    </row>
    <row r="727" spans="1:7" x14ac:dyDescent="0.2">
      <c r="A727" s="5" t="s">
        <v>59</v>
      </c>
      <c r="B727" s="6" t="s">
        <v>33</v>
      </c>
      <c r="C727" s="6" t="s">
        <v>45</v>
      </c>
      <c r="D727" s="72" t="str">
        <f t="shared" si="14"/>
        <v>002_V_c</v>
      </c>
      <c r="E727" s="72">
        <v>99</v>
      </c>
      <c r="F727" s="72" t="s">
        <v>29</v>
      </c>
      <c r="G727" s="72" t="s">
        <v>73</v>
      </c>
    </row>
    <row r="728" spans="1:7" x14ac:dyDescent="0.2">
      <c r="A728" s="5" t="s">
        <v>79</v>
      </c>
      <c r="B728" s="6" t="s">
        <v>36</v>
      </c>
      <c r="C728" s="6" t="s">
        <v>45</v>
      </c>
      <c r="D728" s="72" t="str">
        <f t="shared" si="14"/>
        <v>003_O_c</v>
      </c>
      <c r="E728" s="72">
        <v>105</v>
      </c>
      <c r="F728" s="72" t="s">
        <v>49</v>
      </c>
      <c r="G728" s="72" t="s">
        <v>89</v>
      </c>
    </row>
    <row r="729" spans="1:7" x14ac:dyDescent="0.2">
      <c r="A729" s="5" t="s">
        <v>79</v>
      </c>
      <c r="B729" s="6" t="s">
        <v>27</v>
      </c>
      <c r="C729" s="6" t="s">
        <v>45</v>
      </c>
      <c r="D729" s="72" t="str">
        <f t="shared" si="14"/>
        <v>003_S_c</v>
      </c>
      <c r="E729" s="72">
        <v>107</v>
      </c>
      <c r="F729" s="72" t="s">
        <v>63</v>
      </c>
      <c r="G729" s="72" t="s">
        <v>90</v>
      </c>
    </row>
    <row r="730" spans="1:7" x14ac:dyDescent="0.2">
      <c r="A730" s="5" t="s">
        <v>79</v>
      </c>
      <c r="B730" s="6" t="s">
        <v>33</v>
      </c>
      <c r="C730" s="6" t="s">
        <v>45</v>
      </c>
      <c r="D730" s="72" t="str">
        <f t="shared" si="14"/>
        <v>003_V_c</v>
      </c>
      <c r="E730" s="72">
        <v>100</v>
      </c>
      <c r="F730" s="72" t="s">
        <v>68</v>
      </c>
      <c r="G730" s="72" t="s">
        <v>88</v>
      </c>
    </row>
    <row r="731" spans="1:7" x14ac:dyDescent="0.2">
      <c r="A731" s="5" t="s">
        <v>94</v>
      </c>
      <c r="B731" s="6" t="s">
        <v>36</v>
      </c>
      <c r="C731" s="6" t="s">
        <v>45</v>
      </c>
      <c r="D731" s="72" t="str">
        <f t="shared" si="14"/>
        <v>004_O_c</v>
      </c>
      <c r="E731" s="72">
        <v>91</v>
      </c>
      <c r="F731" s="72" t="s">
        <v>39</v>
      </c>
      <c r="G731" s="72" t="s">
        <v>103</v>
      </c>
    </row>
    <row r="732" spans="1:7" x14ac:dyDescent="0.2">
      <c r="A732" s="5" t="s">
        <v>94</v>
      </c>
      <c r="B732" s="6" t="s">
        <v>27</v>
      </c>
      <c r="C732" s="6" t="s">
        <v>45</v>
      </c>
      <c r="D732" s="72" t="str">
        <f t="shared" si="14"/>
        <v>004_S_c</v>
      </c>
      <c r="E732" s="72">
        <v>88</v>
      </c>
      <c r="F732" s="72" t="s">
        <v>70</v>
      </c>
      <c r="G732" s="72" t="s">
        <v>102</v>
      </c>
    </row>
    <row r="733" spans="1:7" x14ac:dyDescent="0.2">
      <c r="A733" s="5" t="s">
        <v>94</v>
      </c>
      <c r="B733" s="6" t="s">
        <v>33</v>
      </c>
      <c r="C733" s="6" t="s">
        <v>45</v>
      </c>
      <c r="D733" s="72" t="str">
        <f t="shared" si="14"/>
        <v>004_V_c</v>
      </c>
      <c r="E733" s="72">
        <v>87</v>
      </c>
      <c r="F733" s="72" t="s">
        <v>49</v>
      </c>
      <c r="G733" s="72" t="s">
        <v>101</v>
      </c>
    </row>
    <row r="734" spans="1:7" x14ac:dyDescent="0.2">
      <c r="A734" s="5" t="s">
        <v>107</v>
      </c>
      <c r="B734" s="6" t="s">
        <v>36</v>
      </c>
      <c r="C734" s="6" t="s">
        <v>45</v>
      </c>
      <c r="D734" s="72" t="str">
        <f t="shared" si="14"/>
        <v>005_O_c</v>
      </c>
      <c r="E734" s="72">
        <v>91</v>
      </c>
      <c r="F734" s="72" t="s">
        <v>82</v>
      </c>
      <c r="G734" s="72" t="s">
        <v>115</v>
      </c>
    </row>
    <row r="735" spans="1:7" x14ac:dyDescent="0.2">
      <c r="A735" s="5" t="s">
        <v>107</v>
      </c>
      <c r="B735" s="6" t="s">
        <v>27</v>
      </c>
      <c r="C735" s="6" t="s">
        <v>45</v>
      </c>
      <c r="D735" s="72" t="str">
        <f t="shared" si="14"/>
        <v>005_S_c</v>
      </c>
      <c r="E735" s="72">
        <v>73</v>
      </c>
      <c r="F735" s="72" t="s">
        <v>39</v>
      </c>
      <c r="G735" s="72" t="s">
        <v>114</v>
      </c>
    </row>
    <row r="736" spans="1:7" x14ac:dyDescent="0.2">
      <c r="A736" s="5" t="s">
        <v>107</v>
      </c>
      <c r="B736" s="6" t="s">
        <v>33</v>
      </c>
      <c r="C736" s="6" t="s">
        <v>45</v>
      </c>
      <c r="D736" s="72" t="str">
        <f t="shared" si="14"/>
        <v>005_V_c</v>
      </c>
      <c r="E736" s="72">
        <v>96</v>
      </c>
      <c r="F736" s="72" t="s">
        <v>39</v>
      </c>
      <c r="G736" s="72" t="s">
        <v>116</v>
      </c>
    </row>
    <row r="737" spans="1:7" x14ac:dyDescent="0.2">
      <c r="A737" s="5" t="s">
        <v>120</v>
      </c>
      <c r="B737" s="6" t="s">
        <v>36</v>
      </c>
      <c r="C737" s="6" t="s">
        <v>45</v>
      </c>
      <c r="D737" s="72" t="str">
        <f t="shared" si="14"/>
        <v>006_O_c</v>
      </c>
      <c r="E737" s="72">
        <v>75</v>
      </c>
      <c r="F737" s="72" t="s">
        <v>29</v>
      </c>
      <c r="G737" s="72" t="s">
        <v>127</v>
      </c>
    </row>
    <row r="738" spans="1:7" x14ac:dyDescent="0.2">
      <c r="A738" s="5" t="s">
        <v>120</v>
      </c>
      <c r="B738" s="6" t="s">
        <v>27</v>
      </c>
      <c r="C738" s="6" t="s">
        <v>45</v>
      </c>
      <c r="D738" s="72" t="str">
        <f t="shared" si="14"/>
        <v>006_S_c</v>
      </c>
      <c r="E738" s="72">
        <v>101</v>
      </c>
      <c r="F738" s="72" t="s">
        <v>63</v>
      </c>
      <c r="G738" s="72" t="s">
        <v>130</v>
      </c>
    </row>
    <row r="739" spans="1:7" x14ac:dyDescent="0.2">
      <c r="A739" s="5" t="s">
        <v>120</v>
      </c>
      <c r="B739" s="6" t="s">
        <v>33</v>
      </c>
      <c r="C739" s="6" t="s">
        <v>45</v>
      </c>
      <c r="D739" s="72" t="str">
        <f t="shared" si="14"/>
        <v>006_V_c</v>
      </c>
      <c r="E739" s="72">
        <v>80</v>
      </c>
      <c r="F739" s="72" t="s">
        <v>39</v>
      </c>
      <c r="G739" s="72" t="s">
        <v>129</v>
      </c>
    </row>
    <row r="740" spans="1:7" x14ac:dyDescent="0.2">
      <c r="A740" s="5" t="s">
        <v>134</v>
      </c>
      <c r="B740" s="6" t="s">
        <v>36</v>
      </c>
      <c r="C740" s="6" t="s">
        <v>45</v>
      </c>
      <c r="D740" s="72" t="str">
        <f t="shared" si="14"/>
        <v>007_O_c</v>
      </c>
      <c r="E740" s="72">
        <v>87</v>
      </c>
      <c r="F740" s="72" t="s">
        <v>43</v>
      </c>
      <c r="G740" s="72" t="s">
        <v>143</v>
      </c>
    </row>
    <row r="741" spans="1:7" x14ac:dyDescent="0.2">
      <c r="A741" s="5" t="s">
        <v>134</v>
      </c>
      <c r="B741" s="6" t="s">
        <v>27</v>
      </c>
      <c r="C741" s="6" t="s">
        <v>45</v>
      </c>
      <c r="D741" s="72" t="str">
        <f t="shared" si="14"/>
        <v>007_S_c</v>
      </c>
      <c r="E741" s="72">
        <v>108</v>
      </c>
      <c r="F741" s="72" t="s">
        <v>49</v>
      </c>
      <c r="G741" s="72" t="s">
        <v>144</v>
      </c>
    </row>
    <row r="742" spans="1:7" x14ac:dyDescent="0.2">
      <c r="A742" s="5" t="s">
        <v>134</v>
      </c>
      <c r="B742" s="6" t="s">
        <v>33</v>
      </c>
      <c r="C742" s="6" t="s">
        <v>45</v>
      </c>
      <c r="D742" s="72" t="str">
        <f t="shared" si="14"/>
        <v>007_V_c</v>
      </c>
      <c r="E742" s="72">
        <v>83</v>
      </c>
      <c r="F742" s="72" t="s">
        <v>29</v>
      </c>
      <c r="G742" s="72" t="s">
        <v>142</v>
      </c>
    </row>
    <row r="743" spans="1:7" x14ac:dyDescent="0.2">
      <c r="A743" s="5" t="s">
        <v>150</v>
      </c>
      <c r="B743" s="6" t="s">
        <v>36</v>
      </c>
      <c r="C743" s="6" t="s">
        <v>45</v>
      </c>
      <c r="D743" s="72" t="str">
        <f t="shared" si="14"/>
        <v>008_O_c</v>
      </c>
      <c r="E743" s="72">
        <v>89</v>
      </c>
      <c r="F743" s="72" t="s">
        <v>29</v>
      </c>
      <c r="G743" s="72" t="s">
        <v>159</v>
      </c>
    </row>
    <row r="744" spans="1:7" x14ac:dyDescent="0.2">
      <c r="A744" s="5" t="s">
        <v>150</v>
      </c>
      <c r="B744" s="6" t="s">
        <v>27</v>
      </c>
      <c r="C744" s="6" t="s">
        <v>45</v>
      </c>
      <c r="D744" s="72" t="str">
        <f t="shared" si="14"/>
        <v>008_S_c</v>
      </c>
      <c r="E744" s="72">
        <v>79</v>
      </c>
      <c r="F744" s="72" t="s">
        <v>68</v>
      </c>
      <c r="G744" s="72" t="s">
        <v>157</v>
      </c>
    </row>
    <row r="745" spans="1:7" x14ac:dyDescent="0.2">
      <c r="A745" s="5" t="s">
        <v>150</v>
      </c>
      <c r="B745" s="6" t="s">
        <v>33</v>
      </c>
      <c r="C745" s="6" t="s">
        <v>45</v>
      </c>
      <c r="D745" s="72" t="str">
        <f t="shared" si="14"/>
        <v>008_V_c</v>
      </c>
      <c r="E745" s="72">
        <v>82</v>
      </c>
      <c r="F745" s="72" t="s">
        <v>34</v>
      </c>
      <c r="G745" s="72" t="s">
        <v>158</v>
      </c>
    </row>
    <row r="746" spans="1:7" x14ac:dyDescent="0.2">
      <c r="A746" s="5" t="s">
        <v>164</v>
      </c>
      <c r="B746" s="6" t="s">
        <v>36</v>
      </c>
      <c r="C746" s="6" t="s">
        <v>45</v>
      </c>
      <c r="D746" s="72" t="str">
        <f t="shared" si="14"/>
        <v>009_O_c</v>
      </c>
      <c r="E746" s="72">
        <v>84</v>
      </c>
      <c r="F746" s="72" t="s">
        <v>39</v>
      </c>
      <c r="G746" s="72" t="s">
        <v>173</v>
      </c>
    </row>
    <row r="747" spans="1:7" x14ac:dyDescent="0.2">
      <c r="A747" s="5" t="s">
        <v>164</v>
      </c>
      <c r="B747" s="6" t="s">
        <v>27</v>
      </c>
      <c r="C747" s="6" t="s">
        <v>45</v>
      </c>
      <c r="D747" s="72" t="str">
        <f t="shared" si="14"/>
        <v>009_S_c</v>
      </c>
      <c r="E747" s="72">
        <v>83</v>
      </c>
      <c r="F747" s="72" t="s">
        <v>41</v>
      </c>
      <c r="G747" s="72" t="s">
        <v>172</v>
      </c>
    </row>
    <row r="748" spans="1:7" x14ac:dyDescent="0.2">
      <c r="A748" s="5" t="s">
        <v>164</v>
      </c>
      <c r="B748" s="6" t="s">
        <v>33</v>
      </c>
      <c r="C748" s="6" t="s">
        <v>45</v>
      </c>
      <c r="D748" s="72" t="str">
        <f t="shared" si="14"/>
        <v>009_V_c</v>
      </c>
      <c r="E748" s="72">
        <v>86</v>
      </c>
      <c r="F748" s="72" t="s">
        <v>29</v>
      </c>
      <c r="G748" s="72" t="s">
        <v>174</v>
      </c>
    </row>
    <row r="749" spans="1:7" x14ac:dyDescent="0.2">
      <c r="A749" s="5" t="s">
        <v>178</v>
      </c>
      <c r="B749" s="6" t="s">
        <v>36</v>
      </c>
      <c r="C749" s="6" t="s">
        <v>45</v>
      </c>
      <c r="D749" s="72" t="str">
        <f t="shared" si="14"/>
        <v>010_O_c</v>
      </c>
      <c r="E749" s="72">
        <v>101</v>
      </c>
      <c r="F749" s="72" t="s">
        <v>82</v>
      </c>
      <c r="G749" s="72" t="s">
        <v>186</v>
      </c>
    </row>
    <row r="750" spans="1:7" x14ac:dyDescent="0.2">
      <c r="A750" s="5" t="s">
        <v>178</v>
      </c>
      <c r="B750" s="6" t="s">
        <v>27</v>
      </c>
      <c r="C750" s="6" t="s">
        <v>45</v>
      </c>
      <c r="D750" s="72" t="str">
        <f t="shared" si="14"/>
        <v>010_S_c</v>
      </c>
      <c r="E750" s="72">
        <v>91</v>
      </c>
      <c r="F750" s="72" t="s">
        <v>34</v>
      </c>
      <c r="G750" s="72" t="s">
        <v>185</v>
      </c>
    </row>
    <row r="751" spans="1:7" x14ac:dyDescent="0.2">
      <c r="A751" s="5" t="s">
        <v>178</v>
      </c>
      <c r="B751" s="6" t="s">
        <v>33</v>
      </c>
      <c r="C751" s="6" t="s">
        <v>45</v>
      </c>
      <c r="D751" s="72" t="str">
        <f t="shared" si="14"/>
        <v>010_V_c</v>
      </c>
      <c r="E751" s="72">
        <v>104</v>
      </c>
      <c r="F751" s="72" t="s">
        <v>49</v>
      </c>
      <c r="G751" s="72" t="s">
        <v>187</v>
      </c>
    </row>
    <row r="752" spans="1:7" x14ac:dyDescent="0.2">
      <c r="A752" s="5" t="s">
        <v>191</v>
      </c>
      <c r="B752" s="6" t="s">
        <v>36</v>
      </c>
      <c r="C752" s="6" t="s">
        <v>45</v>
      </c>
      <c r="D752" s="72" t="str">
        <f t="shared" si="14"/>
        <v>011_O_c</v>
      </c>
      <c r="E752" s="72">
        <v>87</v>
      </c>
      <c r="F752" s="72" t="s">
        <v>39</v>
      </c>
      <c r="G752" s="72" t="s">
        <v>200</v>
      </c>
    </row>
    <row r="753" spans="1:7" x14ac:dyDescent="0.2">
      <c r="A753" s="5" t="s">
        <v>191</v>
      </c>
      <c r="B753" s="6" t="s">
        <v>27</v>
      </c>
      <c r="C753" s="6" t="s">
        <v>45</v>
      </c>
      <c r="D753" s="72" t="str">
        <f t="shared" si="14"/>
        <v>011_S_c</v>
      </c>
      <c r="E753" s="72">
        <v>78</v>
      </c>
      <c r="F753" s="72" t="s">
        <v>63</v>
      </c>
      <c r="G753" s="72" t="s">
        <v>198</v>
      </c>
    </row>
    <row r="754" spans="1:7" x14ac:dyDescent="0.2">
      <c r="A754" s="5" t="s">
        <v>191</v>
      </c>
      <c r="B754" s="6" t="s">
        <v>33</v>
      </c>
      <c r="C754" s="6" t="s">
        <v>45</v>
      </c>
      <c r="D754" s="72" t="str">
        <f t="shared" si="14"/>
        <v>011_V_c</v>
      </c>
      <c r="E754" s="72">
        <v>84</v>
      </c>
      <c r="F754" s="72" t="s">
        <v>63</v>
      </c>
      <c r="G754" s="72" t="s">
        <v>199</v>
      </c>
    </row>
    <row r="755" spans="1:7" x14ac:dyDescent="0.2">
      <c r="A755" s="5" t="s">
        <v>204</v>
      </c>
      <c r="B755" s="6" t="s">
        <v>36</v>
      </c>
      <c r="C755" s="6" t="s">
        <v>45</v>
      </c>
      <c r="D755" s="72" t="str">
        <f t="shared" si="14"/>
        <v>012_O_c</v>
      </c>
      <c r="E755" s="72">
        <v>102</v>
      </c>
      <c r="F755" s="72" t="s">
        <v>63</v>
      </c>
      <c r="G755" s="72" t="s">
        <v>214</v>
      </c>
    </row>
    <row r="756" spans="1:7" x14ac:dyDescent="0.2">
      <c r="A756" s="5" t="s">
        <v>204</v>
      </c>
      <c r="B756" s="6" t="s">
        <v>27</v>
      </c>
      <c r="C756" s="6" t="s">
        <v>45</v>
      </c>
      <c r="D756" s="72" t="str">
        <f t="shared" si="14"/>
        <v>012_S_c</v>
      </c>
      <c r="E756" s="72">
        <v>80</v>
      </c>
      <c r="F756" s="72" t="s">
        <v>63</v>
      </c>
      <c r="G756" s="72" t="s">
        <v>212</v>
      </c>
    </row>
    <row r="757" spans="1:7" x14ac:dyDescent="0.2">
      <c r="A757" s="5" t="s">
        <v>204</v>
      </c>
      <c r="B757" s="6" t="s">
        <v>33</v>
      </c>
      <c r="C757" s="6" t="s">
        <v>45</v>
      </c>
      <c r="D757" s="72" t="str">
        <f t="shared" si="14"/>
        <v>012_V_c</v>
      </c>
      <c r="E757" s="72">
        <v>89</v>
      </c>
      <c r="F757" s="72" t="s">
        <v>70</v>
      </c>
      <c r="G757" s="72" t="s">
        <v>213</v>
      </c>
    </row>
    <row r="758" spans="1:7" x14ac:dyDescent="0.2">
      <c r="A758" s="5" t="s">
        <v>219</v>
      </c>
      <c r="B758" s="6" t="s">
        <v>36</v>
      </c>
      <c r="C758" s="6" t="s">
        <v>45</v>
      </c>
      <c r="D758" s="72" t="str">
        <f t="shared" si="14"/>
        <v>013_O_c</v>
      </c>
      <c r="E758" s="72">
        <v>97</v>
      </c>
      <c r="F758" s="72" t="s">
        <v>82</v>
      </c>
      <c r="G758" s="72" t="s">
        <v>228</v>
      </c>
    </row>
    <row r="759" spans="1:7" x14ac:dyDescent="0.2">
      <c r="A759" s="5" t="s">
        <v>219</v>
      </c>
      <c r="B759" s="6" t="s">
        <v>27</v>
      </c>
      <c r="C759" s="6" t="s">
        <v>45</v>
      </c>
      <c r="D759" s="72" t="str">
        <f t="shared" si="14"/>
        <v>013_S_c</v>
      </c>
      <c r="E759" s="72">
        <v>85</v>
      </c>
      <c r="F759" s="72" t="s">
        <v>68</v>
      </c>
      <c r="G759" s="72" t="s">
        <v>226</v>
      </c>
    </row>
    <row r="760" spans="1:7" x14ac:dyDescent="0.2">
      <c r="A760" s="5" t="s">
        <v>219</v>
      </c>
      <c r="B760" s="6" t="s">
        <v>33</v>
      </c>
      <c r="C760" s="6" t="s">
        <v>45</v>
      </c>
      <c r="D760" s="72" t="str">
        <f t="shared" si="14"/>
        <v>013_V_c</v>
      </c>
      <c r="E760" s="72">
        <v>88</v>
      </c>
      <c r="F760" s="72" t="s">
        <v>63</v>
      </c>
      <c r="G760" s="72" t="s">
        <v>227</v>
      </c>
    </row>
    <row r="761" spans="1:7" x14ac:dyDescent="0.2">
      <c r="A761" s="5" t="s">
        <v>232</v>
      </c>
      <c r="B761" s="6" t="s">
        <v>36</v>
      </c>
      <c r="C761" s="6" t="s">
        <v>45</v>
      </c>
      <c r="D761" s="72" t="str">
        <f t="shared" si="14"/>
        <v>014_O_c</v>
      </c>
      <c r="E761" s="72">
        <v>108</v>
      </c>
      <c r="F761" s="72" t="s">
        <v>29</v>
      </c>
      <c r="G761" s="72" t="s">
        <v>241</v>
      </c>
    </row>
    <row r="762" spans="1:7" x14ac:dyDescent="0.2">
      <c r="A762" s="5" t="s">
        <v>232</v>
      </c>
      <c r="B762" s="6" t="s">
        <v>27</v>
      </c>
      <c r="C762" s="6" t="s">
        <v>45</v>
      </c>
      <c r="D762" s="72" t="str">
        <f t="shared" si="14"/>
        <v>014_S_c</v>
      </c>
      <c r="E762" s="72">
        <v>106</v>
      </c>
      <c r="F762" s="72" t="s">
        <v>29</v>
      </c>
      <c r="G762" s="72" t="s">
        <v>240</v>
      </c>
    </row>
    <row r="763" spans="1:7" x14ac:dyDescent="0.2">
      <c r="A763" s="5" t="s">
        <v>232</v>
      </c>
      <c r="B763" s="6" t="s">
        <v>33</v>
      </c>
      <c r="C763" s="6" t="s">
        <v>45</v>
      </c>
      <c r="D763" s="72" t="str">
        <f t="shared" si="14"/>
        <v>014_V_c</v>
      </c>
      <c r="E763" s="72">
        <v>103</v>
      </c>
      <c r="F763" s="72" t="s">
        <v>41</v>
      </c>
      <c r="G763" s="72" t="s">
        <v>239</v>
      </c>
    </row>
    <row r="764" spans="1:7" x14ac:dyDescent="0.2">
      <c r="A764" s="5" t="s">
        <v>245</v>
      </c>
      <c r="B764" s="6" t="s">
        <v>36</v>
      </c>
      <c r="C764" s="6" t="s">
        <v>45</v>
      </c>
      <c r="D764" s="72" t="str">
        <f t="shared" si="14"/>
        <v>015_O_c</v>
      </c>
      <c r="E764" s="72">
        <v>83</v>
      </c>
      <c r="F764" s="72" t="s">
        <v>63</v>
      </c>
      <c r="G764" s="72" t="s">
        <v>252</v>
      </c>
    </row>
    <row r="765" spans="1:7" x14ac:dyDescent="0.2">
      <c r="A765" s="5" t="s">
        <v>245</v>
      </c>
      <c r="B765" s="6" t="s">
        <v>27</v>
      </c>
      <c r="C765" s="6" t="s">
        <v>45</v>
      </c>
      <c r="D765" s="72" t="str">
        <f t="shared" si="14"/>
        <v>015_S_c</v>
      </c>
      <c r="E765" s="72">
        <v>94</v>
      </c>
      <c r="F765" s="72" t="s">
        <v>63</v>
      </c>
      <c r="G765" s="72" t="s">
        <v>253</v>
      </c>
    </row>
    <row r="766" spans="1:7" x14ac:dyDescent="0.2">
      <c r="A766" s="5" t="s">
        <v>245</v>
      </c>
      <c r="B766" s="6" t="s">
        <v>33</v>
      </c>
      <c r="C766" s="6" t="s">
        <v>45</v>
      </c>
      <c r="D766" s="72" t="str">
        <f t="shared" si="14"/>
        <v>015_V_c</v>
      </c>
      <c r="E766" s="72">
        <v>100</v>
      </c>
      <c r="F766" s="72" t="s">
        <v>34</v>
      </c>
      <c r="G766" s="72" t="s">
        <v>254</v>
      </c>
    </row>
    <row r="767" spans="1:7" x14ac:dyDescent="0.2">
      <c r="A767" s="5" t="s">
        <v>258</v>
      </c>
      <c r="B767" s="6" t="s">
        <v>36</v>
      </c>
      <c r="C767" s="6" t="s">
        <v>45</v>
      </c>
      <c r="D767" s="72" t="str">
        <f t="shared" si="14"/>
        <v>016_O_c</v>
      </c>
      <c r="E767" s="72">
        <v>89</v>
      </c>
      <c r="F767" s="72" t="s">
        <v>34</v>
      </c>
      <c r="G767" s="72" t="s">
        <v>267</v>
      </c>
    </row>
    <row r="768" spans="1:7" x14ac:dyDescent="0.2">
      <c r="A768" s="5" t="s">
        <v>258</v>
      </c>
      <c r="B768" s="6" t="s">
        <v>27</v>
      </c>
      <c r="C768" s="6" t="s">
        <v>45</v>
      </c>
      <c r="D768" s="72" t="str">
        <f t="shared" si="14"/>
        <v>016_S_c</v>
      </c>
      <c r="E768" s="72">
        <v>99</v>
      </c>
      <c r="F768" s="72" t="s">
        <v>82</v>
      </c>
      <c r="G768" s="72" t="s">
        <v>268</v>
      </c>
    </row>
    <row r="769" spans="1:7" x14ac:dyDescent="0.2">
      <c r="A769" s="5" t="s">
        <v>258</v>
      </c>
      <c r="B769" s="6" t="s">
        <v>33</v>
      </c>
      <c r="C769" s="6" t="s">
        <v>45</v>
      </c>
      <c r="D769" s="72" t="str">
        <f t="shared" si="14"/>
        <v>016_V_c</v>
      </c>
      <c r="E769" s="72">
        <v>75</v>
      </c>
      <c r="F769" s="72" t="s">
        <v>49</v>
      </c>
      <c r="G769" s="72" t="s">
        <v>266</v>
      </c>
    </row>
    <row r="770" spans="1:7" x14ac:dyDescent="0.2">
      <c r="A770" s="5" t="s">
        <v>272</v>
      </c>
      <c r="B770" s="6" t="s">
        <v>36</v>
      </c>
      <c r="C770" s="6" t="s">
        <v>45</v>
      </c>
      <c r="D770" s="72" t="str">
        <f t="shared" ref="D770:D833" si="15">A770&amp;"_"&amp;B770&amp;"_"&amp;C770</f>
        <v>017_O_c</v>
      </c>
      <c r="E770" s="72">
        <v>105</v>
      </c>
      <c r="F770" s="72" t="s">
        <v>68</v>
      </c>
      <c r="G770" s="72" t="s">
        <v>281</v>
      </c>
    </row>
    <row r="771" spans="1:7" x14ac:dyDescent="0.2">
      <c r="A771" s="5" t="s">
        <v>272</v>
      </c>
      <c r="B771" s="6" t="s">
        <v>27</v>
      </c>
      <c r="C771" s="6" t="s">
        <v>45</v>
      </c>
      <c r="D771" s="72" t="str">
        <f t="shared" si="15"/>
        <v>017_S_c</v>
      </c>
      <c r="E771" s="72">
        <v>107</v>
      </c>
      <c r="F771" s="72" t="s">
        <v>41</v>
      </c>
      <c r="G771" s="72" t="s">
        <v>283</v>
      </c>
    </row>
    <row r="772" spans="1:7" x14ac:dyDescent="0.2">
      <c r="A772" s="5" t="s">
        <v>272</v>
      </c>
      <c r="B772" s="6" t="s">
        <v>33</v>
      </c>
      <c r="C772" s="6" t="s">
        <v>45</v>
      </c>
      <c r="D772" s="72" t="str">
        <f t="shared" si="15"/>
        <v>017_V_c</v>
      </c>
      <c r="E772" s="72">
        <v>99</v>
      </c>
      <c r="F772" s="72" t="s">
        <v>63</v>
      </c>
      <c r="G772" s="72" t="s">
        <v>280</v>
      </c>
    </row>
    <row r="773" spans="1:7" x14ac:dyDescent="0.2">
      <c r="A773" s="5" t="s">
        <v>287</v>
      </c>
      <c r="B773" s="6" t="s">
        <v>36</v>
      </c>
      <c r="C773" s="6" t="s">
        <v>45</v>
      </c>
      <c r="D773" s="72" t="str">
        <f t="shared" si="15"/>
        <v>018_O_c</v>
      </c>
      <c r="E773" s="72">
        <v>79</v>
      </c>
      <c r="F773" s="72" t="s">
        <v>70</v>
      </c>
      <c r="G773" s="72" t="s">
        <v>295</v>
      </c>
    </row>
    <row r="774" spans="1:7" x14ac:dyDescent="0.2">
      <c r="A774" s="5" t="s">
        <v>287</v>
      </c>
      <c r="B774" s="6" t="s">
        <v>27</v>
      </c>
      <c r="C774" s="6" t="s">
        <v>45</v>
      </c>
      <c r="D774" s="72" t="str">
        <f t="shared" si="15"/>
        <v>018_S_c</v>
      </c>
      <c r="E774" s="72">
        <v>90</v>
      </c>
      <c r="F774" s="72" t="s">
        <v>68</v>
      </c>
      <c r="G774" s="72" t="s">
        <v>296</v>
      </c>
    </row>
    <row r="775" spans="1:7" x14ac:dyDescent="0.2">
      <c r="A775" s="5" t="s">
        <v>287</v>
      </c>
      <c r="B775" s="6" t="s">
        <v>33</v>
      </c>
      <c r="C775" s="6" t="s">
        <v>45</v>
      </c>
      <c r="D775" s="72" t="str">
        <f t="shared" si="15"/>
        <v>018_V_c</v>
      </c>
      <c r="E775" s="72">
        <v>77</v>
      </c>
      <c r="F775" s="72" t="s">
        <v>49</v>
      </c>
      <c r="G775" s="72" t="s">
        <v>294</v>
      </c>
    </row>
    <row r="776" spans="1:7" x14ac:dyDescent="0.2">
      <c r="A776" s="5" t="s">
        <v>300</v>
      </c>
      <c r="B776" s="6" t="s">
        <v>36</v>
      </c>
      <c r="C776" s="6" t="s">
        <v>45</v>
      </c>
      <c r="D776" s="72" t="str">
        <f t="shared" si="15"/>
        <v>019_O_c</v>
      </c>
      <c r="E776" s="72">
        <v>104</v>
      </c>
      <c r="F776" s="72" t="s">
        <v>39</v>
      </c>
      <c r="G776" s="72" t="s">
        <v>309</v>
      </c>
    </row>
    <row r="777" spans="1:7" x14ac:dyDescent="0.2">
      <c r="A777" s="5" t="s">
        <v>300</v>
      </c>
      <c r="B777" s="6" t="s">
        <v>27</v>
      </c>
      <c r="C777" s="6" t="s">
        <v>45</v>
      </c>
      <c r="D777" s="72" t="str">
        <f t="shared" si="15"/>
        <v>019_S_c</v>
      </c>
      <c r="E777" s="72">
        <v>94</v>
      </c>
      <c r="F777" s="72" t="s">
        <v>41</v>
      </c>
      <c r="G777" s="72" t="s">
        <v>308</v>
      </c>
    </row>
    <row r="778" spans="1:7" x14ac:dyDescent="0.2">
      <c r="A778" s="5" t="s">
        <v>300</v>
      </c>
      <c r="B778" s="6" t="s">
        <v>33</v>
      </c>
      <c r="C778" s="6" t="s">
        <v>45</v>
      </c>
      <c r="D778" s="72" t="str">
        <f t="shared" si="15"/>
        <v>019_V_c</v>
      </c>
      <c r="E778" s="72">
        <v>76</v>
      </c>
      <c r="F778" s="72" t="s">
        <v>29</v>
      </c>
      <c r="G778" s="72" t="s">
        <v>307</v>
      </c>
    </row>
    <row r="779" spans="1:7" x14ac:dyDescent="0.2">
      <c r="A779" s="5" t="s">
        <v>313</v>
      </c>
      <c r="B779" s="6" t="s">
        <v>36</v>
      </c>
      <c r="C779" s="6" t="s">
        <v>45</v>
      </c>
      <c r="D779" s="72" t="str">
        <f t="shared" si="15"/>
        <v>020_O_c</v>
      </c>
      <c r="E779" s="72">
        <v>94</v>
      </c>
      <c r="F779" s="72" t="s">
        <v>70</v>
      </c>
      <c r="G779" s="72" t="s">
        <v>322</v>
      </c>
    </row>
    <row r="780" spans="1:7" x14ac:dyDescent="0.2">
      <c r="A780" s="5" t="s">
        <v>313</v>
      </c>
      <c r="B780" s="6" t="s">
        <v>27</v>
      </c>
      <c r="C780" s="6" t="s">
        <v>45</v>
      </c>
      <c r="D780" s="72" t="str">
        <f t="shared" si="15"/>
        <v>020_S_c</v>
      </c>
      <c r="E780" s="72">
        <v>84</v>
      </c>
      <c r="F780" s="72" t="s">
        <v>49</v>
      </c>
      <c r="G780" s="72" t="s">
        <v>321</v>
      </c>
    </row>
    <row r="781" spans="1:7" x14ac:dyDescent="0.2">
      <c r="A781" s="5" t="s">
        <v>313</v>
      </c>
      <c r="B781" s="6" t="s">
        <v>33</v>
      </c>
      <c r="C781" s="6" t="s">
        <v>45</v>
      </c>
      <c r="D781" s="72" t="str">
        <f t="shared" si="15"/>
        <v>020_V_c</v>
      </c>
      <c r="E781" s="72">
        <v>75</v>
      </c>
      <c r="F781" s="72" t="s">
        <v>68</v>
      </c>
      <c r="G781" s="72" t="s">
        <v>320</v>
      </c>
    </row>
    <row r="782" spans="1:7" x14ac:dyDescent="0.2">
      <c r="A782" s="5" t="s">
        <v>326</v>
      </c>
      <c r="B782" s="6" t="s">
        <v>36</v>
      </c>
      <c r="C782" s="6" t="s">
        <v>45</v>
      </c>
      <c r="D782" s="72" t="str">
        <f t="shared" si="15"/>
        <v>021_O_c</v>
      </c>
      <c r="E782" s="72">
        <v>99</v>
      </c>
      <c r="F782" s="72" t="s">
        <v>41</v>
      </c>
      <c r="G782" s="72" t="s">
        <v>335</v>
      </c>
    </row>
    <row r="783" spans="1:7" x14ac:dyDescent="0.2">
      <c r="A783" s="5" t="s">
        <v>326</v>
      </c>
      <c r="B783" s="6" t="s">
        <v>27</v>
      </c>
      <c r="C783" s="6" t="s">
        <v>45</v>
      </c>
      <c r="D783" s="72" t="str">
        <f t="shared" si="15"/>
        <v>021_S_c</v>
      </c>
      <c r="E783" s="72">
        <v>73</v>
      </c>
      <c r="F783" s="72" t="s">
        <v>41</v>
      </c>
      <c r="G783" s="72" t="s">
        <v>333</v>
      </c>
    </row>
    <row r="784" spans="1:7" x14ac:dyDescent="0.2">
      <c r="A784" s="5" t="s">
        <v>326</v>
      </c>
      <c r="B784" s="6" t="s">
        <v>33</v>
      </c>
      <c r="C784" s="6" t="s">
        <v>45</v>
      </c>
      <c r="D784" s="72" t="str">
        <f t="shared" si="15"/>
        <v>021_V_c</v>
      </c>
      <c r="E784" s="72">
        <v>90</v>
      </c>
      <c r="F784" s="72" t="s">
        <v>63</v>
      </c>
      <c r="G784" s="72" t="s">
        <v>334</v>
      </c>
    </row>
    <row r="785" spans="1:7" x14ac:dyDescent="0.2">
      <c r="A785" s="5" t="s">
        <v>339</v>
      </c>
      <c r="B785" s="6" t="s">
        <v>36</v>
      </c>
      <c r="C785" s="6" t="s">
        <v>45</v>
      </c>
      <c r="D785" s="72" t="str">
        <f t="shared" si="15"/>
        <v>022_O_c</v>
      </c>
      <c r="E785" s="72">
        <v>76</v>
      </c>
      <c r="F785" s="72" t="s">
        <v>41</v>
      </c>
      <c r="G785" s="72" t="s">
        <v>346</v>
      </c>
    </row>
    <row r="786" spans="1:7" x14ac:dyDescent="0.2">
      <c r="A786" s="5" t="s">
        <v>339</v>
      </c>
      <c r="B786" s="6" t="s">
        <v>27</v>
      </c>
      <c r="C786" s="6" t="s">
        <v>45</v>
      </c>
      <c r="D786" s="72" t="str">
        <f t="shared" si="15"/>
        <v>022_S_c</v>
      </c>
      <c r="E786" s="72">
        <v>92</v>
      </c>
      <c r="F786" s="72" t="s">
        <v>63</v>
      </c>
      <c r="G786" s="72" t="s">
        <v>348</v>
      </c>
    </row>
    <row r="787" spans="1:7" x14ac:dyDescent="0.2">
      <c r="A787" s="5" t="s">
        <v>339</v>
      </c>
      <c r="B787" s="6" t="s">
        <v>33</v>
      </c>
      <c r="C787" s="6" t="s">
        <v>45</v>
      </c>
      <c r="D787" s="72" t="str">
        <f t="shared" si="15"/>
        <v>022_V_c</v>
      </c>
      <c r="E787" s="72">
        <v>81</v>
      </c>
      <c r="F787" s="72" t="s">
        <v>68</v>
      </c>
      <c r="G787" s="72" t="s">
        <v>347</v>
      </c>
    </row>
    <row r="788" spans="1:7" x14ac:dyDescent="0.2">
      <c r="A788" s="5" t="s">
        <v>352</v>
      </c>
      <c r="B788" s="6" t="s">
        <v>36</v>
      </c>
      <c r="C788" s="6" t="s">
        <v>45</v>
      </c>
      <c r="D788" s="72" t="str">
        <f t="shared" si="15"/>
        <v>023_O_c</v>
      </c>
      <c r="E788" s="72">
        <v>78</v>
      </c>
      <c r="F788" s="72" t="s">
        <v>82</v>
      </c>
      <c r="G788" s="72" t="s">
        <v>361</v>
      </c>
    </row>
    <row r="789" spans="1:7" x14ac:dyDescent="0.2">
      <c r="A789" s="5" t="s">
        <v>352</v>
      </c>
      <c r="B789" s="6" t="s">
        <v>27</v>
      </c>
      <c r="C789" s="6" t="s">
        <v>45</v>
      </c>
      <c r="D789" s="72" t="str">
        <f t="shared" si="15"/>
        <v>023_S_c</v>
      </c>
      <c r="E789" s="72">
        <v>77</v>
      </c>
      <c r="F789" s="72" t="s">
        <v>41</v>
      </c>
      <c r="G789" s="72" t="s">
        <v>360</v>
      </c>
    </row>
    <row r="790" spans="1:7" x14ac:dyDescent="0.2">
      <c r="A790" s="5" t="s">
        <v>352</v>
      </c>
      <c r="B790" s="6" t="s">
        <v>33</v>
      </c>
      <c r="C790" s="6" t="s">
        <v>45</v>
      </c>
      <c r="D790" s="72" t="str">
        <f t="shared" si="15"/>
        <v>023_V_c</v>
      </c>
      <c r="E790" s="72">
        <v>75</v>
      </c>
      <c r="F790" s="72" t="s">
        <v>63</v>
      </c>
      <c r="G790" s="72" t="s">
        <v>359</v>
      </c>
    </row>
    <row r="791" spans="1:7" x14ac:dyDescent="0.2">
      <c r="A791" s="5" t="s">
        <v>365</v>
      </c>
      <c r="B791" s="6" t="s">
        <v>36</v>
      </c>
      <c r="C791" s="6" t="s">
        <v>45</v>
      </c>
      <c r="D791" s="72" t="str">
        <f t="shared" si="15"/>
        <v>024_O_c</v>
      </c>
      <c r="E791" s="72">
        <v>96</v>
      </c>
      <c r="F791" s="72" t="s">
        <v>70</v>
      </c>
      <c r="G791" s="72" t="s">
        <v>374</v>
      </c>
    </row>
    <row r="792" spans="1:7" x14ac:dyDescent="0.2">
      <c r="A792" s="5" t="s">
        <v>365</v>
      </c>
      <c r="B792" s="6" t="s">
        <v>27</v>
      </c>
      <c r="C792" s="6" t="s">
        <v>45</v>
      </c>
      <c r="D792" s="72" t="str">
        <f t="shared" si="15"/>
        <v>024_S_c</v>
      </c>
      <c r="E792" s="72">
        <v>81</v>
      </c>
      <c r="F792" s="72" t="s">
        <v>34</v>
      </c>
      <c r="G792" s="72" t="s">
        <v>373</v>
      </c>
    </row>
    <row r="793" spans="1:7" x14ac:dyDescent="0.2">
      <c r="A793" s="5" t="s">
        <v>365</v>
      </c>
      <c r="B793" s="6" t="s">
        <v>33</v>
      </c>
      <c r="C793" s="6" t="s">
        <v>45</v>
      </c>
      <c r="D793" s="72" t="str">
        <f t="shared" si="15"/>
        <v>024_V_c</v>
      </c>
      <c r="E793" s="72">
        <v>75</v>
      </c>
      <c r="F793" s="72" t="s">
        <v>34</v>
      </c>
      <c r="G793" s="72" t="s">
        <v>372</v>
      </c>
    </row>
    <row r="794" spans="1:7" x14ac:dyDescent="0.2">
      <c r="A794" s="5" t="s">
        <v>378</v>
      </c>
      <c r="B794" s="6" t="s">
        <v>36</v>
      </c>
      <c r="C794" s="6" t="s">
        <v>45</v>
      </c>
      <c r="D794" s="72" t="str">
        <f t="shared" si="15"/>
        <v>025_O_c</v>
      </c>
      <c r="E794" s="72">
        <v>106</v>
      </c>
      <c r="F794" s="72" t="s">
        <v>49</v>
      </c>
      <c r="G794" s="72" t="s">
        <v>387</v>
      </c>
    </row>
    <row r="795" spans="1:7" x14ac:dyDescent="0.2">
      <c r="A795" s="5" t="s">
        <v>378</v>
      </c>
      <c r="B795" s="6" t="s">
        <v>27</v>
      </c>
      <c r="C795" s="6" t="s">
        <v>45</v>
      </c>
      <c r="D795" s="72" t="str">
        <f t="shared" si="15"/>
        <v>025_S_c</v>
      </c>
      <c r="E795" s="72">
        <v>103</v>
      </c>
      <c r="F795" s="72" t="s">
        <v>49</v>
      </c>
      <c r="G795" s="72" t="s">
        <v>386</v>
      </c>
    </row>
    <row r="796" spans="1:7" x14ac:dyDescent="0.2">
      <c r="A796" s="5" t="s">
        <v>378</v>
      </c>
      <c r="B796" s="6" t="s">
        <v>33</v>
      </c>
      <c r="C796" s="6" t="s">
        <v>45</v>
      </c>
      <c r="D796" s="72" t="str">
        <f t="shared" si="15"/>
        <v>025_V_c</v>
      </c>
      <c r="E796" s="72">
        <v>98</v>
      </c>
      <c r="F796" s="72" t="s">
        <v>39</v>
      </c>
      <c r="G796" s="72" t="s">
        <v>385</v>
      </c>
    </row>
    <row r="797" spans="1:7" x14ac:dyDescent="0.2">
      <c r="A797" s="5" t="s">
        <v>391</v>
      </c>
      <c r="B797" s="6" t="s">
        <v>36</v>
      </c>
      <c r="C797" s="6" t="s">
        <v>45</v>
      </c>
      <c r="D797" s="72" t="str">
        <f t="shared" si="15"/>
        <v>026_O_c</v>
      </c>
      <c r="E797" s="72">
        <v>102</v>
      </c>
      <c r="F797" s="72" t="s">
        <v>39</v>
      </c>
      <c r="G797" s="72" t="s">
        <v>399</v>
      </c>
    </row>
    <row r="798" spans="1:7" x14ac:dyDescent="0.2">
      <c r="A798" s="5" t="s">
        <v>391</v>
      </c>
      <c r="B798" s="6" t="s">
        <v>27</v>
      </c>
      <c r="C798" s="6" t="s">
        <v>45</v>
      </c>
      <c r="D798" s="72" t="str">
        <f t="shared" si="15"/>
        <v>026_S_c</v>
      </c>
      <c r="E798" s="72">
        <v>77</v>
      </c>
      <c r="F798" s="72" t="s">
        <v>43</v>
      </c>
      <c r="G798" s="72" t="s">
        <v>398</v>
      </c>
    </row>
    <row r="799" spans="1:7" x14ac:dyDescent="0.2">
      <c r="A799" s="5" t="s">
        <v>391</v>
      </c>
      <c r="B799" s="6" t="s">
        <v>33</v>
      </c>
      <c r="C799" s="6" t="s">
        <v>45</v>
      </c>
      <c r="D799" s="72" t="str">
        <f t="shared" si="15"/>
        <v>026_V_c</v>
      </c>
      <c r="E799" s="72">
        <v>108</v>
      </c>
      <c r="F799" s="72" t="s">
        <v>43</v>
      </c>
      <c r="G799" s="72" t="s">
        <v>400</v>
      </c>
    </row>
    <row r="800" spans="1:7" x14ac:dyDescent="0.2">
      <c r="A800" s="5" t="s">
        <v>404</v>
      </c>
      <c r="B800" s="6" t="s">
        <v>36</v>
      </c>
      <c r="C800" s="6" t="s">
        <v>45</v>
      </c>
      <c r="D800" s="72" t="str">
        <f t="shared" si="15"/>
        <v>028_O_c</v>
      </c>
      <c r="E800" s="72">
        <v>102</v>
      </c>
      <c r="F800" s="72" t="s">
        <v>34</v>
      </c>
      <c r="G800" s="72" t="s">
        <v>413</v>
      </c>
    </row>
    <row r="801" spans="1:7" x14ac:dyDescent="0.2">
      <c r="A801" s="5" t="s">
        <v>404</v>
      </c>
      <c r="B801" s="6" t="s">
        <v>27</v>
      </c>
      <c r="C801" s="6" t="s">
        <v>45</v>
      </c>
      <c r="D801" s="72" t="str">
        <f t="shared" si="15"/>
        <v>028_S_c</v>
      </c>
      <c r="E801" s="72">
        <v>74</v>
      </c>
      <c r="F801" s="72" t="s">
        <v>70</v>
      </c>
      <c r="G801" s="72" t="s">
        <v>411</v>
      </c>
    </row>
    <row r="802" spans="1:7" x14ac:dyDescent="0.2">
      <c r="A802" s="5" t="s">
        <v>404</v>
      </c>
      <c r="B802" s="6" t="s">
        <v>33</v>
      </c>
      <c r="C802" s="6" t="s">
        <v>45</v>
      </c>
      <c r="D802" s="72" t="str">
        <f t="shared" si="15"/>
        <v>028_V_c</v>
      </c>
      <c r="E802" s="72">
        <v>85</v>
      </c>
      <c r="F802" s="72" t="s">
        <v>34</v>
      </c>
      <c r="G802" s="72" t="s">
        <v>412</v>
      </c>
    </row>
    <row r="803" spans="1:7" x14ac:dyDescent="0.2">
      <c r="A803" s="5" t="s">
        <v>417</v>
      </c>
      <c r="B803" s="6" t="s">
        <v>36</v>
      </c>
      <c r="C803" s="6" t="s">
        <v>45</v>
      </c>
      <c r="D803" s="72" t="str">
        <f t="shared" si="15"/>
        <v>029_O_c</v>
      </c>
      <c r="E803" s="72">
        <v>97</v>
      </c>
      <c r="F803" s="72" t="s">
        <v>39</v>
      </c>
      <c r="G803" s="72" t="s">
        <v>424</v>
      </c>
    </row>
    <row r="804" spans="1:7" x14ac:dyDescent="0.2">
      <c r="A804" s="5" t="s">
        <v>417</v>
      </c>
      <c r="B804" s="6" t="s">
        <v>27</v>
      </c>
      <c r="C804" s="6" t="s">
        <v>45</v>
      </c>
      <c r="D804" s="72" t="str">
        <f t="shared" si="15"/>
        <v>029_S_c</v>
      </c>
      <c r="E804" s="72">
        <v>100</v>
      </c>
      <c r="F804" s="72" t="s">
        <v>63</v>
      </c>
      <c r="G804" s="72" t="s">
        <v>425</v>
      </c>
    </row>
    <row r="805" spans="1:7" x14ac:dyDescent="0.2">
      <c r="A805" s="5" t="s">
        <v>417</v>
      </c>
      <c r="B805" s="6" t="s">
        <v>33</v>
      </c>
      <c r="C805" s="6" t="s">
        <v>45</v>
      </c>
      <c r="D805" s="72" t="str">
        <f t="shared" si="15"/>
        <v>029_V_c</v>
      </c>
      <c r="E805" s="72">
        <v>101</v>
      </c>
      <c r="F805" s="72" t="s">
        <v>29</v>
      </c>
      <c r="G805" s="72" t="s">
        <v>426</v>
      </c>
    </row>
    <row r="806" spans="1:7" x14ac:dyDescent="0.2">
      <c r="A806" s="5" t="s">
        <v>430</v>
      </c>
      <c r="B806" s="6" t="s">
        <v>36</v>
      </c>
      <c r="C806" s="6" t="s">
        <v>45</v>
      </c>
      <c r="D806" s="72" t="str">
        <f t="shared" si="15"/>
        <v>030_O_c</v>
      </c>
      <c r="E806" s="72">
        <v>90</v>
      </c>
      <c r="F806" s="72" t="s">
        <v>34</v>
      </c>
      <c r="G806" s="72" t="s">
        <v>438</v>
      </c>
    </row>
    <row r="807" spans="1:7" x14ac:dyDescent="0.2">
      <c r="A807" s="5" t="s">
        <v>430</v>
      </c>
      <c r="B807" s="6" t="s">
        <v>27</v>
      </c>
      <c r="C807" s="6" t="s">
        <v>45</v>
      </c>
      <c r="D807" s="72" t="str">
        <f t="shared" si="15"/>
        <v>030_S_c</v>
      </c>
      <c r="E807" s="72">
        <v>82</v>
      </c>
      <c r="F807" s="72" t="s">
        <v>29</v>
      </c>
      <c r="G807" s="72" t="s">
        <v>437</v>
      </c>
    </row>
    <row r="808" spans="1:7" x14ac:dyDescent="0.2">
      <c r="A808" s="5" t="s">
        <v>430</v>
      </c>
      <c r="B808" s="6" t="s">
        <v>33</v>
      </c>
      <c r="C808" s="6" t="s">
        <v>45</v>
      </c>
      <c r="D808" s="72" t="str">
        <f t="shared" si="15"/>
        <v>030_V_c</v>
      </c>
      <c r="E808" s="72">
        <v>106</v>
      </c>
      <c r="F808" s="72" t="s">
        <v>68</v>
      </c>
      <c r="G808" s="72" t="s">
        <v>439</v>
      </c>
    </row>
    <row r="809" spans="1:7" x14ac:dyDescent="0.2">
      <c r="A809" s="5" t="s">
        <v>443</v>
      </c>
      <c r="B809" s="6" t="s">
        <v>36</v>
      </c>
      <c r="C809" s="6" t="s">
        <v>45</v>
      </c>
      <c r="D809" s="72" t="str">
        <f t="shared" si="15"/>
        <v>031_O_c</v>
      </c>
      <c r="E809" s="72">
        <v>88</v>
      </c>
      <c r="F809" s="72" t="s">
        <v>68</v>
      </c>
      <c r="G809" s="72" t="s">
        <v>451</v>
      </c>
    </row>
    <row r="810" spans="1:7" x14ac:dyDescent="0.2">
      <c r="A810" s="5" t="s">
        <v>443</v>
      </c>
      <c r="B810" s="6" t="s">
        <v>27</v>
      </c>
      <c r="C810" s="6" t="s">
        <v>45</v>
      </c>
      <c r="D810" s="72" t="str">
        <f t="shared" si="15"/>
        <v>031_S_c</v>
      </c>
      <c r="E810" s="72">
        <v>97</v>
      </c>
      <c r="F810" s="72" t="s">
        <v>29</v>
      </c>
      <c r="G810" s="72" t="s">
        <v>452</v>
      </c>
    </row>
    <row r="811" spans="1:7" x14ac:dyDescent="0.2">
      <c r="A811" s="5" t="s">
        <v>443</v>
      </c>
      <c r="B811" s="6" t="s">
        <v>33</v>
      </c>
      <c r="C811" s="6" t="s">
        <v>45</v>
      </c>
      <c r="D811" s="72" t="str">
        <f t="shared" si="15"/>
        <v>031_V_c</v>
      </c>
      <c r="E811" s="72">
        <v>87</v>
      </c>
      <c r="F811" s="72" t="s">
        <v>70</v>
      </c>
      <c r="G811" s="72" t="s">
        <v>450</v>
      </c>
    </row>
    <row r="812" spans="1:7" x14ac:dyDescent="0.2">
      <c r="A812" s="5" t="s">
        <v>456</v>
      </c>
      <c r="B812" s="6" t="s">
        <v>36</v>
      </c>
      <c r="C812" s="6" t="s">
        <v>45</v>
      </c>
      <c r="D812" s="72" t="str">
        <f t="shared" si="15"/>
        <v>032_O_c</v>
      </c>
      <c r="E812" s="72">
        <v>86</v>
      </c>
      <c r="F812" s="72" t="s">
        <v>34</v>
      </c>
      <c r="G812" s="72" t="s">
        <v>463</v>
      </c>
    </row>
    <row r="813" spans="1:7" x14ac:dyDescent="0.2">
      <c r="A813" s="5" t="s">
        <v>456</v>
      </c>
      <c r="B813" s="6" t="s">
        <v>27</v>
      </c>
      <c r="C813" s="6" t="s">
        <v>45</v>
      </c>
      <c r="D813" s="72" t="str">
        <f t="shared" si="15"/>
        <v>032_S_c</v>
      </c>
      <c r="E813" s="72">
        <v>87</v>
      </c>
      <c r="F813" s="72" t="s">
        <v>68</v>
      </c>
      <c r="G813" s="72" t="s">
        <v>464</v>
      </c>
    </row>
    <row r="814" spans="1:7" x14ac:dyDescent="0.2">
      <c r="A814" s="5" t="s">
        <v>456</v>
      </c>
      <c r="B814" s="6" t="s">
        <v>33</v>
      </c>
      <c r="C814" s="6" t="s">
        <v>45</v>
      </c>
      <c r="D814" s="72" t="str">
        <f t="shared" si="15"/>
        <v>032_V_c</v>
      </c>
      <c r="E814" s="72">
        <v>91</v>
      </c>
      <c r="F814" s="72" t="s">
        <v>41</v>
      </c>
      <c r="G814" s="72" t="s">
        <v>465</v>
      </c>
    </row>
    <row r="815" spans="1:7" x14ac:dyDescent="0.2">
      <c r="A815" s="5" t="s">
        <v>469</v>
      </c>
      <c r="B815" s="6" t="s">
        <v>36</v>
      </c>
      <c r="C815" s="6" t="s">
        <v>45</v>
      </c>
      <c r="D815" s="72" t="str">
        <f t="shared" si="15"/>
        <v>033_O_c</v>
      </c>
      <c r="E815" s="72">
        <v>98</v>
      </c>
      <c r="F815" s="72" t="s">
        <v>43</v>
      </c>
      <c r="G815" s="72" t="s">
        <v>478</v>
      </c>
    </row>
    <row r="816" spans="1:7" x14ac:dyDescent="0.2">
      <c r="A816" s="5" t="s">
        <v>469</v>
      </c>
      <c r="B816" s="6" t="s">
        <v>27</v>
      </c>
      <c r="C816" s="6" t="s">
        <v>45</v>
      </c>
      <c r="D816" s="72" t="str">
        <f t="shared" si="15"/>
        <v>033_S_c</v>
      </c>
      <c r="E816" s="72">
        <v>82</v>
      </c>
      <c r="F816" s="72" t="s">
        <v>82</v>
      </c>
      <c r="G816" s="72" t="s">
        <v>477</v>
      </c>
    </row>
    <row r="817" spans="1:7" x14ac:dyDescent="0.2">
      <c r="A817" s="5" t="s">
        <v>469</v>
      </c>
      <c r="B817" s="6" t="s">
        <v>33</v>
      </c>
      <c r="C817" s="6" t="s">
        <v>45</v>
      </c>
      <c r="D817" s="72" t="str">
        <f t="shared" si="15"/>
        <v>033_V_c</v>
      </c>
      <c r="E817" s="72">
        <v>75</v>
      </c>
      <c r="F817" s="72" t="s">
        <v>70</v>
      </c>
      <c r="G817" s="72" t="s">
        <v>476</v>
      </c>
    </row>
    <row r="818" spans="1:7" x14ac:dyDescent="0.2">
      <c r="A818" s="5" t="s">
        <v>482</v>
      </c>
      <c r="B818" s="6" t="s">
        <v>36</v>
      </c>
      <c r="C818" s="6" t="s">
        <v>45</v>
      </c>
      <c r="D818" s="72" t="str">
        <f t="shared" si="15"/>
        <v>034_O_c</v>
      </c>
      <c r="E818" s="72">
        <v>100</v>
      </c>
      <c r="F818" s="72" t="s">
        <v>29</v>
      </c>
      <c r="G818" s="72" t="s">
        <v>490</v>
      </c>
    </row>
    <row r="819" spans="1:7" x14ac:dyDescent="0.2">
      <c r="A819" s="5" t="s">
        <v>482</v>
      </c>
      <c r="B819" s="6" t="s">
        <v>27</v>
      </c>
      <c r="C819" s="6" t="s">
        <v>45</v>
      </c>
      <c r="D819" s="72" t="str">
        <f t="shared" si="15"/>
        <v>034_S_c</v>
      </c>
      <c r="E819" s="72">
        <v>103</v>
      </c>
      <c r="F819" s="72" t="s">
        <v>68</v>
      </c>
      <c r="G819" s="72" t="s">
        <v>491</v>
      </c>
    </row>
    <row r="820" spans="1:7" x14ac:dyDescent="0.2">
      <c r="A820" s="5" t="s">
        <v>482</v>
      </c>
      <c r="B820" s="6" t="s">
        <v>33</v>
      </c>
      <c r="C820" s="6" t="s">
        <v>45</v>
      </c>
      <c r="D820" s="72" t="str">
        <f t="shared" si="15"/>
        <v>034_V_c</v>
      </c>
      <c r="E820" s="72">
        <v>98</v>
      </c>
      <c r="F820" s="72" t="s">
        <v>49</v>
      </c>
      <c r="G820" s="72" t="s">
        <v>489</v>
      </c>
    </row>
    <row r="821" spans="1:7" x14ac:dyDescent="0.2">
      <c r="A821" s="5" t="s">
        <v>495</v>
      </c>
      <c r="B821" s="6" t="s">
        <v>36</v>
      </c>
      <c r="C821" s="6" t="s">
        <v>45</v>
      </c>
      <c r="D821" s="72" t="str">
        <f t="shared" si="15"/>
        <v>035_O_c</v>
      </c>
      <c r="E821" s="72">
        <v>80</v>
      </c>
      <c r="F821" s="72" t="s">
        <v>70</v>
      </c>
      <c r="G821" s="72" t="s">
        <v>503</v>
      </c>
    </row>
    <row r="822" spans="1:7" x14ac:dyDescent="0.2">
      <c r="A822" s="5" t="s">
        <v>495</v>
      </c>
      <c r="B822" s="6" t="s">
        <v>27</v>
      </c>
      <c r="C822" s="6" t="s">
        <v>45</v>
      </c>
      <c r="D822" s="72" t="str">
        <f t="shared" si="15"/>
        <v>035_S_c</v>
      </c>
      <c r="E822" s="72">
        <v>89</v>
      </c>
      <c r="F822" s="72" t="s">
        <v>82</v>
      </c>
      <c r="G822" s="72" t="s">
        <v>504</v>
      </c>
    </row>
    <row r="823" spans="1:7" x14ac:dyDescent="0.2">
      <c r="A823" s="5" t="s">
        <v>495</v>
      </c>
      <c r="B823" s="6" t="s">
        <v>33</v>
      </c>
      <c r="C823" s="6" t="s">
        <v>45</v>
      </c>
      <c r="D823" s="72" t="str">
        <f t="shared" si="15"/>
        <v>035_V_c</v>
      </c>
      <c r="E823" s="72">
        <v>78</v>
      </c>
      <c r="F823" s="72" t="s">
        <v>34</v>
      </c>
      <c r="G823" s="72" t="s">
        <v>502</v>
      </c>
    </row>
    <row r="824" spans="1:7" x14ac:dyDescent="0.2">
      <c r="A824" s="5" t="s">
        <v>508</v>
      </c>
      <c r="B824" s="6" t="s">
        <v>36</v>
      </c>
      <c r="C824" s="6" t="s">
        <v>45</v>
      </c>
      <c r="D824" s="72" t="str">
        <f t="shared" si="15"/>
        <v>037_O_c</v>
      </c>
      <c r="E824" s="72">
        <v>98</v>
      </c>
      <c r="F824" s="72" t="s">
        <v>34</v>
      </c>
      <c r="G824" s="72" t="s">
        <v>519</v>
      </c>
    </row>
    <row r="825" spans="1:7" x14ac:dyDescent="0.2">
      <c r="A825" s="5" t="s">
        <v>508</v>
      </c>
      <c r="B825" s="6" t="s">
        <v>27</v>
      </c>
      <c r="C825" s="6" t="s">
        <v>45</v>
      </c>
      <c r="D825" s="72" t="str">
        <f t="shared" si="15"/>
        <v>037_S_c</v>
      </c>
      <c r="E825" s="72">
        <v>84</v>
      </c>
      <c r="F825" s="72" t="s">
        <v>68</v>
      </c>
      <c r="G825" s="72" t="s">
        <v>516</v>
      </c>
    </row>
    <row r="826" spans="1:7" x14ac:dyDescent="0.2">
      <c r="A826" s="5" t="s">
        <v>508</v>
      </c>
      <c r="B826" s="6" t="s">
        <v>33</v>
      </c>
      <c r="C826" s="6" t="s">
        <v>45</v>
      </c>
      <c r="D826" s="72" t="str">
        <f t="shared" si="15"/>
        <v>037_V_c</v>
      </c>
      <c r="E826" s="72">
        <v>96</v>
      </c>
      <c r="F826" s="72" t="s">
        <v>43</v>
      </c>
      <c r="G826" s="72" t="s">
        <v>518</v>
      </c>
    </row>
    <row r="827" spans="1:7" x14ac:dyDescent="0.2">
      <c r="A827" s="5" t="s">
        <v>523</v>
      </c>
      <c r="B827" s="6" t="s">
        <v>36</v>
      </c>
      <c r="C827" s="6" t="s">
        <v>45</v>
      </c>
      <c r="D827" s="72" t="str">
        <f t="shared" si="15"/>
        <v>038_O_c</v>
      </c>
      <c r="E827" s="72">
        <v>98</v>
      </c>
      <c r="F827" s="72" t="s">
        <v>82</v>
      </c>
      <c r="G827" s="72" t="s">
        <v>531</v>
      </c>
    </row>
    <row r="828" spans="1:7" x14ac:dyDescent="0.2">
      <c r="A828" s="5" t="s">
        <v>523</v>
      </c>
      <c r="B828" s="6" t="s">
        <v>27</v>
      </c>
      <c r="C828" s="6" t="s">
        <v>45</v>
      </c>
      <c r="D828" s="72" t="str">
        <f t="shared" si="15"/>
        <v>038_S_c</v>
      </c>
      <c r="E828" s="72">
        <v>80</v>
      </c>
      <c r="F828" s="72" t="s">
        <v>41</v>
      </c>
      <c r="G828" s="72" t="s">
        <v>530</v>
      </c>
    </row>
    <row r="829" spans="1:7" x14ac:dyDescent="0.2">
      <c r="A829" s="5" t="s">
        <v>523</v>
      </c>
      <c r="B829" s="6" t="s">
        <v>33</v>
      </c>
      <c r="C829" s="6" t="s">
        <v>45</v>
      </c>
      <c r="D829" s="72" t="str">
        <f t="shared" si="15"/>
        <v>038_V_c</v>
      </c>
      <c r="E829" s="72">
        <v>108</v>
      </c>
      <c r="F829" s="72" t="s">
        <v>39</v>
      </c>
      <c r="G829" s="72" t="s">
        <v>532</v>
      </c>
    </row>
    <row r="830" spans="1:7" x14ac:dyDescent="0.2">
      <c r="A830" s="5" t="s">
        <v>536</v>
      </c>
      <c r="B830" s="6" t="s">
        <v>36</v>
      </c>
      <c r="C830" s="6" t="s">
        <v>45</v>
      </c>
      <c r="D830" s="72" t="str">
        <f t="shared" si="15"/>
        <v>039_O_c</v>
      </c>
      <c r="E830" s="72">
        <v>105</v>
      </c>
      <c r="F830" s="72" t="s">
        <v>41</v>
      </c>
      <c r="G830" s="72" t="s">
        <v>545</v>
      </c>
    </row>
    <row r="831" spans="1:7" x14ac:dyDescent="0.2">
      <c r="A831" s="5" t="s">
        <v>536</v>
      </c>
      <c r="B831" s="6" t="s">
        <v>27</v>
      </c>
      <c r="C831" s="6" t="s">
        <v>45</v>
      </c>
      <c r="D831" s="72" t="str">
        <f t="shared" si="15"/>
        <v>039_S_c</v>
      </c>
      <c r="E831" s="72">
        <v>81</v>
      </c>
      <c r="F831" s="72" t="s">
        <v>43</v>
      </c>
      <c r="G831" s="72" t="s">
        <v>543</v>
      </c>
    </row>
    <row r="832" spans="1:7" x14ac:dyDescent="0.2">
      <c r="A832" s="5" t="s">
        <v>536</v>
      </c>
      <c r="B832" s="6" t="s">
        <v>33</v>
      </c>
      <c r="C832" s="6" t="s">
        <v>45</v>
      </c>
      <c r="D832" s="72" t="str">
        <f t="shared" si="15"/>
        <v>039_V_c</v>
      </c>
      <c r="E832" s="72">
        <v>88</v>
      </c>
      <c r="F832" s="72" t="s">
        <v>43</v>
      </c>
      <c r="G832" s="72" t="s">
        <v>544</v>
      </c>
    </row>
    <row r="833" spans="1:7" x14ac:dyDescent="0.2">
      <c r="A833" s="5" t="s">
        <v>550</v>
      </c>
      <c r="B833" s="6" t="s">
        <v>36</v>
      </c>
      <c r="C833" s="6" t="s">
        <v>45</v>
      </c>
      <c r="D833" s="72" t="str">
        <f t="shared" si="15"/>
        <v>041_O_c</v>
      </c>
      <c r="E833" s="72">
        <v>105</v>
      </c>
      <c r="F833" s="72" t="s">
        <v>43</v>
      </c>
      <c r="G833" s="72" t="s">
        <v>560</v>
      </c>
    </row>
    <row r="834" spans="1:7" x14ac:dyDescent="0.2">
      <c r="A834" s="5" t="s">
        <v>550</v>
      </c>
      <c r="B834" s="6" t="s">
        <v>27</v>
      </c>
      <c r="C834" s="6" t="s">
        <v>45</v>
      </c>
      <c r="D834" s="72" t="str">
        <f t="shared" ref="D834:D897" si="16">A834&amp;"_"&amp;B834&amp;"_"&amp;C834</f>
        <v>041_S_c</v>
      </c>
      <c r="E834" s="72">
        <v>94</v>
      </c>
      <c r="F834" s="72" t="s">
        <v>82</v>
      </c>
      <c r="G834" s="72" t="s">
        <v>559</v>
      </c>
    </row>
    <row r="835" spans="1:7" x14ac:dyDescent="0.2">
      <c r="A835" s="5" t="s">
        <v>550</v>
      </c>
      <c r="B835" s="6" t="s">
        <v>33</v>
      </c>
      <c r="C835" s="6" t="s">
        <v>45</v>
      </c>
      <c r="D835" s="72" t="str">
        <f t="shared" si="16"/>
        <v>041_V_c</v>
      </c>
      <c r="E835" s="72">
        <v>84</v>
      </c>
      <c r="F835" s="72" t="s">
        <v>82</v>
      </c>
      <c r="G835" s="72" t="s">
        <v>558</v>
      </c>
    </row>
    <row r="836" spans="1:7" x14ac:dyDescent="0.2">
      <c r="A836" s="5" t="s">
        <v>564</v>
      </c>
      <c r="B836" s="6" t="s">
        <v>36</v>
      </c>
      <c r="C836" s="6" t="s">
        <v>45</v>
      </c>
      <c r="D836" s="72" t="str">
        <f t="shared" si="16"/>
        <v>042_O_c</v>
      </c>
      <c r="E836" s="72">
        <v>84</v>
      </c>
      <c r="F836" s="72" t="s">
        <v>41</v>
      </c>
      <c r="G836" s="72" t="s">
        <v>573</v>
      </c>
    </row>
    <row r="837" spans="1:7" x14ac:dyDescent="0.2">
      <c r="A837" s="5" t="s">
        <v>564</v>
      </c>
      <c r="B837" s="6" t="s">
        <v>27</v>
      </c>
      <c r="C837" s="6" t="s">
        <v>45</v>
      </c>
      <c r="D837" s="72" t="str">
        <f t="shared" si="16"/>
        <v>042_S_c</v>
      </c>
      <c r="E837" s="72">
        <v>74</v>
      </c>
      <c r="F837" s="72" t="s">
        <v>34</v>
      </c>
      <c r="G837" s="72" t="s">
        <v>571</v>
      </c>
    </row>
    <row r="838" spans="1:7" x14ac:dyDescent="0.2">
      <c r="A838" s="5" t="s">
        <v>564</v>
      </c>
      <c r="B838" s="6" t="s">
        <v>33</v>
      </c>
      <c r="C838" s="6" t="s">
        <v>45</v>
      </c>
      <c r="D838" s="72" t="str">
        <f t="shared" si="16"/>
        <v>042_V_c</v>
      </c>
      <c r="E838" s="72">
        <v>81</v>
      </c>
      <c r="F838" s="72" t="s">
        <v>82</v>
      </c>
      <c r="G838" s="72" t="s">
        <v>572</v>
      </c>
    </row>
    <row r="839" spans="1:7" x14ac:dyDescent="0.2">
      <c r="A839" s="5" t="s">
        <v>577</v>
      </c>
      <c r="B839" s="6" t="s">
        <v>36</v>
      </c>
      <c r="C839" s="6" t="s">
        <v>45</v>
      </c>
      <c r="D839" s="72" t="str">
        <f t="shared" si="16"/>
        <v>043_O_c</v>
      </c>
      <c r="E839" s="72">
        <v>90</v>
      </c>
      <c r="F839" s="72" t="s">
        <v>29</v>
      </c>
      <c r="G839" s="72" t="s">
        <v>584</v>
      </c>
    </row>
    <row r="840" spans="1:7" x14ac:dyDescent="0.2">
      <c r="A840" s="5" t="s">
        <v>577</v>
      </c>
      <c r="B840" s="6" t="s">
        <v>27</v>
      </c>
      <c r="C840" s="6" t="s">
        <v>45</v>
      </c>
      <c r="D840" s="72" t="str">
        <f t="shared" si="16"/>
        <v>043_S_c</v>
      </c>
      <c r="E840" s="72">
        <v>94</v>
      </c>
      <c r="F840" s="72" t="s">
        <v>43</v>
      </c>
      <c r="G840" s="72" t="s">
        <v>586</v>
      </c>
    </row>
    <row r="841" spans="1:7" x14ac:dyDescent="0.2">
      <c r="A841" s="5" t="s">
        <v>577</v>
      </c>
      <c r="B841" s="6" t="s">
        <v>33</v>
      </c>
      <c r="C841" s="6" t="s">
        <v>45</v>
      </c>
      <c r="D841" s="72" t="str">
        <f t="shared" si="16"/>
        <v>043_V_c</v>
      </c>
      <c r="E841" s="72">
        <v>91</v>
      </c>
      <c r="F841" s="72" t="s">
        <v>29</v>
      </c>
      <c r="G841" s="72" t="s">
        <v>585</v>
      </c>
    </row>
    <row r="842" spans="1:7" x14ac:dyDescent="0.2">
      <c r="A842" s="5" t="s">
        <v>590</v>
      </c>
      <c r="B842" s="6" t="s">
        <v>36</v>
      </c>
      <c r="C842" s="6" t="s">
        <v>45</v>
      </c>
      <c r="D842" s="72" t="str">
        <f t="shared" si="16"/>
        <v>044_O_c</v>
      </c>
      <c r="E842" s="72">
        <v>93</v>
      </c>
      <c r="F842" s="72" t="s">
        <v>29</v>
      </c>
      <c r="G842" s="72" t="s">
        <v>598</v>
      </c>
    </row>
    <row r="843" spans="1:7" x14ac:dyDescent="0.2">
      <c r="A843" s="5" t="s">
        <v>590</v>
      </c>
      <c r="B843" s="6" t="s">
        <v>27</v>
      </c>
      <c r="C843" s="6" t="s">
        <v>45</v>
      </c>
      <c r="D843" s="72" t="str">
        <f t="shared" si="16"/>
        <v>044_S_c</v>
      </c>
      <c r="E843" s="72">
        <v>81</v>
      </c>
      <c r="F843" s="72" t="s">
        <v>63</v>
      </c>
      <c r="G843" s="72" t="s">
        <v>597</v>
      </c>
    </row>
    <row r="844" spans="1:7" x14ac:dyDescent="0.2">
      <c r="A844" s="5" t="s">
        <v>590</v>
      </c>
      <c r="B844" s="6" t="s">
        <v>33</v>
      </c>
      <c r="C844" s="6" t="s">
        <v>45</v>
      </c>
      <c r="D844" s="72" t="str">
        <f t="shared" si="16"/>
        <v>044_V_c</v>
      </c>
      <c r="E844" s="72">
        <v>97</v>
      </c>
      <c r="F844" s="72" t="s">
        <v>49</v>
      </c>
      <c r="G844" s="72" t="s">
        <v>599</v>
      </c>
    </row>
    <row r="845" spans="1:7" x14ac:dyDescent="0.2">
      <c r="A845" s="5" t="s">
        <v>603</v>
      </c>
      <c r="B845" s="6" t="s">
        <v>36</v>
      </c>
      <c r="C845" s="6" t="s">
        <v>45</v>
      </c>
      <c r="D845" s="72" t="str">
        <f t="shared" si="16"/>
        <v>045_O_c</v>
      </c>
      <c r="E845" s="72">
        <v>88</v>
      </c>
      <c r="F845" s="72" t="s">
        <v>82</v>
      </c>
      <c r="G845" s="72" t="s">
        <v>610</v>
      </c>
    </row>
    <row r="846" spans="1:7" x14ac:dyDescent="0.2">
      <c r="A846" s="5" t="s">
        <v>603</v>
      </c>
      <c r="B846" s="6" t="s">
        <v>27</v>
      </c>
      <c r="C846" s="6" t="s">
        <v>45</v>
      </c>
      <c r="D846" s="72" t="str">
        <f t="shared" si="16"/>
        <v>045_S_c</v>
      </c>
      <c r="E846" s="72">
        <v>102</v>
      </c>
      <c r="F846" s="72" t="s">
        <v>49</v>
      </c>
      <c r="G846" s="72" t="s">
        <v>612</v>
      </c>
    </row>
    <row r="847" spans="1:7" x14ac:dyDescent="0.2">
      <c r="A847" s="5" t="s">
        <v>603</v>
      </c>
      <c r="B847" s="6" t="s">
        <v>33</v>
      </c>
      <c r="C847" s="6" t="s">
        <v>45</v>
      </c>
      <c r="D847" s="72" t="str">
        <f t="shared" si="16"/>
        <v>045_V_c</v>
      </c>
      <c r="E847" s="72">
        <v>95</v>
      </c>
      <c r="F847" s="72" t="s">
        <v>39</v>
      </c>
      <c r="G847" s="72" t="s">
        <v>611</v>
      </c>
    </row>
    <row r="848" spans="1:7" x14ac:dyDescent="0.2">
      <c r="A848" s="5" t="s">
        <v>616</v>
      </c>
      <c r="B848" s="6" t="s">
        <v>36</v>
      </c>
      <c r="C848" s="6" t="s">
        <v>45</v>
      </c>
      <c r="D848" s="72" t="str">
        <f t="shared" si="16"/>
        <v>046_O_c</v>
      </c>
      <c r="E848" s="72">
        <v>97</v>
      </c>
      <c r="F848" s="72" t="s">
        <v>34</v>
      </c>
      <c r="G848" s="72" t="s">
        <v>625</v>
      </c>
    </row>
    <row r="849" spans="1:7" x14ac:dyDescent="0.2">
      <c r="A849" s="5" t="s">
        <v>616</v>
      </c>
      <c r="B849" s="6" t="s">
        <v>27</v>
      </c>
      <c r="C849" s="6" t="s">
        <v>45</v>
      </c>
      <c r="D849" s="72" t="str">
        <f t="shared" si="16"/>
        <v>046_S_c</v>
      </c>
      <c r="E849" s="72">
        <v>76</v>
      </c>
      <c r="F849" s="72" t="s">
        <v>49</v>
      </c>
      <c r="G849" s="72" t="s">
        <v>623</v>
      </c>
    </row>
    <row r="850" spans="1:7" x14ac:dyDescent="0.2">
      <c r="A850" s="5" t="s">
        <v>616</v>
      </c>
      <c r="B850" s="6" t="s">
        <v>33</v>
      </c>
      <c r="C850" s="6" t="s">
        <v>45</v>
      </c>
      <c r="D850" s="72" t="str">
        <f t="shared" si="16"/>
        <v>046_V_c</v>
      </c>
      <c r="E850" s="72">
        <v>85</v>
      </c>
      <c r="F850" s="72" t="s">
        <v>70</v>
      </c>
      <c r="G850" s="72" t="s">
        <v>624</v>
      </c>
    </row>
    <row r="851" spans="1:7" x14ac:dyDescent="0.2">
      <c r="A851" s="5" t="s">
        <v>629</v>
      </c>
      <c r="B851" s="6" t="s">
        <v>36</v>
      </c>
      <c r="C851" s="6" t="s">
        <v>45</v>
      </c>
      <c r="D851" s="72" t="str">
        <f t="shared" si="16"/>
        <v>047_O_c</v>
      </c>
      <c r="E851" s="72">
        <v>106</v>
      </c>
      <c r="F851" s="72" t="s">
        <v>70</v>
      </c>
      <c r="G851" s="72" t="s">
        <v>638</v>
      </c>
    </row>
    <row r="852" spans="1:7" x14ac:dyDescent="0.2">
      <c r="A852" s="5" t="s">
        <v>629</v>
      </c>
      <c r="B852" s="6" t="s">
        <v>27</v>
      </c>
      <c r="C852" s="6" t="s">
        <v>45</v>
      </c>
      <c r="D852" s="72" t="str">
        <f t="shared" si="16"/>
        <v>047_S_c</v>
      </c>
      <c r="E852" s="72">
        <v>89</v>
      </c>
      <c r="F852" s="72" t="s">
        <v>43</v>
      </c>
      <c r="G852" s="72" t="s">
        <v>636</v>
      </c>
    </row>
    <row r="853" spans="1:7" x14ac:dyDescent="0.2">
      <c r="A853" s="5" t="s">
        <v>629</v>
      </c>
      <c r="B853" s="6" t="s">
        <v>33</v>
      </c>
      <c r="C853" s="6" t="s">
        <v>45</v>
      </c>
      <c r="D853" s="72" t="str">
        <f t="shared" si="16"/>
        <v>047_V_c</v>
      </c>
      <c r="E853" s="72">
        <v>98</v>
      </c>
      <c r="F853" s="72" t="s">
        <v>70</v>
      </c>
      <c r="G853" s="72" t="s">
        <v>637</v>
      </c>
    </row>
    <row r="854" spans="1:7" x14ac:dyDescent="0.2">
      <c r="A854" s="5" t="s">
        <v>642</v>
      </c>
      <c r="B854" s="6" t="s">
        <v>36</v>
      </c>
      <c r="C854" s="6" t="s">
        <v>45</v>
      </c>
      <c r="D854" s="72" t="str">
        <f t="shared" si="16"/>
        <v>048_O_c</v>
      </c>
      <c r="E854" s="72">
        <v>76</v>
      </c>
      <c r="F854" s="72" t="s">
        <v>34</v>
      </c>
      <c r="G854" s="72" t="s">
        <v>649</v>
      </c>
    </row>
    <row r="855" spans="1:7" x14ac:dyDescent="0.2">
      <c r="A855" s="5" t="s">
        <v>642</v>
      </c>
      <c r="B855" s="6" t="s">
        <v>27</v>
      </c>
      <c r="C855" s="6" t="s">
        <v>45</v>
      </c>
      <c r="D855" s="72" t="str">
        <f t="shared" si="16"/>
        <v>048_S_c</v>
      </c>
      <c r="E855" s="72">
        <v>76</v>
      </c>
      <c r="F855" s="72" t="s">
        <v>63</v>
      </c>
      <c r="G855" s="72" t="s">
        <v>650</v>
      </c>
    </row>
    <row r="856" spans="1:7" x14ac:dyDescent="0.2">
      <c r="A856" s="5" t="s">
        <v>642</v>
      </c>
      <c r="B856" s="6" t="s">
        <v>33</v>
      </c>
      <c r="C856" s="6" t="s">
        <v>45</v>
      </c>
      <c r="D856" s="72" t="str">
        <f t="shared" si="16"/>
        <v>048_V_c</v>
      </c>
      <c r="E856" s="72">
        <v>83</v>
      </c>
      <c r="F856" s="72" t="s">
        <v>68</v>
      </c>
      <c r="G856" s="72" t="s">
        <v>651</v>
      </c>
    </row>
    <row r="857" spans="1:7" x14ac:dyDescent="0.2">
      <c r="A857" s="5" t="s">
        <v>655</v>
      </c>
      <c r="B857" s="6" t="s">
        <v>36</v>
      </c>
      <c r="C857" s="6" t="s">
        <v>45</v>
      </c>
      <c r="D857" s="72" t="str">
        <f t="shared" si="16"/>
        <v>049_O_c</v>
      </c>
      <c r="E857" s="72">
        <v>85</v>
      </c>
      <c r="F857" s="72" t="s">
        <v>49</v>
      </c>
      <c r="G857" s="72" t="s">
        <v>662</v>
      </c>
    </row>
    <row r="858" spans="1:7" x14ac:dyDescent="0.2">
      <c r="A858" s="5" t="s">
        <v>655</v>
      </c>
      <c r="B858" s="6" t="s">
        <v>27</v>
      </c>
      <c r="C858" s="6" t="s">
        <v>45</v>
      </c>
      <c r="D858" s="72" t="str">
        <f t="shared" si="16"/>
        <v>049_S_c</v>
      </c>
      <c r="E858" s="72">
        <v>100</v>
      </c>
      <c r="F858" s="72" t="s">
        <v>43</v>
      </c>
      <c r="G858" s="72" t="s">
        <v>664</v>
      </c>
    </row>
    <row r="859" spans="1:7" x14ac:dyDescent="0.2">
      <c r="A859" s="5" t="s">
        <v>655</v>
      </c>
      <c r="B859" s="6" t="s">
        <v>33</v>
      </c>
      <c r="C859" s="6" t="s">
        <v>45</v>
      </c>
      <c r="D859" s="72" t="str">
        <f t="shared" si="16"/>
        <v>049_V_c</v>
      </c>
      <c r="E859" s="72">
        <v>88</v>
      </c>
      <c r="F859" s="72" t="s">
        <v>41</v>
      </c>
      <c r="G859" s="72" t="s">
        <v>663</v>
      </c>
    </row>
    <row r="860" spans="1:7" x14ac:dyDescent="0.2">
      <c r="A860" s="5" t="s">
        <v>668</v>
      </c>
      <c r="B860" s="6" t="s">
        <v>36</v>
      </c>
      <c r="C860" s="6" t="s">
        <v>45</v>
      </c>
      <c r="D860" s="72" t="str">
        <f t="shared" si="16"/>
        <v>050_O_c</v>
      </c>
      <c r="E860" s="72">
        <v>79</v>
      </c>
      <c r="F860" s="72" t="s">
        <v>29</v>
      </c>
      <c r="G860" s="72" t="s">
        <v>677</v>
      </c>
    </row>
    <row r="861" spans="1:7" x14ac:dyDescent="0.2">
      <c r="A861" s="5" t="s">
        <v>668</v>
      </c>
      <c r="B861" s="6" t="s">
        <v>27</v>
      </c>
      <c r="C861" s="6" t="s">
        <v>45</v>
      </c>
      <c r="D861" s="72" t="str">
        <f t="shared" si="16"/>
        <v>050_S_c</v>
      </c>
      <c r="E861" s="72">
        <v>76</v>
      </c>
      <c r="F861" s="72" t="s">
        <v>82</v>
      </c>
      <c r="G861" s="72" t="s">
        <v>675</v>
      </c>
    </row>
    <row r="862" spans="1:7" x14ac:dyDescent="0.2">
      <c r="A862" s="5" t="s">
        <v>668</v>
      </c>
      <c r="B862" s="6" t="s">
        <v>33</v>
      </c>
      <c r="C862" s="6" t="s">
        <v>45</v>
      </c>
      <c r="D862" s="72" t="str">
        <f t="shared" si="16"/>
        <v>050_V_c</v>
      </c>
      <c r="E862" s="72">
        <v>78</v>
      </c>
      <c r="F862" s="72" t="s">
        <v>39</v>
      </c>
      <c r="G862" s="72" t="s">
        <v>676</v>
      </c>
    </row>
    <row r="863" spans="1:7" x14ac:dyDescent="0.2">
      <c r="A863" s="5" t="s">
        <v>681</v>
      </c>
      <c r="B863" s="6" t="s">
        <v>36</v>
      </c>
      <c r="C863" s="6" t="s">
        <v>45</v>
      </c>
      <c r="D863" s="72" t="str">
        <f t="shared" si="16"/>
        <v>052_O_c</v>
      </c>
      <c r="E863" s="72">
        <v>105</v>
      </c>
      <c r="F863" s="72" t="s">
        <v>82</v>
      </c>
      <c r="G863" s="72" t="s">
        <v>690</v>
      </c>
    </row>
    <row r="864" spans="1:7" x14ac:dyDescent="0.2">
      <c r="A864" s="5" t="s">
        <v>681</v>
      </c>
      <c r="B864" s="6" t="s">
        <v>27</v>
      </c>
      <c r="C864" s="6" t="s">
        <v>45</v>
      </c>
      <c r="D864" s="72" t="str">
        <f t="shared" si="16"/>
        <v>052_S_c</v>
      </c>
      <c r="E864" s="72">
        <v>78</v>
      </c>
      <c r="F864" s="72" t="s">
        <v>41</v>
      </c>
      <c r="G864" s="72" t="s">
        <v>688</v>
      </c>
    </row>
    <row r="865" spans="1:7" x14ac:dyDescent="0.2">
      <c r="A865" s="5" t="s">
        <v>681</v>
      </c>
      <c r="B865" s="6" t="s">
        <v>33</v>
      </c>
      <c r="C865" s="6" t="s">
        <v>45</v>
      </c>
      <c r="D865" s="72" t="str">
        <f t="shared" si="16"/>
        <v>052_V_c</v>
      </c>
      <c r="E865" s="72">
        <v>82</v>
      </c>
      <c r="F865" s="72" t="s">
        <v>43</v>
      </c>
      <c r="G865" s="72" t="s">
        <v>689</v>
      </c>
    </row>
    <row r="866" spans="1:7" x14ac:dyDescent="0.2">
      <c r="A866" s="5" t="s">
        <v>694</v>
      </c>
      <c r="B866" s="6" t="s">
        <v>36</v>
      </c>
      <c r="C866" s="6" t="s">
        <v>45</v>
      </c>
      <c r="D866" s="72" t="str">
        <f t="shared" si="16"/>
        <v>053_O_c</v>
      </c>
      <c r="E866" s="72">
        <v>92</v>
      </c>
      <c r="F866" s="72" t="s">
        <v>39</v>
      </c>
      <c r="G866" s="72" t="s">
        <v>705</v>
      </c>
    </row>
    <row r="867" spans="1:7" x14ac:dyDescent="0.2">
      <c r="A867" s="5" t="s">
        <v>694</v>
      </c>
      <c r="B867" s="6" t="s">
        <v>27</v>
      </c>
      <c r="C867" s="6" t="s">
        <v>45</v>
      </c>
      <c r="D867" s="72" t="str">
        <f t="shared" si="16"/>
        <v>053_S_c</v>
      </c>
      <c r="E867" s="72">
        <v>74</v>
      </c>
      <c r="F867" s="72" t="s">
        <v>29</v>
      </c>
      <c r="G867" s="72" t="s">
        <v>702</v>
      </c>
    </row>
    <row r="868" spans="1:7" x14ac:dyDescent="0.2">
      <c r="A868" s="5" t="s">
        <v>694</v>
      </c>
      <c r="B868" s="6" t="s">
        <v>33</v>
      </c>
      <c r="C868" s="6" t="s">
        <v>45</v>
      </c>
      <c r="D868" s="72" t="str">
        <f t="shared" si="16"/>
        <v>053_V_c</v>
      </c>
      <c r="E868" s="72">
        <v>90</v>
      </c>
      <c r="F868" s="72" t="s">
        <v>49</v>
      </c>
      <c r="G868" s="72" t="s">
        <v>704</v>
      </c>
    </row>
    <row r="869" spans="1:7" x14ac:dyDescent="0.2">
      <c r="A869" s="5" t="s">
        <v>709</v>
      </c>
      <c r="B869" s="6" t="s">
        <v>36</v>
      </c>
      <c r="C869" s="6" t="s">
        <v>45</v>
      </c>
      <c r="D869" s="72" t="str">
        <f t="shared" si="16"/>
        <v>054_O_c</v>
      </c>
      <c r="E869" s="72">
        <v>83</v>
      </c>
      <c r="F869" s="72" t="s">
        <v>39</v>
      </c>
      <c r="G869" s="72" t="s">
        <v>717</v>
      </c>
    </row>
    <row r="870" spans="1:7" x14ac:dyDescent="0.2">
      <c r="A870" s="5" t="s">
        <v>709</v>
      </c>
      <c r="B870" s="6" t="s">
        <v>27</v>
      </c>
      <c r="C870" s="6" t="s">
        <v>45</v>
      </c>
      <c r="D870" s="72" t="str">
        <f t="shared" si="16"/>
        <v>054_S_c</v>
      </c>
      <c r="E870" s="72">
        <v>103</v>
      </c>
      <c r="F870" s="72" t="s">
        <v>43</v>
      </c>
      <c r="G870" s="72" t="s">
        <v>718</v>
      </c>
    </row>
    <row r="871" spans="1:7" x14ac:dyDescent="0.2">
      <c r="A871" s="5" t="s">
        <v>709</v>
      </c>
      <c r="B871" s="6" t="s">
        <v>33</v>
      </c>
      <c r="C871" s="6" t="s">
        <v>45</v>
      </c>
      <c r="D871" s="72" t="str">
        <f t="shared" si="16"/>
        <v>054_V_c</v>
      </c>
      <c r="E871" s="72">
        <v>74</v>
      </c>
      <c r="F871" s="72" t="s">
        <v>82</v>
      </c>
      <c r="G871" s="72" t="s">
        <v>716</v>
      </c>
    </row>
    <row r="872" spans="1:7" x14ac:dyDescent="0.2">
      <c r="A872" s="5" t="s">
        <v>722</v>
      </c>
      <c r="B872" s="6" t="s">
        <v>36</v>
      </c>
      <c r="C872" s="6" t="s">
        <v>45</v>
      </c>
      <c r="D872" s="72" t="str">
        <f t="shared" si="16"/>
        <v>055_O_c</v>
      </c>
      <c r="E872" s="72">
        <v>93</v>
      </c>
      <c r="F872" s="72" t="s">
        <v>82</v>
      </c>
      <c r="G872" s="72" t="s">
        <v>732</v>
      </c>
    </row>
    <row r="873" spans="1:7" x14ac:dyDescent="0.2">
      <c r="A873" s="5" t="s">
        <v>722</v>
      </c>
      <c r="B873" s="6" t="s">
        <v>27</v>
      </c>
      <c r="C873" s="6" t="s">
        <v>45</v>
      </c>
      <c r="D873" s="72" t="str">
        <f t="shared" si="16"/>
        <v>055_S_c</v>
      </c>
      <c r="E873" s="72">
        <v>91</v>
      </c>
      <c r="F873" s="72" t="s">
        <v>43</v>
      </c>
      <c r="G873" s="72" t="s">
        <v>729</v>
      </c>
    </row>
    <row r="874" spans="1:7" x14ac:dyDescent="0.2">
      <c r="A874" s="5" t="s">
        <v>722</v>
      </c>
      <c r="B874" s="6" t="s">
        <v>33</v>
      </c>
      <c r="C874" s="6" t="s">
        <v>45</v>
      </c>
      <c r="D874" s="72" t="str">
        <f t="shared" si="16"/>
        <v>055_V_c</v>
      </c>
      <c r="E874" s="72">
        <v>92</v>
      </c>
      <c r="F874" s="72" t="s">
        <v>68</v>
      </c>
      <c r="G874" s="72" t="s">
        <v>731</v>
      </c>
    </row>
    <row r="875" spans="1:7" x14ac:dyDescent="0.2">
      <c r="A875" s="5" t="s">
        <v>736</v>
      </c>
      <c r="B875" s="6" t="s">
        <v>36</v>
      </c>
      <c r="C875" s="6" t="s">
        <v>45</v>
      </c>
      <c r="D875" s="72" t="str">
        <f t="shared" si="16"/>
        <v>056_O_c</v>
      </c>
      <c r="E875" s="72">
        <v>103</v>
      </c>
      <c r="F875" s="72" t="s">
        <v>82</v>
      </c>
      <c r="G875" s="72" t="s">
        <v>745</v>
      </c>
    </row>
    <row r="876" spans="1:7" x14ac:dyDescent="0.2">
      <c r="A876" s="5" t="s">
        <v>736</v>
      </c>
      <c r="B876" s="6" t="s">
        <v>27</v>
      </c>
      <c r="C876" s="6" t="s">
        <v>45</v>
      </c>
      <c r="D876" s="72" t="str">
        <f t="shared" si="16"/>
        <v>056_S_c</v>
      </c>
      <c r="E876" s="72">
        <v>80</v>
      </c>
      <c r="F876" s="72" t="s">
        <v>29</v>
      </c>
      <c r="G876" s="72" t="s">
        <v>743</v>
      </c>
    </row>
    <row r="877" spans="1:7" x14ac:dyDescent="0.2">
      <c r="A877" s="5" t="s">
        <v>736</v>
      </c>
      <c r="B877" s="6" t="s">
        <v>33</v>
      </c>
      <c r="C877" s="6" t="s">
        <v>45</v>
      </c>
      <c r="D877" s="72" t="str">
        <f t="shared" si="16"/>
        <v>056_V_c</v>
      </c>
      <c r="E877" s="72">
        <v>94</v>
      </c>
      <c r="F877" s="72" t="s">
        <v>68</v>
      </c>
      <c r="G877" s="72" t="s">
        <v>744</v>
      </c>
    </row>
    <row r="878" spans="1:7" x14ac:dyDescent="0.2">
      <c r="A878" s="5" t="s">
        <v>749</v>
      </c>
      <c r="B878" s="6" t="s">
        <v>36</v>
      </c>
      <c r="C878" s="6" t="s">
        <v>45</v>
      </c>
      <c r="D878" s="72" t="str">
        <f t="shared" si="16"/>
        <v>057_O_c</v>
      </c>
      <c r="E878" s="72">
        <v>83</v>
      </c>
      <c r="F878" s="72" t="s">
        <v>82</v>
      </c>
      <c r="G878" s="72" t="s">
        <v>757</v>
      </c>
    </row>
    <row r="879" spans="1:7" x14ac:dyDescent="0.2">
      <c r="A879" s="5" t="s">
        <v>749</v>
      </c>
      <c r="B879" s="6" t="s">
        <v>27</v>
      </c>
      <c r="C879" s="6" t="s">
        <v>45</v>
      </c>
      <c r="D879" s="72" t="str">
        <f t="shared" si="16"/>
        <v>057_S_c</v>
      </c>
      <c r="E879" s="72">
        <v>81</v>
      </c>
      <c r="F879" s="72" t="s">
        <v>29</v>
      </c>
      <c r="G879" s="72" t="s">
        <v>756</v>
      </c>
    </row>
    <row r="880" spans="1:7" x14ac:dyDescent="0.2">
      <c r="A880" s="5" t="s">
        <v>749</v>
      </c>
      <c r="B880" s="6" t="s">
        <v>33</v>
      </c>
      <c r="C880" s="6" t="s">
        <v>45</v>
      </c>
      <c r="D880" s="72" t="str">
        <f t="shared" si="16"/>
        <v>057_V_c</v>
      </c>
      <c r="E880" s="72">
        <v>94</v>
      </c>
      <c r="F880" s="72" t="s">
        <v>49</v>
      </c>
      <c r="G880" s="72" t="s">
        <v>758</v>
      </c>
    </row>
    <row r="881" spans="1:7" x14ac:dyDescent="0.2">
      <c r="A881" s="5" t="s">
        <v>762</v>
      </c>
      <c r="B881" s="6" t="s">
        <v>36</v>
      </c>
      <c r="C881" s="6" t="s">
        <v>45</v>
      </c>
      <c r="D881" s="72" t="str">
        <f t="shared" si="16"/>
        <v>058_O_c</v>
      </c>
      <c r="E881" s="72">
        <v>92</v>
      </c>
      <c r="F881" s="72" t="s">
        <v>49</v>
      </c>
      <c r="G881" s="72" t="s">
        <v>769</v>
      </c>
    </row>
    <row r="882" spans="1:7" x14ac:dyDescent="0.2">
      <c r="A882" s="5" t="s">
        <v>762</v>
      </c>
      <c r="B882" s="6" t="s">
        <v>27</v>
      </c>
      <c r="C882" s="6" t="s">
        <v>45</v>
      </c>
      <c r="D882" s="72" t="str">
        <f t="shared" si="16"/>
        <v>058_S_c</v>
      </c>
      <c r="E882" s="72">
        <v>93</v>
      </c>
      <c r="F882" s="72" t="s">
        <v>49</v>
      </c>
      <c r="G882" s="72" t="s">
        <v>770</v>
      </c>
    </row>
    <row r="883" spans="1:7" x14ac:dyDescent="0.2">
      <c r="A883" s="5" t="s">
        <v>762</v>
      </c>
      <c r="B883" s="6" t="s">
        <v>33</v>
      </c>
      <c r="C883" s="6" t="s">
        <v>45</v>
      </c>
      <c r="D883" s="72" t="str">
        <f t="shared" si="16"/>
        <v>058_V_c</v>
      </c>
      <c r="E883" s="72">
        <v>107</v>
      </c>
      <c r="F883" s="72" t="s">
        <v>82</v>
      </c>
      <c r="G883" s="72" t="s">
        <v>771</v>
      </c>
    </row>
    <row r="884" spans="1:7" x14ac:dyDescent="0.2">
      <c r="A884" s="5" t="s">
        <v>775</v>
      </c>
      <c r="B884" s="6" t="s">
        <v>36</v>
      </c>
      <c r="C884" s="6" t="s">
        <v>45</v>
      </c>
      <c r="D884" s="72" t="str">
        <f t="shared" si="16"/>
        <v>059_O_c</v>
      </c>
      <c r="E884" s="72">
        <v>79</v>
      </c>
      <c r="F884" s="72" t="s">
        <v>34</v>
      </c>
      <c r="G884" s="72" t="s">
        <v>783</v>
      </c>
    </row>
    <row r="885" spans="1:7" x14ac:dyDescent="0.2">
      <c r="A885" s="5" t="s">
        <v>775</v>
      </c>
      <c r="B885" s="6" t="s">
        <v>27</v>
      </c>
      <c r="C885" s="6" t="s">
        <v>45</v>
      </c>
      <c r="D885" s="72" t="str">
        <f t="shared" si="16"/>
        <v>059_S_c</v>
      </c>
      <c r="E885" s="72">
        <v>100</v>
      </c>
      <c r="F885" s="72" t="s">
        <v>82</v>
      </c>
      <c r="G885" s="72" t="s">
        <v>784</v>
      </c>
    </row>
    <row r="886" spans="1:7" x14ac:dyDescent="0.2">
      <c r="A886" s="5" t="s">
        <v>775</v>
      </c>
      <c r="B886" s="6" t="s">
        <v>33</v>
      </c>
      <c r="C886" s="6" t="s">
        <v>45</v>
      </c>
      <c r="D886" s="72" t="str">
        <f t="shared" si="16"/>
        <v>059_V_c</v>
      </c>
      <c r="E886" s="72">
        <v>77</v>
      </c>
      <c r="F886" s="72" t="s">
        <v>68</v>
      </c>
      <c r="G886" s="72" t="s">
        <v>782</v>
      </c>
    </row>
    <row r="887" spans="1:7" x14ac:dyDescent="0.2">
      <c r="A887" s="5" t="s">
        <v>788</v>
      </c>
      <c r="B887" s="6" t="s">
        <v>36</v>
      </c>
      <c r="C887" s="6" t="s">
        <v>45</v>
      </c>
      <c r="D887" s="72" t="str">
        <f t="shared" si="16"/>
        <v>060_O_c</v>
      </c>
      <c r="E887" s="72">
        <v>89</v>
      </c>
      <c r="F887" s="72" t="s">
        <v>49</v>
      </c>
      <c r="G887" s="72" t="s">
        <v>795</v>
      </c>
    </row>
    <row r="888" spans="1:7" x14ac:dyDescent="0.2">
      <c r="A888" s="5" t="s">
        <v>788</v>
      </c>
      <c r="B888" s="6" t="s">
        <v>27</v>
      </c>
      <c r="C888" s="6" t="s">
        <v>45</v>
      </c>
      <c r="D888" s="72" t="str">
        <f t="shared" si="16"/>
        <v>060_S_c</v>
      </c>
      <c r="E888" s="72">
        <v>91</v>
      </c>
      <c r="F888" s="72" t="s">
        <v>70</v>
      </c>
      <c r="G888" s="72" t="s">
        <v>796</v>
      </c>
    </row>
    <row r="889" spans="1:7" x14ac:dyDescent="0.2">
      <c r="A889" s="5" t="s">
        <v>788</v>
      </c>
      <c r="B889" s="6" t="s">
        <v>33</v>
      </c>
      <c r="C889" s="6" t="s">
        <v>45</v>
      </c>
      <c r="D889" s="72" t="str">
        <f t="shared" si="16"/>
        <v>060_V_c</v>
      </c>
      <c r="E889" s="72">
        <v>91</v>
      </c>
      <c r="F889" s="72" t="s">
        <v>63</v>
      </c>
      <c r="G889" s="72" t="s">
        <v>797</v>
      </c>
    </row>
    <row r="890" spans="1:7" x14ac:dyDescent="0.2">
      <c r="A890" s="5" t="s">
        <v>801</v>
      </c>
      <c r="B890" s="6" t="s">
        <v>36</v>
      </c>
      <c r="C890" s="6" t="s">
        <v>45</v>
      </c>
      <c r="D890" s="72" t="str">
        <f t="shared" si="16"/>
        <v>062_O_c</v>
      </c>
      <c r="E890" s="72">
        <v>73</v>
      </c>
      <c r="F890" s="72" t="s">
        <v>43</v>
      </c>
      <c r="G890" s="72" t="s">
        <v>808</v>
      </c>
    </row>
    <row r="891" spans="1:7" x14ac:dyDescent="0.2">
      <c r="A891" s="5" t="s">
        <v>801</v>
      </c>
      <c r="B891" s="6" t="s">
        <v>27</v>
      </c>
      <c r="C891" s="6" t="s">
        <v>45</v>
      </c>
      <c r="D891" s="72" t="str">
        <f t="shared" si="16"/>
        <v>062_S_c</v>
      </c>
      <c r="E891" s="72">
        <v>104</v>
      </c>
      <c r="F891" s="72" t="s">
        <v>41</v>
      </c>
      <c r="G891" s="72" t="s">
        <v>809</v>
      </c>
    </row>
    <row r="892" spans="1:7" x14ac:dyDescent="0.2">
      <c r="A892" s="5" t="s">
        <v>801</v>
      </c>
      <c r="B892" s="6" t="s">
        <v>33</v>
      </c>
      <c r="C892" s="6" t="s">
        <v>45</v>
      </c>
      <c r="D892" s="72" t="str">
        <f t="shared" si="16"/>
        <v>062_V_c</v>
      </c>
      <c r="E892" s="72">
        <v>107</v>
      </c>
      <c r="F892" s="72" t="s">
        <v>43</v>
      </c>
      <c r="G892" s="72" t="s">
        <v>810</v>
      </c>
    </row>
    <row r="893" spans="1:7" x14ac:dyDescent="0.2">
      <c r="A893" s="5" t="s">
        <v>814</v>
      </c>
      <c r="B893" s="6" t="s">
        <v>36</v>
      </c>
      <c r="C893" s="6" t="s">
        <v>45</v>
      </c>
      <c r="D893" s="72" t="str">
        <f t="shared" si="16"/>
        <v>063_O_c</v>
      </c>
      <c r="E893" s="72">
        <v>96</v>
      </c>
      <c r="F893" s="72" t="s">
        <v>34</v>
      </c>
      <c r="G893" s="72" t="s">
        <v>822</v>
      </c>
    </row>
    <row r="894" spans="1:7" x14ac:dyDescent="0.2">
      <c r="A894" s="5" t="s">
        <v>814</v>
      </c>
      <c r="B894" s="6" t="s">
        <v>27</v>
      </c>
      <c r="C894" s="6" t="s">
        <v>45</v>
      </c>
      <c r="D894" s="72" t="str">
        <f t="shared" si="16"/>
        <v>063_S_c</v>
      </c>
      <c r="E894" s="72">
        <v>95</v>
      </c>
      <c r="F894" s="72" t="s">
        <v>49</v>
      </c>
      <c r="G894" s="72" t="s">
        <v>821</v>
      </c>
    </row>
    <row r="895" spans="1:7" x14ac:dyDescent="0.2">
      <c r="A895" s="5" t="s">
        <v>814</v>
      </c>
      <c r="B895" s="6" t="s">
        <v>33</v>
      </c>
      <c r="C895" s="6" t="s">
        <v>45</v>
      </c>
      <c r="D895" s="72" t="str">
        <f t="shared" si="16"/>
        <v>063_V_c</v>
      </c>
      <c r="E895" s="72">
        <v>105</v>
      </c>
      <c r="F895" s="72" t="s">
        <v>70</v>
      </c>
      <c r="G895" s="72" t="s">
        <v>823</v>
      </c>
    </row>
    <row r="896" spans="1:7" x14ac:dyDescent="0.2">
      <c r="A896" s="5" t="s">
        <v>827</v>
      </c>
      <c r="B896" s="6" t="s">
        <v>36</v>
      </c>
      <c r="C896" s="6" t="s">
        <v>45</v>
      </c>
      <c r="D896" s="72" t="str">
        <f t="shared" si="16"/>
        <v>064_O_c</v>
      </c>
      <c r="E896" s="72">
        <v>89</v>
      </c>
      <c r="F896" s="72" t="s">
        <v>63</v>
      </c>
      <c r="G896" s="72" t="s">
        <v>835</v>
      </c>
    </row>
    <row r="897" spans="1:7" x14ac:dyDescent="0.2">
      <c r="A897" s="5" t="s">
        <v>827</v>
      </c>
      <c r="B897" s="6" t="s">
        <v>27</v>
      </c>
      <c r="C897" s="6" t="s">
        <v>45</v>
      </c>
      <c r="D897" s="72" t="str">
        <f t="shared" si="16"/>
        <v>064_S_c</v>
      </c>
      <c r="E897" s="72">
        <v>96</v>
      </c>
      <c r="F897" s="72" t="s">
        <v>68</v>
      </c>
      <c r="G897" s="72" t="s">
        <v>836</v>
      </c>
    </row>
    <row r="898" spans="1:7" x14ac:dyDescent="0.2">
      <c r="A898" s="5" t="s">
        <v>827</v>
      </c>
      <c r="B898" s="6" t="s">
        <v>33</v>
      </c>
      <c r="C898" s="6" t="s">
        <v>45</v>
      </c>
      <c r="D898" s="72" t="str">
        <f t="shared" ref="D898:D961" si="17">A898&amp;"_"&amp;B898&amp;"_"&amp;C898</f>
        <v>064_V_c</v>
      </c>
      <c r="E898" s="72">
        <v>78</v>
      </c>
      <c r="F898" s="72" t="s">
        <v>49</v>
      </c>
      <c r="G898" s="72" t="s">
        <v>834</v>
      </c>
    </row>
    <row r="899" spans="1:7" x14ac:dyDescent="0.2">
      <c r="A899" s="5" t="s">
        <v>840</v>
      </c>
      <c r="B899" s="6" t="s">
        <v>36</v>
      </c>
      <c r="C899" s="6" t="s">
        <v>45</v>
      </c>
      <c r="D899" s="72" t="str">
        <f t="shared" si="17"/>
        <v>065_O_c</v>
      </c>
      <c r="E899" s="72">
        <v>77</v>
      </c>
      <c r="F899" s="72" t="s">
        <v>70</v>
      </c>
      <c r="G899" s="72" t="s">
        <v>847</v>
      </c>
    </row>
    <row r="900" spans="1:7" x14ac:dyDescent="0.2">
      <c r="A900" s="5" t="s">
        <v>840</v>
      </c>
      <c r="B900" s="6" t="s">
        <v>27</v>
      </c>
      <c r="C900" s="6" t="s">
        <v>45</v>
      </c>
      <c r="D900" s="72" t="str">
        <f t="shared" si="17"/>
        <v>065_S_c</v>
      </c>
      <c r="E900" s="72">
        <v>108</v>
      </c>
      <c r="F900" s="72" t="s">
        <v>63</v>
      </c>
      <c r="G900" s="72" t="s">
        <v>849</v>
      </c>
    </row>
    <row r="901" spans="1:7" x14ac:dyDescent="0.2">
      <c r="A901" s="5" t="s">
        <v>840</v>
      </c>
      <c r="B901" s="6" t="s">
        <v>33</v>
      </c>
      <c r="C901" s="6" t="s">
        <v>45</v>
      </c>
      <c r="D901" s="72" t="str">
        <f t="shared" si="17"/>
        <v>065_V_c</v>
      </c>
      <c r="E901" s="72">
        <v>82</v>
      </c>
      <c r="F901" s="72" t="s">
        <v>41</v>
      </c>
      <c r="G901" s="72" t="s">
        <v>848</v>
      </c>
    </row>
    <row r="902" spans="1:7" x14ac:dyDescent="0.2">
      <c r="A902" s="5" t="s">
        <v>853</v>
      </c>
      <c r="B902" s="6" t="s">
        <v>36</v>
      </c>
      <c r="C902" s="6" t="s">
        <v>45</v>
      </c>
      <c r="D902" s="72" t="str">
        <f t="shared" si="17"/>
        <v>067_O_c</v>
      </c>
      <c r="E902" s="72">
        <v>85</v>
      </c>
      <c r="F902" s="72" t="s">
        <v>82</v>
      </c>
      <c r="G902" s="72" t="s">
        <v>861</v>
      </c>
    </row>
    <row r="903" spans="1:7" x14ac:dyDescent="0.2">
      <c r="A903" s="5" t="s">
        <v>853</v>
      </c>
      <c r="B903" s="6" t="s">
        <v>27</v>
      </c>
      <c r="C903" s="6" t="s">
        <v>45</v>
      </c>
      <c r="D903" s="72" t="str">
        <f t="shared" si="17"/>
        <v>067_S_c</v>
      </c>
      <c r="E903" s="72">
        <v>87</v>
      </c>
      <c r="F903" s="72" t="s">
        <v>29</v>
      </c>
      <c r="G903" s="72" t="s">
        <v>862</v>
      </c>
    </row>
    <row r="904" spans="1:7" x14ac:dyDescent="0.2">
      <c r="A904" s="5" t="s">
        <v>853</v>
      </c>
      <c r="B904" s="6" t="s">
        <v>33</v>
      </c>
      <c r="C904" s="6" t="s">
        <v>45</v>
      </c>
      <c r="D904" s="72" t="str">
        <f t="shared" si="17"/>
        <v>067_V_c</v>
      </c>
      <c r="E904" s="72">
        <v>77</v>
      </c>
      <c r="F904" s="72" t="s">
        <v>82</v>
      </c>
      <c r="G904" s="72" t="s">
        <v>860</v>
      </c>
    </row>
    <row r="905" spans="1:7" x14ac:dyDescent="0.2">
      <c r="A905" s="5" t="s">
        <v>866</v>
      </c>
      <c r="B905" s="6" t="s">
        <v>36</v>
      </c>
      <c r="C905" s="6" t="s">
        <v>45</v>
      </c>
      <c r="D905" s="72" t="str">
        <f t="shared" si="17"/>
        <v>068_O_c</v>
      </c>
      <c r="E905" s="72">
        <v>86</v>
      </c>
      <c r="F905" s="72" t="s">
        <v>49</v>
      </c>
      <c r="G905" s="72" t="s">
        <v>876</v>
      </c>
    </row>
    <row r="906" spans="1:7" x14ac:dyDescent="0.2">
      <c r="A906" s="5" t="s">
        <v>866</v>
      </c>
      <c r="B906" s="6" t="s">
        <v>27</v>
      </c>
      <c r="C906" s="6" t="s">
        <v>45</v>
      </c>
      <c r="D906" s="72" t="str">
        <f t="shared" si="17"/>
        <v>068_S_c</v>
      </c>
      <c r="E906" s="72">
        <v>82</v>
      </c>
      <c r="F906" s="72" t="s">
        <v>68</v>
      </c>
      <c r="G906" s="72" t="s">
        <v>875</v>
      </c>
    </row>
    <row r="907" spans="1:7" x14ac:dyDescent="0.2">
      <c r="A907" s="5" t="s">
        <v>866</v>
      </c>
      <c r="B907" s="6" t="s">
        <v>33</v>
      </c>
      <c r="C907" s="6" t="s">
        <v>45</v>
      </c>
      <c r="D907" s="72" t="str">
        <f t="shared" si="17"/>
        <v>068_V_c</v>
      </c>
      <c r="E907" s="72">
        <v>73</v>
      </c>
      <c r="F907" s="72" t="s">
        <v>82</v>
      </c>
      <c r="G907" s="72" t="s">
        <v>874</v>
      </c>
    </row>
    <row r="908" spans="1:7" x14ac:dyDescent="0.2">
      <c r="A908" s="5" t="s">
        <v>880</v>
      </c>
      <c r="B908" s="6" t="s">
        <v>36</v>
      </c>
      <c r="C908" s="6" t="s">
        <v>45</v>
      </c>
      <c r="D908" s="72" t="str">
        <f t="shared" si="17"/>
        <v>069_O_c</v>
      </c>
      <c r="E908" s="72">
        <v>75</v>
      </c>
      <c r="F908" s="72" t="s">
        <v>82</v>
      </c>
      <c r="G908" s="72" t="s">
        <v>887</v>
      </c>
    </row>
    <row r="909" spans="1:7" x14ac:dyDescent="0.2">
      <c r="A909" s="5" t="s">
        <v>880</v>
      </c>
      <c r="B909" s="6" t="s">
        <v>27</v>
      </c>
      <c r="C909" s="6" t="s">
        <v>45</v>
      </c>
      <c r="D909" s="72" t="str">
        <f t="shared" si="17"/>
        <v>069_S_c</v>
      </c>
      <c r="E909" s="72">
        <v>86</v>
      </c>
      <c r="F909" s="72" t="s">
        <v>70</v>
      </c>
      <c r="G909" s="72" t="s">
        <v>888</v>
      </c>
    </row>
    <row r="910" spans="1:7" x14ac:dyDescent="0.2">
      <c r="A910" s="5" t="s">
        <v>880</v>
      </c>
      <c r="B910" s="6" t="s">
        <v>33</v>
      </c>
      <c r="C910" s="6" t="s">
        <v>45</v>
      </c>
      <c r="D910" s="72" t="str">
        <f t="shared" si="17"/>
        <v>069_V_c</v>
      </c>
      <c r="E910" s="72">
        <v>98</v>
      </c>
      <c r="F910" s="72" t="s">
        <v>41</v>
      </c>
      <c r="G910" s="72" t="s">
        <v>889</v>
      </c>
    </row>
    <row r="911" spans="1:7" x14ac:dyDescent="0.2">
      <c r="A911" s="5" t="s">
        <v>893</v>
      </c>
      <c r="B911" s="6" t="s">
        <v>36</v>
      </c>
      <c r="C911" s="6" t="s">
        <v>45</v>
      </c>
      <c r="D911" s="72" t="str">
        <f t="shared" si="17"/>
        <v>070_O_c</v>
      </c>
      <c r="E911" s="72">
        <v>94</v>
      </c>
      <c r="F911" s="72" t="s">
        <v>29</v>
      </c>
      <c r="G911" s="72" t="s">
        <v>900</v>
      </c>
    </row>
    <row r="912" spans="1:7" x14ac:dyDescent="0.2">
      <c r="A912" s="5" t="s">
        <v>893</v>
      </c>
      <c r="B912" s="6" t="s">
        <v>27</v>
      </c>
      <c r="C912" s="6" t="s">
        <v>45</v>
      </c>
      <c r="D912" s="72" t="str">
        <f t="shared" si="17"/>
        <v>070_S_c</v>
      </c>
      <c r="E912" s="72">
        <v>108</v>
      </c>
      <c r="F912" s="72" t="s">
        <v>68</v>
      </c>
      <c r="G912" s="72" t="s">
        <v>902</v>
      </c>
    </row>
    <row r="913" spans="1:7" x14ac:dyDescent="0.2">
      <c r="A913" s="5" t="s">
        <v>893</v>
      </c>
      <c r="B913" s="6" t="s">
        <v>33</v>
      </c>
      <c r="C913" s="6" t="s">
        <v>45</v>
      </c>
      <c r="D913" s="72" t="str">
        <f t="shared" si="17"/>
        <v>070_V_c</v>
      </c>
      <c r="E913" s="72">
        <v>101</v>
      </c>
      <c r="F913" s="72" t="s">
        <v>70</v>
      </c>
      <c r="G913" s="72" t="s">
        <v>901</v>
      </c>
    </row>
    <row r="914" spans="1:7" x14ac:dyDescent="0.2">
      <c r="A914" s="5" t="s">
        <v>907</v>
      </c>
      <c r="B914" s="6" t="s">
        <v>36</v>
      </c>
      <c r="C914" s="6" t="s">
        <v>45</v>
      </c>
      <c r="D914" s="72" t="str">
        <f t="shared" si="17"/>
        <v>071_O_c</v>
      </c>
      <c r="E914" s="72">
        <v>101</v>
      </c>
      <c r="F914" s="72" t="s">
        <v>49</v>
      </c>
      <c r="G914" s="72" t="s">
        <v>916</v>
      </c>
    </row>
    <row r="915" spans="1:7" x14ac:dyDescent="0.2">
      <c r="A915" s="5" t="s">
        <v>907</v>
      </c>
      <c r="B915" s="6" t="s">
        <v>27</v>
      </c>
      <c r="C915" s="6" t="s">
        <v>45</v>
      </c>
      <c r="D915" s="72" t="str">
        <f t="shared" si="17"/>
        <v>071_S_c</v>
      </c>
      <c r="E915" s="72">
        <v>95</v>
      </c>
      <c r="F915" s="72" t="s">
        <v>43</v>
      </c>
      <c r="G915" s="72" t="s">
        <v>914</v>
      </c>
    </row>
    <row r="916" spans="1:7" x14ac:dyDescent="0.2">
      <c r="A916" s="5" t="s">
        <v>907</v>
      </c>
      <c r="B916" s="6" t="s">
        <v>33</v>
      </c>
      <c r="C916" s="6" t="s">
        <v>45</v>
      </c>
      <c r="D916" s="72" t="str">
        <f t="shared" si="17"/>
        <v>071_V_c</v>
      </c>
      <c r="E916" s="72">
        <v>100</v>
      </c>
      <c r="F916" s="72" t="s">
        <v>70</v>
      </c>
      <c r="G916" s="72" t="s">
        <v>915</v>
      </c>
    </row>
    <row r="917" spans="1:7" x14ac:dyDescent="0.2">
      <c r="A917" s="5" t="s">
        <v>920</v>
      </c>
      <c r="B917" s="6" t="s">
        <v>36</v>
      </c>
      <c r="C917" s="6" t="s">
        <v>45</v>
      </c>
      <c r="D917" s="72" t="str">
        <f t="shared" si="17"/>
        <v>072_O_c</v>
      </c>
      <c r="E917" s="72">
        <v>78</v>
      </c>
      <c r="F917" s="72" t="s">
        <v>43</v>
      </c>
      <c r="G917" s="72" t="s">
        <v>928</v>
      </c>
    </row>
    <row r="918" spans="1:7" x14ac:dyDescent="0.2">
      <c r="A918" s="5" t="s">
        <v>920</v>
      </c>
      <c r="B918" s="6" t="s">
        <v>27</v>
      </c>
      <c r="C918" s="6" t="s">
        <v>45</v>
      </c>
      <c r="D918" s="72" t="str">
        <f t="shared" si="17"/>
        <v>072_S_c</v>
      </c>
      <c r="E918" s="72">
        <v>90</v>
      </c>
      <c r="F918" s="72" t="s">
        <v>70</v>
      </c>
      <c r="G918" s="72" t="s">
        <v>929</v>
      </c>
    </row>
    <row r="919" spans="1:7" x14ac:dyDescent="0.2">
      <c r="A919" s="5" t="s">
        <v>920</v>
      </c>
      <c r="B919" s="6" t="s">
        <v>33</v>
      </c>
      <c r="C919" s="6" t="s">
        <v>45</v>
      </c>
      <c r="D919" s="72" t="str">
        <f t="shared" si="17"/>
        <v>072_V_c</v>
      </c>
      <c r="E919" s="72">
        <v>77</v>
      </c>
      <c r="F919" s="72" t="s">
        <v>63</v>
      </c>
      <c r="G919" s="72" t="s">
        <v>927</v>
      </c>
    </row>
    <row r="920" spans="1:7" x14ac:dyDescent="0.2">
      <c r="A920" s="5" t="s">
        <v>933</v>
      </c>
      <c r="B920" s="6" t="s">
        <v>36</v>
      </c>
      <c r="C920" s="6" t="s">
        <v>45</v>
      </c>
      <c r="D920" s="72" t="str">
        <f t="shared" si="17"/>
        <v>073_O_c</v>
      </c>
      <c r="E920" s="72">
        <v>93</v>
      </c>
      <c r="F920" s="72" t="s">
        <v>63</v>
      </c>
      <c r="G920" s="72" t="s">
        <v>942</v>
      </c>
    </row>
    <row r="921" spans="1:7" x14ac:dyDescent="0.2">
      <c r="A921" s="5" t="s">
        <v>933</v>
      </c>
      <c r="B921" s="6" t="s">
        <v>27</v>
      </c>
      <c r="C921" s="6" t="s">
        <v>45</v>
      </c>
      <c r="D921" s="72" t="str">
        <f t="shared" si="17"/>
        <v>073_S_c</v>
      </c>
      <c r="E921" s="72">
        <v>87</v>
      </c>
      <c r="F921" s="72" t="s">
        <v>82</v>
      </c>
      <c r="G921" s="72" t="s">
        <v>941</v>
      </c>
    </row>
    <row r="922" spans="1:7" x14ac:dyDescent="0.2">
      <c r="A922" s="5" t="s">
        <v>933</v>
      </c>
      <c r="B922" s="6" t="s">
        <v>33</v>
      </c>
      <c r="C922" s="6" t="s">
        <v>45</v>
      </c>
      <c r="D922" s="72" t="str">
        <f t="shared" si="17"/>
        <v>073_V_c</v>
      </c>
      <c r="E922" s="72">
        <v>74</v>
      </c>
      <c r="F922" s="72" t="s">
        <v>49</v>
      </c>
      <c r="G922" s="72" t="s">
        <v>940</v>
      </c>
    </row>
    <row r="923" spans="1:7" x14ac:dyDescent="0.2">
      <c r="A923" s="5" t="s">
        <v>946</v>
      </c>
      <c r="B923" s="6" t="s">
        <v>36</v>
      </c>
      <c r="C923" s="6" t="s">
        <v>45</v>
      </c>
      <c r="D923" s="72" t="str">
        <f t="shared" si="17"/>
        <v>074_O_c</v>
      </c>
      <c r="E923" s="72">
        <v>93</v>
      </c>
      <c r="F923" s="72" t="s">
        <v>34</v>
      </c>
      <c r="G923" s="72" t="s">
        <v>955</v>
      </c>
    </row>
    <row r="924" spans="1:7" x14ac:dyDescent="0.2">
      <c r="A924" s="5" t="s">
        <v>946</v>
      </c>
      <c r="B924" s="6" t="s">
        <v>27</v>
      </c>
      <c r="C924" s="6" t="s">
        <v>45</v>
      </c>
      <c r="D924" s="72" t="str">
        <f t="shared" si="17"/>
        <v>074_S_c</v>
      </c>
      <c r="E924" s="72">
        <v>80</v>
      </c>
      <c r="F924" s="72" t="s">
        <v>82</v>
      </c>
      <c r="G924" s="72" t="s">
        <v>954</v>
      </c>
    </row>
    <row r="925" spans="1:7" x14ac:dyDescent="0.2">
      <c r="A925" s="5" t="s">
        <v>946</v>
      </c>
      <c r="B925" s="6" t="s">
        <v>33</v>
      </c>
      <c r="C925" s="6" t="s">
        <v>45</v>
      </c>
      <c r="D925" s="72" t="str">
        <f t="shared" si="17"/>
        <v>074_V_c</v>
      </c>
      <c r="E925" s="72">
        <v>78</v>
      </c>
      <c r="F925" s="72" t="s">
        <v>70</v>
      </c>
      <c r="G925" s="72" t="s">
        <v>953</v>
      </c>
    </row>
    <row r="926" spans="1:7" x14ac:dyDescent="0.2">
      <c r="A926" s="5" t="s">
        <v>959</v>
      </c>
      <c r="B926" s="6" t="s">
        <v>36</v>
      </c>
      <c r="C926" s="6" t="s">
        <v>45</v>
      </c>
      <c r="D926" s="72" t="str">
        <f t="shared" si="17"/>
        <v>075_O_c</v>
      </c>
      <c r="E926" s="72">
        <v>96</v>
      </c>
      <c r="F926" s="72" t="s">
        <v>63</v>
      </c>
      <c r="G926" s="72" t="s">
        <v>967</v>
      </c>
    </row>
    <row r="927" spans="1:7" x14ac:dyDescent="0.2">
      <c r="A927" s="5" t="s">
        <v>959</v>
      </c>
      <c r="B927" s="6" t="s">
        <v>27</v>
      </c>
      <c r="C927" s="6" t="s">
        <v>45</v>
      </c>
      <c r="D927" s="72" t="str">
        <f t="shared" si="17"/>
        <v>075_S_c</v>
      </c>
      <c r="E927" s="72">
        <v>80</v>
      </c>
      <c r="F927" s="72" t="s">
        <v>49</v>
      </c>
      <c r="G927" s="72" t="s">
        <v>966</v>
      </c>
    </row>
    <row r="928" spans="1:7" x14ac:dyDescent="0.2">
      <c r="A928" s="5" t="s">
        <v>959</v>
      </c>
      <c r="B928" s="6" t="s">
        <v>33</v>
      </c>
      <c r="C928" s="6" t="s">
        <v>45</v>
      </c>
      <c r="D928" s="72" t="str">
        <f t="shared" si="17"/>
        <v>075_V_c</v>
      </c>
      <c r="E928" s="72">
        <v>104</v>
      </c>
      <c r="F928" s="72" t="s">
        <v>63</v>
      </c>
      <c r="G928" s="72" t="s">
        <v>968</v>
      </c>
    </row>
    <row r="929" spans="1:7" x14ac:dyDescent="0.2">
      <c r="A929" s="5" t="s">
        <v>972</v>
      </c>
      <c r="B929" s="6" t="s">
        <v>36</v>
      </c>
      <c r="C929" s="6" t="s">
        <v>45</v>
      </c>
      <c r="D929" s="72" t="str">
        <f t="shared" si="17"/>
        <v>076_O_c</v>
      </c>
      <c r="E929" s="72">
        <v>74</v>
      </c>
      <c r="F929" s="72" t="s">
        <v>39</v>
      </c>
      <c r="G929" s="72" t="s">
        <v>980</v>
      </c>
    </row>
    <row r="930" spans="1:7" x14ac:dyDescent="0.2">
      <c r="A930" s="5" t="s">
        <v>972</v>
      </c>
      <c r="B930" s="6" t="s">
        <v>27</v>
      </c>
      <c r="C930" s="6" t="s">
        <v>45</v>
      </c>
      <c r="D930" s="72" t="str">
        <f t="shared" si="17"/>
        <v>076_S_c</v>
      </c>
      <c r="E930" s="72">
        <v>76</v>
      </c>
      <c r="F930" s="72" t="s">
        <v>39</v>
      </c>
      <c r="G930" s="72" t="s">
        <v>981</v>
      </c>
    </row>
    <row r="931" spans="1:7" x14ac:dyDescent="0.2">
      <c r="A931" s="5" t="s">
        <v>972</v>
      </c>
      <c r="B931" s="6" t="s">
        <v>33</v>
      </c>
      <c r="C931" s="6" t="s">
        <v>45</v>
      </c>
      <c r="D931" s="72" t="str">
        <f t="shared" si="17"/>
        <v>076_V_c</v>
      </c>
      <c r="E931" s="72">
        <v>73</v>
      </c>
      <c r="F931" s="72" t="s">
        <v>63</v>
      </c>
      <c r="G931" s="72" t="s">
        <v>979</v>
      </c>
    </row>
    <row r="932" spans="1:7" x14ac:dyDescent="0.2">
      <c r="A932" s="5" t="s">
        <v>985</v>
      </c>
      <c r="B932" s="6" t="s">
        <v>36</v>
      </c>
      <c r="C932" s="6" t="s">
        <v>45</v>
      </c>
      <c r="D932" s="72" t="str">
        <f t="shared" si="17"/>
        <v>077_O_c</v>
      </c>
      <c r="E932" s="72">
        <v>95</v>
      </c>
      <c r="F932" s="72" t="s">
        <v>68</v>
      </c>
      <c r="G932" s="72" t="s">
        <v>992</v>
      </c>
    </row>
    <row r="933" spans="1:7" x14ac:dyDescent="0.2">
      <c r="A933" s="5" t="s">
        <v>985</v>
      </c>
      <c r="B933" s="6" t="s">
        <v>27</v>
      </c>
      <c r="C933" s="6" t="s">
        <v>45</v>
      </c>
      <c r="D933" s="72" t="str">
        <f t="shared" si="17"/>
        <v>077_S_c</v>
      </c>
      <c r="E933" s="72">
        <v>96</v>
      </c>
      <c r="F933" s="72" t="s">
        <v>82</v>
      </c>
      <c r="G933" s="72" t="s">
        <v>993</v>
      </c>
    </row>
    <row r="934" spans="1:7" x14ac:dyDescent="0.2">
      <c r="A934" s="5" t="s">
        <v>985</v>
      </c>
      <c r="B934" s="6" t="s">
        <v>33</v>
      </c>
      <c r="C934" s="6" t="s">
        <v>45</v>
      </c>
      <c r="D934" s="72" t="str">
        <f t="shared" si="17"/>
        <v>077_V_c</v>
      </c>
      <c r="E934" s="72">
        <v>108</v>
      </c>
      <c r="F934" s="72" t="s">
        <v>82</v>
      </c>
      <c r="G934" s="72" t="s">
        <v>994</v>
      </c>
    </row>
    <row r="935" spans="1:7" x14ac:dyDescent="0.2">
      <c r="A935" s="5" t="s">
        <v>998</v>
      </c>
      <c r="B935" s="6" t="s">
        <v>36</v>
      </c>
      <c r="C935" s="6" t="s">
        <v>45</v>
      </c>
      <c r="D935" s="72" t="str">
        <f t="shared" si="17"/>
        <v>078_O_c</v>
      </c>
      <c r="E935" s="72">
        <v>80</v>
      </c>
      <c r="F935" s="72" t="s">
        <v>34</v>
      </c>
      <c r="G935" s="72" t="s">
        <v>1006</v>
      </c>
    </row>
    <row r="936" spans="1:7" x14ac:dyDescent="0.2">
      <c r="A936" s="5" t="s">
        <v>998</v>
      </c>
      <c r="B936" s="6" t="s">
        <v>27</v>
      </c>
      <c r="C936" s="6" t="s">
        <v>45</v>
      </c>
      <c r="D936" s="72" t="str">
        <f t="shared" si="17"/>
        <v>078_S_c</v>
      </c>
      <c r="E936" s="72">
        <v>87</v>
      </c>
      <c r="F936" s="72" t="s">
        <v>41</v>
      </c>
      <c r="G936" s="72" t="s">
        <v>1008</v>
      </c>
    </row>
    <row r="937" spans="1:7" x14ac:dyDescent="0.2">
      <c r="A937" s="5" t="s">
        <v>998</v>
      </c>
      <c r="B937" s="6" t="s">
        <v>33</v>
      </c>
      <c r="C937" s="6" t="s">
        <v>45</v>
      </c>
      <c r="D937" s="72" t="str">
        <f t="shared" si="17"/>
        <v>078_V_c</v>
      </c>
      <c r="E937" s="72">
        <v>100</v>
      </c>
      <c r="F937" s="72" t="s">
        <v>41</v>
      </c>
      <c r="G937" s="72" t="s">
        <v>1009</v>
      </c>
    </row>
    <row r="938" spans="1:7" x14ac:dyDescent="0.2">
      <c r="A938" s="5" t="s">
        <v>1013</v>
      </c>
      <c r="B938" s="6" t="s">
        <v>36</v>
      </c>
      <c r="C938" s="6" t="s">
        <v>45</v>
      </c>
      <c r="D938" s="72" t="str">
        <f t="shared" si="17"/>
        <v>079_O_c</v>
      </c>
      <c r="E938" s="72">
        <v>104</v>
      </c>
      <c r="F938" s="72" t="s">
        <v>43</v>
      </c>
      <c r="G938" s="72" t="s">
        <v>1022</v>
      </c>
    </row>
    <row r="939" spans="1:7" x14ac:dyDescent="0.2">
      <c r="A939" s="5" t="s">
        <v>1013</v>
      </c>
      <c r="B939" s="6" t="s">
        <v>27</v>
      </c>
      <c r="C939" s="6" t="s">
        <v>45</v>
      </c>
      <c r="D939" s="72" t="str">
        <f t="shared" si="17"/>
        <v>079_S_c</v>
      </c>
      <c r="E939" s="72">
        <v>107</v>
      </c>
      <c r="F939" s="72" t="s">
        <v>70</v>
      </c>
      <c r="G939" s="72" t="s">
        <v>1023</v>
      </c>
    </row>
    <row r="940" spans="1:7" x14ac:dyDescent="0.2">
      <c r="A940" s="5" t="s">
        <v>1013</v>
      </c>
      <c r="B940" s="6" t="s">
        <v>33</v>
      </c>
      <c r="C940" s="6" t="s">
        <v>45</v>
      </c>
      <c r="D940" s="72" t="str">
        <f t="shared" si="17"/>
        <v>079_V_c</v>
      </c>
      <c r="E940" s="72">
        <v>96</v>
      </c>
      <c r="F940" s="72" t="s">
        <v>49</v>
      </c>
      <c r="G940" s="72" t="s">
        <v>1021</v>
      </c>
    </row>
    <row r="941" spans="1:7" x14ac:dyDescent="0.2">
      <c r="A941" s="5" t="s">
        <v>1027</v>
      </c>
      <c r="B941" s="6" t="s">
        <v>36</v>
      </c>
      <c r="C941" s="6" t="s">
        <v>45</v>
      </c>
      <c r="D941" s="72" t="str">
        <f t="shared" si="17"/>
        <v>080_O_c</v>
      </c>
      <c r="E941" s="72">
        <v>92</v>
      </c>
      <c r="F941" s="72" t="s">
        <v>43</v>
      </c>
      <c r="G941" s="72" t="s">
        <v>1035</v>
      </c>
    </row>
    <row r="942" spans="1:7" x14ac:dyDescent="0.2">
      <c r="A942" s="5" t="s">
        <v>1027</v>
      </c>
      <c r="B942" s="6" t="s">
        <v>27</v>
      </c>
      <c r="C942" s="6" t="s">
        <v>45</v>
      </c>
      <c r="D942" s="72" t="str">
        <f t="shared" si="17"/>
        <v>080_S_c</v>
      </c>
      <c r="E942" s="72">
        <v>87</v>
      </c>
      <c r="F942" s="72" t="s">
        <v>34</v>
      </c>
      <c r="G942" s="72" t="s">
        <v>1034</v>
      </c>
    </row>
    <row r="943" spans="1:7" x14ac:dyDescent="0.2">
      <c r="A943" s="5" t="s">
        <v>1027</v>
      </c>
      <c r="B943" s="6" t="s">
        <v>33</v>
      </c>
      <c r="C943" s="6" t="s">
        <v>45</v>
      </c>
      <c r="D943" s="72" t="str">
        <f t="shared" si="17"/>
        <v>080_V_c</v>
      </c>
      <c r="E943" s="72">
        <v>101</v>
      </c>
      <c r="F943" s="72" t="s">
        <v>34</v>
      </c>
      <c r="G943" s="72" t="s">
        <v>1036</v>
      </c>
    </row>
    <row r="944" spans="1:7" x14ac:dyDescent="0.2">
      <c r="A944" s="5" t="s">
        <v>1042</v>
      </c>
      <c r="B944" s="6" t="s">
        <v>36</v>
      </c>
      <c r="C944" s="6" t="s">
        <v>45</v>
      </c>
      <c r="D944" s="72" t="str">
        <f t="shared" si="17"/>
        <v>081_O_c</v>
      </c>
      <c r="E944" s="72">
        <v>85</v>
      </c>
      <c r="F944" s="72" t="s">
        <v>39</v>
      </c>
      <c r="G944" s="72" t="s">
        <v>1050</v>
      </c>
    </row>
    <row r="945" spans="1:7" x14ac:dyDescent="0.2">
      <c r="A945" s="5" t="s">
        <v>1042</v>
      </c>
      <c r="B945" s="6" t="s">
        <v>27</v>
      </c>
      <c r="C945" s="6" t="s">
        <v>45</v>
      </c>
      <c r="D945" s="72" t="str">
        <f t="shared" si="17"/>
        <v>081_S_c</v>
      </c>
      <c r="E945" s="72">
        <v>73</v>
      </c>
      <c r="F945" s="72" t="s">
        <v>70</v>
      </c>
      <c r="G945" s="72" t="s">
        <v>1049</v>
      </c>
    </row>
    <row r="946" spans="1:7" x14ac:dyDescent="0.2">
      <c r="A946" s="5" t="s">
        <v>1042</v>
      </c>
      <c r="B946" s="6" t="s">
        <v>33</v>
      </c>
      <c r="C946" s="6" t="s">
        <v>45</v>
      </c>
      <c r="D946" s="72" t="str">
        <f t="shared" si="17"/>
        <v>081_V_c</v>
      </c>
      <c r="E946" s="72">
        <v>103</v>
      </c>
      <c r="F946" s="72" t="s">
        <v>39</v>
      </c>
      <c r="G946" s="72" t="s">
        <v>1051</v>
      </c>
    </row>
    <row r="947" spans="1:7" x14ac:dyDescent="0.2">
      <c r="A947" s="5" t="s">
        <v>1056</v>
      </c>
      <c r="B947" s="6" t="s">
        <v>36</v>
      </c>
      <c r="C947" s="6" t="s">
        <v>45</v>
      </c>
      <c r="D947" s="72" t="str">
        <f t="shared" si="17"/>
        <v>082_O_c</v>
      </c>
      <c r="E947" s="72">
        <v>99</v>
      </c>
      <c r="F947" s="72" t="s">
        <v>43</v>
      </c>
      <c r="G947" s="72" t="s">
        <v>1064</v>
      </c>
    </row>
    <row r="948" spans="1:7" x14ac:dyDescent="0.2">
      <c r="A948" s="5" t="s">
        <v>1056</v>
      </c>
      <c r="B948" s="6" t="s">
        <v>27</v>
      </c>
      <c r="C948" s="6" t="s">
        <v>45</v>
      </c>
      <c r="D948" s="72" t="str">
        <f t="shared" si="17"/>
        <v>082_S_c</v>
      </c>
      <c r="E948" s="72">
        <v>107</v>
      </c>
      <c r="F948" s="72" t="s">
        <v>29</v>
      </c>
      <c r="G948" s="72" t="s">
        <v>1065</v>
      </c>
    </row>
    <row r="949" spans="1:7" x14ac:dyDescent="0.2">
      <c r="A949" s="5" t="s">
        <v>1056</v>
      </c>
      <c r="B949" s="6" t="s">
        <v>33</v>
      </c>
      <c r="C949" s="6" t="s">
        <v>45</v>
      </c>
      <c r="D949" s="72" t="str">
        <f t="shared" si="17"/>
        <v>082_V_c</v>
      </c>
      <c r="E949" s="72">
        <v>84</v>
      </c>
      <c r="F949" s="72" t="s">
        <v>34</v>
      </c>
      <c r="G949" s="72" t="s">
        <v>1063</v>
      </c>
    </row>
    <row r="950" spans="1:7" x14ac:dyDescent="0.2">
      <c r="A950" s="5" t="s">
        <v>1069</v>
      </c>
      <c r="B950" s="6" t="s">
        <v>36</v>
      </c>
      <c r="C950" s="6" t="s">
        <v>45</v>
      </c>
      <c r="D950" s="72" t="str">
        <f t="shared" si="17"/>
        <v>083_O_c</v>
      </c>
      <c r="E950" s="72">
        <v>93</v>
      </c>
      <c r="F950" s="72" t="s">
        <v>68</v>
      </c>
      <c r="G950" s="72" t="s">
        <v>1078</v>
      </c>
    </row>
    <row r="951" spans="1:7" x14ac:dyDescent="0.2">
      <c r="A951" s="5" t="s">
        <v>1069</v>
      </c>
      <c r="B951" s="6" t="s">
        <v>27</v>
      </c>
      <c r="C951" s="6" t="s">
        <v>45</v>
      </c>
      <c r="D951" s="72" t="str">
        <f t="shared" si="17"/>
        <v>083_S_c</v>
      </c>
      <c r="E951" s="72">
        <v>85</v>
      </c>
      <c r="F951" s="72" t="s">
        <v>63</v>
      </c>
      <c r="G951" s="72" t="s">
        <v>1077</v>
      </c>
    </row>
    <row r="952" spans="1:7" x14ac:dyDescent="0.2">
      <c r="A952" s="5" t="s">
        <v>1069</v>
      </c>
      <c r="B952" s="6" t="s">
        <v>33</v>
      </c>
      <c r="C952" s="6" t="s">
        <v>45</v>
      </c>
      <c r="D952" s="72" t="str">
        <f t="shared" si="17"/>
        <v>083_V_c</v>
      </c>
      <c r="E952" s="72">
        <v>75</v>
      </c>
      <c r="F952" s="72" t="s">
        <v>41</v>
      </c>
      <c r="G952" s="72" t="s">
        <v>1076</v>
      </c>
    </row>
    <row r="953" spans="1:7" x14ac:dyDescent="0.2">
      <c r="A953" s="5" t="s">
        <v>1082</v>
      </c>
      <c r="B953" s="6" t="s">
        <v>36</v>
      </c>
      <c r="C953" s="6" t="s">
        <v>45</v>
      </c>
      <c r="D953" s="72" t="str">
        <f t="shared" si="17"/>
        <v>084_O_c</v>
      </c>
      <c r="E953" s="72">
        <v>105</v>
      </c>
      <c r="F953" s="72" t="s">
        <v>29</v>
      </c>
      <c r="G953" s="72" t="s">
        <v>1091</v>
      </c>
    </row>
    <row r="954" spans="1:7" x14ac:dyDescent="0.2">
      <c r="A954" s="5" t="s">
        <v>1082</v>
      </c>
      <c r="B954" s="6" t="s">
        <v>27</v>
      </c>
      <c r="C954" s="6" t="s">
        <v>45</v>
      </c>
      <c r="D954" s="72" t="str">
        <f t="shared" si="17"/>
        <v>084_S_c</v>
      </c>
      <c r="E954" s="72">
        <v>95</v>
      </c>
      <c r="F954" s="72" t="s">
        <v>41</v>
      </c>
      <c r="G954" s="72" t="s">
        <v>1090</v>
      </c>
    </row>
    <row r="955" spans="1:7" x14ac:dyDescent="0.2">
      <c r="A955" s="5" t="s">
        <v>1082</v>
      </c>
      <c r="B955" s="6" t="s">
        <v>33</v>
      </c>
      <c r="C955" s="6" t="s">
        <v>45</v>
      </c>
      <c r="D955" s="72" t="str">
        <f t="shared" si="17"/>
        <v>084_V_c</v>
      </c>
      <c r="E955" s="72">
        <v>86</v>
      </c>
      <c r="F955" s="72" t="s">
        <v>63</v>
      </c>
      <c r="G955" s="72" t="s">
        <v>1089</v>
      </c>
    </row>
    <row r="956" spans="1:7" x14ac:dyDescent="0.2">
      <c r="A956" s="5" t="s">
        <v>1095</v>
      </c>
      <c r="B956" s="6" t="s">
        <v>36</v>
      </c>
      <c r="C956" s="6" t="s">
        <v>45</v>
      </c>
      <c r="D956" s="72" t="str">
        <f t="shared" si="17"/>
        <v>085_O_c</v>
      </c>
      <c r="E956" s="72">
        <v>106</v>
      </c>
      <c r="F956" s="72" t="s">
        <v>43</v>
      </c>
      <c r="G956" s="72" t="s">
        <v>1104</v>
      </c>
    </row>
    <row r="957" spans="1:7" x14ac:dyDescent="0.2">
      <c r="A957" s="5" t="s">
        <v>1095</v>
      </c>
      <c r="B957" s="6" t="s">
        <v>27</v>
      </c>
      <c r="C957" s="6" t="s">
        <v>45</v>
      </c>
      <c r="D957" s="72" t="str">
        <f t="shared" si="17"/>
        <v>085_S_c</v>
      </c>
      <c r="E957" s="72">
        <v>92</v>
      </c>
      <c r="F957" s="72" t="s">
        <v>70</v>
      </c>
      <c r="G957" s="72" t="s">
        <v>1103</v>
      </c>
    </row>
    <row r="958" spans="1:7" x14ac:dyDescent="0.2">
      <c r="A958" s="5" t="s">
        <v>1095</v>
      </c>
      <c r="B958" s="6" t="s">
        <v>33</v>
      </c>
      <c r="C958" s="6" t="s">
        <v>45</v>
      </c>
      <c r="D958" s="72" t="str">
        <f t="shared" si="17"/>
        <v>085_V_c</v>
      </c>
      <c r="E958" s="72">
        <v>85</v>
      </c>
      <c r="F958" s="72" t="s">
        <v>43</v>
      </c>
      <c r="G958" s="72" t="s">
        <v>1102</v>
      </c>
    </row>
    <row r="959" spans="1:7" x14ac:dyDescent="0.2">
      <c r="A959" s="5" t="s">
        <v>1108</v>
      </c>
      <c r="B959" s="6" t="s">
        <v>36</v>
      </c>
      <c r="C959" s="6" t="s">
        <v>45</v>
      </c>
      <c r="D959" s="72" t="str">
        <f t="shared" si="17"/>
        <v>086_O_c</v>
      </c>
      <c r="E959" s="72">
        <v>88</v>
      </c>
      <c r="F959" s="72" t="s">
        <v>29</v>
      </c>
      <c r="G959" s="72" t="s">
        <v>1115</v>
      </c>
    </row>
    <row r="960" spans="1:7" x14ac:dyDescent="0.2">
      <c r="A960" s="5" t="s">
        <v>1108</v>
      </c>
      <c r="B960" s="6" t="s">
        <v>27</v>
      </c>
      <c r="C960" s="6" t="s">
        <v>45</v>
      </c>
      <c r="D960" s="72" t="str">
        <f t="shared" si="17"/>
        <v>086_S_c</v>
      </c>
      <c r="E960" s="72">
        <v>97</v>
      </c>
      <c r="F960" s="72" t="s">
        <v>43</v>
      </c>
      <c r="G960" s="72" t="s">
        <v>1116</v>
      </c>
    </row>
    <row r="961" spans="1:7" x14ac:dyDescent="0.2">
      <c r="A961" s="5" t="s">
        <v>1108</v>
      </c>
      <c r="B961" s="6" t="s">
        <v>33</v>
      </c>
      <c r="C961" s="6" t="s">
        <v>45</v>
      </c>
      <c r="D961" s="72" t="str">
        <f t="shared" si="17"/>
        <v>086_V_c</v>
      </c>
      <c r="E961" s="72">
        <v>99</v>
      </c>
      <c r="F961" s="72" t="s">
        <v>34</v>
      </c>
      <c r="G961" s="72" t="s">
        <v>1117</v>
      </c>
    </row>
    <row r="962" spans="1:7" x14ac:dyDescent="0.2">
      <c r="A962" s="5" t="s">
        <v>1121</v>
      </c>
      <c r="B962" s="6" t="s">
        <v>36</v>
      </c>
      <c r="C962" s="6" t="s">
        <v>45</v>
      </c>
      <c r="D962" s="72" t="str">
        <f t="shared" ref="D962:D1025" si="18">A962&amp;"_"&amp;B962&amp;"_"&amp;C962</f>
        <v>087_O_c</v>
      </c>
      <c r="E962" s="72">
        <v>86</v>
      </c>
      <c r="F962" s="72" t="s">
        <v>82</v>
      </c>
      <c r="G962" s="72" t="s">
        <v>1129</v>
      </c>
    </row>
    <row r="963" spans="1:7" x14ac:dyDescent="0.2">
      <c r="A963" s="5" t="s">
        <v>1121</v>
      </c>
      <c r="B963" s="6" t="s">
        <v>27</v>
      </c>
      <c r="C963" s="6" t="s">
        <v>45</v>
      </c>
      <c r="D963" s="72" t="str">
        <f t="shared" si="18"/>
        <v>087_S_c</v>
      </c>
      <c r="E963" s="72">
        <v>106</v>
      </c>
      <c r="F963" s="72" t="s">
        <v>63</v>
      </c>
      <c r="G963" s="72" t="s">
        <v>1130</v>
      </c>
    </row>
    <row r="964" spans="1:7" x14ac:dyDescent="0.2">
      <c r="A964" s="5" t="s">
        <v>1121</v>
      </c>
      <c r="B964" s="6" t="s">
        <v>33</v>
      </c>
      <c r="C964" s="6" t="s">
        <v>45</v>
      </c>
      <c r="D964" s="72" t="str">
        <f t="shared" si="18"/>
        <v>087_V_c</v>
      </c>
      <c r="E964" s="72">
        <v>82</v>
      </c>
      <c r="F964" s="72" t="s">
        <v>39</v>
      </c>
      <c r="G964" s="72" t="s">
        <v>1128</v>
      </c>
    </row>
    <row r="965" spans="1:7" x14ac:dyDescent="0.2">
      <c r="A965" s="5" t="s">
        <v>1135</v>
      </c>
      <c r="B965" s="6" t="s">
        <v>36</v>
      </c>
      <c r="C965" s="6" t="s">
        <v>45</v>
      </c>
      <c r="D965" s="72" t="str">
        <f t="shared" si="18"/>
        <v>088_O_c</v>
      </c>
      <c r="E965" s="72">
        <v>74</v>
      </c>
      <c r="F965" s="72" t="s">
        <v>68</v>
      </c>
      <c r="G965" s="72" t="s">
        <v>1142</v>
      </c>
    </row>
    <row r="966" spans="1:7" x14ac:dyDescent="0.2">
      <c r="A966" s="5" t="s">
        <v>1135</v>
      </c>
      <c r="B966" s="6" t="s">
        <v>27</v>
      </c>
      <c r="C966" s="6" t="s">
        <v>45</v>
      </c>
      <c r="D966" s="72" t="str">
        <f t="shared" si="18"/>
        <v>088_S_c</v>
      </c>
      <c r="E966" s="72">
        <v>102</v>
      </c>
      <c r="F966" s="72" t="s">
        <v>70</v>
      </c>
      <c r="G966" s="72" t="s">
        <v>1144</v>
      </c>
    </row>
    <row r="967" spans="1:7" x14ac:dyDescent="0.2">
      <c r="A967" s="5" t="s">
        <v>1135</v>
      </c>
      <c r="B967" s="6" t="s">
        <v>33</v>
      </c>
      <c r="C967" s="6" t="s">
        <v>45</v>
      </c>
      <c r="D967" s="72" t="str">
        <f t="shared" si="18"/>
        <v>088_V_c</v>
      </c>
      <c r="E967" s="72">
        <v>84</v>
      </c>
      <c r="F967" s="72" t="s">
        <v>29</v>
      </c>
      <c r="G967" s="72" t="s">
        <v>1143</v>
      </c>
    </row>
    <row r="968" spans="1:7" x14ac:dyDescent="0.2">
      <c r="A968" s="5" t="s">
        <v>1148</v>
      </c>
      <c r="B968" s="6" t="s">
        <v>36</v>
      </c>
      <c r="C968" s="6" t="s">
        <v>45</v>
      </c>
      <c r="D968" s="72" t="str">
        <f t="shared" si="18"/>
        <v>089_O_c</v>
      </c>
      <c r="E968" s="72">
        <v>93</v>
      </c>
      <c r="F968" s="72" t="s">
        <v>43</v>
      </c>
      <c r="G968" s="72" t="s">
        <v>1156</v>
      </c>
    </row>
    <row r="969" spans="1:7" x14ac:dyDescent="0.2">
      <c r="A969" s="5" t="s">
        <v>1148</v>
      </c>
      <c r="B969" s="6" t="s">
        <v>27</v>
      </c>
      <c r="C969" s="6" t="s">
        <v>45</v>
      </c>
      <c r="D969" s="72" t="str">
        <f t="shared" si="18"/>
        <v>089_S_c</v>
      </c>
      <c r="E969" s="72">
        <v>89</v>
      </c>
      <c r="F969" s="72" t="s">
        <v>41</v>
      </c>
      <c r="G969" s="72" t="s">
        <v>1155</v>
      </c>
    </row>
    <row r="970" spans="1:7" x14ac:dyDescent="0.2">
      <c r="A970" s="5" t="s">
        <v>1148</v>
      </c>
      <c r="B970" s="6" t="s">
        <v>33</v>
      </c>
      <c r="C970" s="6" t="s">
        <v>45</v>
      </c>
      <c r="D970" s="72" t="str">
        <f t="shared" si="18"/>
        <v>089_V_c</v>
      </c>
      <c r="E970" s="72">
        <v>98</v>
      </c>
      <c r="F970" s="72" t="s">
        <v>68</v>
      </c>
      <c r="G970" s="72" t="s">
        <v>1157</v>
      </c>
    </row>
    <row r="971" spans="1:7" x14ac:dyDescent="0.2">
      <c r="A971" s="5" t="s">
        <v>1161</v>
      </c>
      <c r="B971" s="6" t="s">
        <v>36</v>
      </c>
      <c r="C971" s="6" t="s">
        <v>45</v>
      </c>
      <c r="D971" s="72" t="str">
        <f t="shared" si="18"/>
        <v>090_O_c</v>
      </c>
      <c r="E971" s="72">
        <v>105</v>
      </c>
      <c r="F971" s="72" t="s">
        <v>63</v>
      </c>
      <c r="G971" s="72" t="s">
        <v>1170</v>
      </c>
    </row>
    <row r="972" spans="1:7" x14ac:dyDescent="0.2">
      <c r="A972" s="5" t="s">
        <v>1161</v>
      </c>
      <c r="B972" s="6" t="s">
        <v>27</v>
      </c>
      <c r="C972" s="6" t="s">
        <v>45</v>
      </c>
      <c r="D972" s="72" t="str">
        <f t="shared" si="18"/>
        <v>090_S_c</v>
      </c>
      <c r="E972" s="72">
        <v>73</v>
      </c>
      <c r="F972" s="72" t="s">
        <v>49</v>
      </c>
      <c r="G972" s="72" t="s">
        <v>1168</v>
      </c>
    </row>
    <row r="973" spans="1:7" x14ac:dyDescent="0.2">
      <c r="A973" s="5" t="s">
        <v>1161</v>
      </c>
      <c r="B973" s="6" t="s">
        <v>33</v>
      </c>
      <c r="C973" s="6" t="s">
        <v>45</v>
      </c>
      <c r="D973" s="72" t="str">
        <f t="shared" si="18"/>
        <v>090_V_c</v>
      </c>
      <c r="E973" s="72">
        <v>89</v>
      </c>
      <c r="F973" s="72" t="s">
        <v>68</v>
      </c>
      <c r="G973" s="72" t="s">
        <v>1169</v>
      </c>
    </row>
    <row r="974" spans="1:7" x14ac:dyDescent="0.2">
      <c r="A974" s="5" t="s">
        <v>1174</v>
      </c>
      <c r="B974" s="6" t="s">
        <v>36</v>
      </c>
      <c r="C974" s="6" t="s">
        <v>45</v>
      </c>
      <c r="D974" s="72" t="str">
        <f t="shared" si="18"/>
        <v>091_O_c</v>
      </c>
      <c r="E974" s="72">
        <v>93</v>
      </c>
      <c r="F974" s="72" t="s">
        <v>70</v>
      </c>
      <c r="G974" s="72" t="s">
        <v>1181</v>
      </c>
    </row>
    <row r="975" spans="1:7" x14ac:dyDescent="0.2">
      <c r="A975" s="5" t="s">
        <v>1174</v>
      </c>
      <c r="B975" s="6" t="s">
        <v>27</v>
      </c>
      <c r="C975" s="6" t="s">
        <v>45</v>
      </c>
      <c r="D975" s="72" t="str">
        <f t="shared" si="18"/>
        <v>091_S_c</v>
      </c>
      <c r="E975" s="72">
        <v>104</v>
      </c>
      <c r="F975" s="72" t="s">
        <v>29</v>
      </c>
      <c r="G975" s="72" t="s">
        <v>1183</v>
      </c>
    </row>
    <row r="976" spans="1:7" x14ac:dyDescent="0.2">
      <c r="A976" s="5" t="s">
        <v>1174</v>
      </c>
      <c r="B976" s="6" t="s">
        <v>33</v>
      </c>
      <c r="C976" s="6" t="s">
        <v>45</v>
      </c>
      <c r="D976" s="72" t="str">
        <f t="shared" si="18"/>
        <v>091_V_c</v>
      </c>
      <c r="E976" s="72">
        <v>97</v>
      </c>
      <c r="F976" s="72" t="s">
        <v>63</v>
      </c>
      <c r="G976" s="72" t="s">
        <v>1182</v>
      </c>
    </row>
    <row r="977" spans="1:7" x14ac:dyDescent="0.2">
      <c r="A977" s="5" t="s">
        <v>1187</v>
      </c>
      <c r="B977" s="6" t="s">
        <v>36</v>
      </c>
      <c r="C977" s="6" t="s">
        <v>45</v>
      </c>
      <c r="D977" s="72" t="str">
        <f t="shared" si="18"/>
        <v>092_O_c</v>
      </c>
      <c r="E977" s="72">
        <v>76</v>
      </c>
      <c r="F977" s="72" t="s">
        <v>70</v>
      </c>
      <c r="G977" s="72" t="s">
        <v>1194</v>
      </c>
    </row>
    <row r="978" spans="1:7" x14ac:dyDescent="0.2">
      <c r="A978" s="5" t="s">
        <v>1187</v>
      </c>
      <c r="B978" s="6" t="s">
        <v>27</v>
      </c>
      <c r="C978" s="6" t="s">
        <v>45</v>
      </c>
      <c r="D978" s="72" t="str">
        <f t="shared" si="18"/>
        <v>092_S_c</v>
      </c>
      <c r="E978" s="72">
        <v>79</v>
      </c>
      <c r="F978" s="72" t="s">
        <v>39</v>
      </c>
      <c r="G978" s="72" t="s">
        <v>1195</v>
      </c>
    </row>
    <row r="979" spans="1:7" x14ac:dyDescent="0.2">
      <c r="A979" s="5" t="s">
        <v>1187</v>
      </c>
      <c r="B979" s="6" t="s">
        <v>33</v>
      </c>
      <c r="C979" s="6" t="s">
        <v>45</v>
      </c>
      <c r="D979" s="72" t="str">
        <f t="shared" si="18"/>
        <v>092_V_c</v>
      </c>
      <c r="E979" s="72">
        <v>97</v>
      </c>
      <c r="F979" s="72" t="s">
        <v>70</v>
      </c>
      <c r="G979" s="72" t="s">
        <v>1196</v>
      </c>
    </row>
    <row r="980" spans="1:7" x14ac:dyDescent="0.2">
      <c r="A980" s="5" t="s">
        <v>1200</v>
      </c>
      <c r="B980" s="6" t="s">
        <v>36</v>
      </c>
      <c r="C980" s="6" t="s">
        <v>45</v>
      </c>
      <c r="D980" s="72" t="str">
        <f t="shared" si="18"/>
        <v>093_O_c</v>
      </c>
      <c r="E980" s="72">
        <v>92</v>
      </c>
      <c r="F980" s="72" t="s">
        <v>82</v>
      </c>
      <c r="G980" s="72" t="s">
        <v>1207</v>
      </c>
    </row>
    <row r="981" spans="1:7" x14ac:dyDescent="0.2">
      <c r="A981" s="5" t="s">
        <v>1200</v>
      </c>
      <c r="B981" s="6" t="s">
        <v>27</v>
      </c>
      <c r="C981" s="6" t="s">
        <v>45</v>
      </c>
      <c r="D981" s="72" t="str">
        <f t="shared" si="18"/>
        <v>093_S_c</v>
      </c>
      <c r="E981" s="72">
        <v>108</v>
      </c>
      <c r="F981" s="72" t="s">
        <v>70</v>
      </c>
      <c r="G981" s="72" t="s">
        <v>1209</v>
      </c>
    </row>
    <row r="982" spans="1:7" x14ac:dyDescent="0.2">
      <c r="A982" s="5" t="s">
        <v>1200</v>
      </c>
      <c r="B982" s="6" t="s">
        <v>33</v>
      </c>
      <c r="C982" s="6" t="s">
        <v>45</v>
      </c>
      <c r="D982" s="72" t="str">
        <f t="shared" si="18"/>
        <v>093_V_c</v>
      </c>
      <c r="E982" s="72">
        <v>104</v>
      </c>
      <c r="F982" s="72" t="s">
        <v>68</v>
      </c>
      <c r="G982" s="72" t="s">
        <v>1208</v>
      </c>
    </row>
    <row r="983" spans="1:7" x14ac:dyDescent="0.2">
      <c r="A983" s="5" t="s">
        <v>1213</v>
      </c>
      <c r="B983" s="6" t="s">
        <v>36</v>
      </c>
      <c r="C983" s="6" t="s">
        <v>45</v>
      </c>
      <c r="D983" s="72" t="str">
        <f t="shared" si="18"/>
        <v>094_O_c</v>
      </c>
      <c r="E983" s="72">
        <v>95</v>
      </c>
      <c r="F983" s="72" t="s">
        <v>82</v>
      </c>
      <c r="G983" s="72" t="s">
        <v>1222</v>
      </c>
    </row>
    <row r="984" spans="1:7" x14ac:dyDescent="0.2">
      <c r="A984" s="5" t="s">
        <v>1213</v>
      </c>
      <c r="B984" s="6" t="s">
        <v>27</v>
      </c>
      <c r="C984" s="6" t="s">
        <v>45</v>
      </c>
      <c r="D984" s="72" t="str">
        <f t="shared" si="18"/>
        <v>094_S_c</v>
      </c>
      <c r="E984" s="72">
        <v>81</v>
      </c>
      <c r="F984" s="72" t="s">
        <v>49</v>
      </c>
      <c r="G984" s="72" t="s">
        <v>1220</v>
      </c>
    </row>
    <row r="985" spans="1:7" x14ac:dyDescent="0.2">
      <c r="A985" s="5" t="s">
        <v>1213</v>
      </c>
      <c r="B985" s="6" t="s">
        <v>33</v>
      </c>
      <c r="C985" s="6" t="s">
        <v>45</v>
      </c>
      <c r="D985" s="72" t="str">
        <f t="shared" si="18"/>
        <v>094_V_c</v>
      </c>
      <c r="E985" s="72">
        <v>91</v>
      </c>
      <c r="F985" s="72" t="s">
        <v>68</v>
      </c>
      <c r="G985" s="72" t="s">
        <v>1221</v>
      </c>
    </row>
    <row r="986" spans="1:7" x14ac:dyDescent="0.2">
      <c r="A986" s="5" t="s">
        <v>1226</v>
      </c>
      <c r="B986" s="6" t="s">
        <v>36</v>
      </c>
      <c r="C986" s="6" t="s">
        <v>45</v>
      </c>
      <c r="D986" s="72" t="str">
        <f t="shared" si="18"/>
        <v>095_O_c</v>
      </c>
      <c r="E986" s="72">
        <v>105</v>
      </c>
      <c r="F986" s="72" t="s">
        <v>39</v>
      </c>
      <c r="G986" s="72" t="s">
        <v>1234</v>
      </c>
    </row>
    <row r="987" spans="1:7" x14ac:dyDescent="0.2">
      <c r="A987" s="5" t="s">
        <v>1226</v>
      </c>
      <c r="B987" s="6" t="s">
        <v>27</v>
      </c>
      <c r="C987" s="6" t="s">
        <v>45</v>
      </c>
      <c r="D987" s="72" t="str">
        <f t="shared" si="18"/>
        <v>095_S_c</v>
      </c>
      <c r="E987" s="72">
        <v>103</v>
      </c>
      <c r="F987" s="72" t="s">
        <v>29</v>
      </c>
      <c r="G987" s="72" t="s">
        <v>1233</v>
      </c>
    </row>
    <row r="988" spans="1:7" x14ac:dyDescent="0.2">
      <c r="A988" s="5" t="s">
        <v>1226</v>
      </c>
      <c r="B988" s="6" t="s">
        <v>33</v>
      </c>
      <c r="C988" s="6" t="s">
        <v>45</v>
      </c>
      <c r="D988" s="72" t="str">
        <f t="shared" si="18"/>
        <v>095_V_c</v>
      </c>
      <c r="E988" s="72">
        <v>107</v>
      </c>
      <c r="F988" s="72" t="s">
        <v>34</v>
      </c>
      <c r="G988" s="72" t="s">
        <v>1235</v>
      </c>
    </row>
    <row r="989" spans="1:7" x14ac:dyDescent="0.2">
      <c r="A989" s="5" t="s">
        <v>1239</v>
      </c>
      <c r="B989" s="6" t="s">
        <v>36</v>
      </c>
      <c r="C989" s="6" t="s">
        <v>45</v>
      </c>
      <c r="D989" s="72" t="str">
        <f t="shared" si="18"/>
        <v>096_O_c</v>
      </c>
      <c r="E989" s="72">
        <v>73</v>
      </c>
      <c r="F989" s="72" t="s">
        <v>29</v>
      </c>
      <c r="G989" s="72" t="s">
        <v>1246</v>
      </c>
    </row>
    <row r="990" spans="1:7" x14ac:dyDescent="0.2">
      <c r="A990" s="5" t="s">
        <v>1239</v>
      </c>
      <c r="B990" s="6" t="s">
        <v>27</v>
      </c>
      <c r="C990" s="6" t="s">
        <v>45</v>
      </c>
      <c r="D990" s="72" t="str">
        <f t="shared" si="18"/>
        <v>096_S_c</v>
      </c>
      <c r="E990" s="72">
        <v>83</v>
      </c>
      <c r="F990" s="72" t="s">
        <v>49</v>
      </c>
      <c r="G990" s="72" t="s">
        <v>1248</v>
      </c>
    </row>
    <row r="991" spans="1:7" x14ac:dyDescent="0.2">
      <c r="A991" s="5" t="s">
        <v>1239</v>
      </c>
      <c r="B991" s="6" t="s">
        <v>33</v>
      </c>
      <c r="C991" s="6" t="s">
        <v>45</v>
      </c>
      <c r="D991" s="72" t="str">
        <f t="shared" si="18"/>
        <v>096_V_c</v>
      </c>
      <c r="E991" s="72">
        <v>75</v>
      </c>
      <c r="F991" s="72" t="s">
        <v>43</v>
      </c>
      <c r="G991" s="72" t="s">
        <v>1247</v>
      </c>
    </row>
    <row r="992" spans="1:7" x14ac:dyDescent="0.2">
      <c r="A992" s="5" t="s">
        <v>1252</v>
      </c>
      <c r="B992" s="6" t="s">
        <v>36</v>
      </c>
      <c r="C992" s="6" t="s">
        <v>45</v>
      </c>
      <c r="D992" s="72" t="str">
        <f t="shared" si="18"/>
        <v>097_O_c</v>
      </c>
      <c r="E992" s="72">
        <v>100</v>
      </c>
      <c r="F992" s="72" t="s">
        <v>49</v>
      </c>
      <c r="G992" s="72" t="s">
        <v>1262</v>
      </c>
    </row>
    <row r="993" spans="1:7" x14ac:dyDescent="0.2">
      <c r="A993" s="5" t="s">
        <v>1252</v>
      </c>
      <c r="B993" s="6" t="s">
        <v>27</v>
      </c>
      <c r="C993" s="6" t="s">
        <v>45</v>
      </c>
      <c r="D993" s="72" t="str">
        <f t="shared" si="18"/>
        <v>097_S_c</v>
      </c>
      <c r="E993" s="72">
        <v>77</v>
      </c>
      <c r="F993" s="72" t="s">
        <v>34</v>
      </c>
      <c r="G993" s="72" t="s">
        <v>1260</v>
      </c>
    </row>
    <row r="994" spans="1:7" x14ac:dyDescent="0.2">
      <c r="A994" s="5" t="s">
        <v>1252</v>
      </c>
      <c r="B994" s="6" t="s">
        <v>33</v>
      </c>
      <c r="C994" s="6" t="s">
        <v>45</v>
      </c>
      <c r="D994" s="72" t="str">
        <f t="shared" si="18"/>
        <v>097_V_c</v>
      </c>
      <c r="E994" s="72">
        <v>96</v>
      </c>
      <c r="F994" s="72" t="s">
        <v>29</v>
      </c>
      <c r="G994" s="72" t="s">
        <v>1261</v>
      </c>
    </row>
    <row r="995" spans="1:7" x14ac:dyDescent="0.2">
      <c r="A995" s="5" t="s">
        <v>1266</v>
      </c>
      <c r="B995" s="6" t="s">
        <v>36</v>
      </c>
      <c r="C995" s="6" t="s">
        <v>45</v>
      </c>
      <c r="D995" s="72" t="str">
        <f t="shared" si="18"/>
        <v>098_O_c</v>
      </c>
      <c r="E995" s="72">
        <v>78</v>
      </c>
      <c r="F995" s="72" t="s">
        <v>68</v>
      </c>
      <c r="G995" s="72" t="s">
        <v>1274</v>
      </c>
    </row>
    <row r="996" spans="1:7" x14ac:dyDescent="0.2">
      <c r="A996" s="5" t="s">
        <v>1266</v>
      </c>
      <c r="B996" s="6" t="s">
        <v>27</v>
      </c>
      <c r="C996" s="6" t="s">
        <v>45</v>
      </c>
      <c r="D996" s="72" t="str">
        <f t="shared" si="18"/>
        <v>098_S_c</v>
      </c>
      <c r="E996" s="72">
        <v>94</v>
      </c>
      <c r="F996" s="72" t="s">
        <v>39</v>
      </c>
      <c r="G996" s="72" t="s">
        <v>1275</v>
      </c>
    </row>
    <row r="997" spans="1:7" x14ac:dyDescent="0.2">
      <c r="A997" s="5" t="s">
        <v>1266</v>
      </c>
      <c r="B997" s="6" t="s">
        <v>33</v>
      </c>
      <c r="C997" s="6" t="s">
        <v>45</v>
      </c>
      <c r="D997" s="72" t="str">
        <f t="shared" si="18"/>
        <v>098_V_c</v>
      </c>
      <c r="E997" s="72">
        <v>76</v>
      </c>
      <c r="F997" s="72" t="s">
        <v>43</v>
      </c>
      <c r="G997" s="72" t="s">
        <v>1273</v>
      </c>
    </row>
    <row r="998" spans="1:7" x14ac:dyDescent="0.2">
      <c r="A998" s="5" t="s">
        <v>1279</v>
      </c>
      <c r="B998" s="6" t="s">
        <v>36</v>
      </c>
      <c r="C998" s="6" t="s">
        <v>45</v>
      </c>
      <c r="D998" s="72" t="str">
        <f t="shared" si="18"/>
        <v>099_O_c</v>
      </c>
      <c r="E998" s="72">
        <v>73</v>
      </c>
      <c r="F998" s="72" t="s">
        <v>34</v>
      </c>
      <c r="G998" s="72" t="s">
        <v>1286</v>
      </c>
    </row>
    <row r="999" spans="1:7" x14ac:dyDescent="0.2">
      <c r="A999" s="5" t="s">
        <v>1279</v>
      </c>
      <c r="B999" s="6" t="s">
        <v>27</v>
      </c>
      <c r="C999" s="6" t="s">
        <v>45</v>
      </c>
      <c r="D999" s="72" t="str">
        <f t="shared" si="18"/>
        <v>099_S_c</v>
      </c>
      <c r="E999" s="72">
        <v>89</v>
      </c>
      <c r="F999" s="72" t="s">
        <v>39</v>
      </c>
      <c r="G999" s="72" t="s">
        <v>1288</v>
      </c>
    </row>
    <row r="1000" spans="1:7" x14ac:dyDescent="0.2">
      <c r="A1000" s="5" t="s">
        <v>1279</v>
      </c>
      <c r="B1000" s="6" t="s">
        <v>33</v>
      </c>
      <c r="C1000" s="6" t="s">
        <v>45</v>
      </c>
      <c r="D1000" s="72" t="str">
        <f t="shared" si="18"/>
        <v>099_V_c</v>
      </c>
      <c r="E1000" s="72">
        <v>79</v>
      </c>
      <c r="F1000" s="72" t="s">
        <v>41</v>
      </c>
      <c r="G1000" s="72" t="s">
        <v>1287</v>
      </c>
    </row>
    <row r="1001" spans="1:7" x14ac:dyDescent="0.2">
      <c r="A1001" s="7" t="s">
        <v>1292</v>
      </c>
      <c r="B1001" s="6" t="s">
        <v>36</v>
      </c>
      <c r="C1001" s="6" t="s">
        <v>45</v>
      </c>
      <c r="D1001" s="72" t="str">
        <f t="shared" si="18"/>
        <v>100_O_c</v>
      </c>
      <c r="E1001" s="72">
        <v>106</v>
      </c>
      <c r="F1001" s="72" t="s">
        <v>82</v>
      </c>
      <c r="G1001" s="72" t="s">
        <v>1301</v>
      </c>
    </row>
    <row r="1002" spans="1:7" x14ac:dyDescent="0.2">
      <c r="A1002" s="7" t="s">
        <v>1292</v>
      </c>
      <c r="B1002" s="6" t="s">
        <v>27</v>
      </c>
      <c r="C1002" s="6" t="s">
        <v>45</v>
      </c>
      <c r="D1002" s="72" t="str">
        <f t="shared" si="18"/>
        <v>100_S_c</v>
      </c>
      <c r="E1002" s="72">
        <v>93</v>
      </c>
      <c r="F1002" s="72" t="s">
        <v>41</v>
      </c>
      <c r="G1002" s="72" t="s">
        <v>1300</v>
      </c>
    </row>
    <row r="1003" spans="1:7" x14ac:dyDescent="0.2">
      <c r="A1003" s="7" t="s">
        <v>1292</v>
      </c>
      <c r="B1003" s="6" t="s">
        <v>33</v>
      </c>
      <c r="C1003" s="6" t="s">
        <v>45</v>
      </c>
      <c r="D1003" s="72" t="str">
        <f t="shared" si="18"/>
        <v>100_V_c</v>
      </c>
      <c r="E1003" s="72">
        <v>79</v>
      </c>
      <c r="F1003" s="72" t="s">
        <v>43</v>
      </c>
      <c r="G1003" s="72" t="s">
        <v>1299</v>
      </c>
    </row>
    <row r="1004" spans="1:7" x14ac:dyDescent="0.2">
      <c r="A1004" s="7" t="s">
        <v>1305</v>
      </c>
      <c r="B1004" s="6" t="s">
        <v>36</v>
      </c>
      <c r="C1004" s="6" t="s">
        <v>45</v>
      </c>
      <c r="D1004" s="72" t="str">
        <f t="shared" si="18"/>
        <v>101_O_c</v>
      </c>
      <c r="E1004" s="72">
        <v>81</v>
      </c>
      <c r="F1004" s="72" t="s">
        <v>41</v>
      </c>
      <c r="G1004" s="72" t="s">
        <v>1313</v>
      </c>
    </row>
    <row r="1005" spans="1:7" x14ac:dyDescent="0.2">
      <c r="A1005" s="7" t="s">
        <v>1305</v>
      </c>
      <c r="B1005" s="6" t="s">
        <v>27</v>
      </c>
      <c r="C1005" s="6" t="s">
        <v>45</v>
      </c>
      <c r="D1005" s="72" t="str">
        <f t="shared" si="18"/>
        <v>101_S_c</v>
      </c>
      <c r="E1005" s="72">
        <v>82</v>
      </c>
      <c r="F1005" s="72" t="s">
        <v>49</v>
      </c>
      <c r="G1005" s="72" t="s">
        <v>1314</v>
      </c>
    </row>
    <row r="1006" spans="1:7" x14ac:dyDescent="0.2">
      <c r="A1006" s="7" t="s">
        <v>1305</v>
      </c>
      <c r="B1006" s="6" t="s">
        <v>33</v>
      </c>
      <c r="C1006" s="6" t="s">
        <v>45</v>
      </c>
      <c r="D1006" s="72" t="str">
        <f t="shared" si="18"/>
        <v>101_V_c</v>
      </c>
      <c r="E1006" s="72">
        <v>78</v>
      </c>
      <c r="F1006" s="72" t="s">
        <v>29</v>
      </c>
      <c r="G1006" s="72" t="s">
        <v>1312</v>
      </c>
    </row>
    <row r="1007" spans="1:7" x14ac:dyDescent="0.2">
      <c r="A1007" s="4" t="s">
        <v>1318</v>
      </c>
      <c r="B1007" s="6" t="s">
        <v>36</v>
      </c>
      <c r="C1007" s="6" t="s">
        <v>45</v>
      </c>
      <c r="D1007" s="72" t="str">
        <f t="shared" si="18"/>
        <v>102_O_c</v>
      </c>
      <c r="E1007" s="72">
        <v>96</v>
      </c>
      <c r="F1007" s="72" t="s">
        <v>41</v>
      </c>
      <c r="G1007" s="72" t="s">
        <v>1327</v>
      </c>
    </row>
    <row r="1008" spans="1:7" x14ac:dyDescent="0.2">
      <c r="A1008" s="4" t="s">
        <v>1318</v>
      </c>
      <c r="B1008" s="6" t="s">
        <v>27</v>
      </c>
      <c r="C1008" s="6" t="s">
        <v>45</v>
      </c>
      <c r="D1008" s="72" t="str">
        <f t="shared" si="18"/>
        <v>102_S_c</v>
      </c>
      <c r="E1008" s="72">
        <v>102</v>
      </c>
      <c r="F1008" s="72" t="s">
        <v>82</v>
      </c>
      <c r="G1008" s="72" t="s">
        <v>1328</v>
      </c>
    </row>
    <row r="1009" spans="1:7" x14ac:dyDescent="0.2">
      <c r="A1009" s="4" t="s">
        <v>1318</v>
      </c>
      <c r="B1009" s="6" t="s">
        <v>33</v>
      </c>
      <c r="C1009" s="6" t="s">
        <v>45</v>
      </c>
      <c r="D1009" s="72" t="str">
        <f t="shared" si="18"/>
        <v>102_V_c</v>
      </c>
      <c r="E1009" s="72">
        <v>73</v>
      </c>
      <c r="F1009" s="72" t="s">
        <v>68</v>
      </c>
      <c r="G1009" s="72" t="s">
        <v>1326</v>
      </c>
    </row>
    <row r="1010" spans="1:7" x14ac:dyDescent="0.2">
      <c r="A1010" s="7" t="s">
        <v>1332</v>
      </c>
      <c r="B1010" s="6" t="s">
        <v>36</v>
      </c>
      <c r="C1010" s="6" t="s">
        <v>45</v>
      </c>
      <c r="D1010" s="72" t="str">
        <f t="shared" si="18"/>
        <v>103_O_c</v>
      </c>
      <c r="E1010" s="72">
        <v>98</v>
      </c>
      <c r="F1010" s="72" t="s">
        <v>63</v>
      </c>
      <c r="G1010" s="72" t="s">
        <v>1341</v>
      </c>
    </row>
    <row r="1011" spans="1:7" x14ac:dyDescent="0.2">
      <c r="A1011" s="7" t="s">
        <v>1332</v>
      </c>
      <c r="B1011" s="6" t="s">
        <v>27</v>
      </c>
      <c r="C1011" s="6" t="s">
        <v>45</v>
      </c>
      <c r="D1011" s="72" t="str">
        <f t="shared" si="18"/>
        <v>103_S_c</v>
      </c>
      <c r="E1011" s="72">
        <v>80</v>
      </c>
      <c r="F1011" s="72" t="s">
        <v>68</v>
      </c>
      <c r="G1011" s="72" t="s">
        <v>1339</v>
      </c>
    </row>
    <row r="1012" spans="1:7" x14ac:dyDescent="0.2">
      <c r="A1012" s="7" t="s">
        <v>1332</v>
      </c>
      <c r="B1012" s="6" t="s">
        <v>33</v>
      </c>
      <c r="C1012" s="6" t="s">
        <v>45</v>
      </c>
      <c r="D1012" s="72" t="str">
        <f t="shared" si="18"/>
        <v>103_V_c</v>
      </c>
      <c r="E1012" s="72">
        <v>92</v>
      </c>
      <c r="F1012" s="72" t="s">
        <v>41</v>
      </c>
      <c r="G1012" s="72" t="s">
        <v>1340</v>
      </c>
    </row>
    <row r="1013" spans="1:7" x14ac:dyDescent="0.2">
      <c r="A1013" s="4" t="s">
        <v>1345</v>
      </c>
      <c r="B1013" s="6" t="s">
        <v>36</v>
      </c>
      <c r="C1013" s="6" t="s">
        <v>45</v>
      </c>
      <c r="D1013" s="72" t="str">
        <f t="shared" si="18"/>
        <v>104_O_c</v>
      </c>
      <c r="E1013" s="72">
        <v>101</v>
      </c>
      <c r="F1013" s="72" t="s">
        <v>43</v>
      </c>
      <c r="G1013" s="72" t="s">
        <v>1354</v>
      </c>
    </row>
    <row r="1014" spans="1:7" x14ac:dyDescent="0.2">
      <c r="A1014" s="4" t="s">
        <v>1345</v>
      </c>
      <c r="B1014" s="6" t="s">
        <v>27</v>
      </c>
      <c r="C1014" s="6" t="s">
        <v>45</v>
      </c>
      <c r="D1014" s="72" t="str">
        <f t="shared" si="18"/>
        <v>104_S_c</v>
      </c>
      <c r="E1014" s="72">
        <v>99</v>
      </c>
      <c r="F1014" s="72" t="s">
        <v>68</v>
      </c>
      <c r="G1014" s="72" t="s">
        <v>1353</v>
      </c>
    </row>
    <row r="1015" spans="1:7" x14ac:dyDescent="0.2">
      <c r="A1015" s="4" t="s">
        <v>1345</v>
      </c>
      <c r="B1015" s="6" t="s">
        <v>33</v>
      </c>
      <c r="C1015" s="6" t="s">
        <v>45</v>
      </c>
      <c r="D1015" s="72" t="str">
        <f t="shared" si="18"/>
        <v>104_V_c</v>
      </c>
      <c r="E1015" s="72">
        <v>88</v>
      </c>
      <c r="F1015" s="72" t="s">
        <v>49</v>
      </c>
      <c r="G1015" s="72" t="s">
        <v>1352</v>
      </c>
    </row>
    <row r="1016" spans="1:7" x14ac:dyDescent="0.2">
      <c r="A1016" s="7" t="s">
        <v>1358</v>
      </c>
      <c r="B1016" s="6" t="s">
        <v>36</v>
      </c>
      <c r="C1016" s="6" t="s">
        <v>45</v>
      </c>
      <c r="D1016" s="72" t="str">
        <f t="shared" si="18"/>
        <v>105_O_c</v>
      </c>
      <c r="E1016" s="72">
        <v>83</v>
      </c>
      <c r="F1016" s="72" t="s">
        <v>70</v>
      </c>
      <c r="G1016" s="72" t="s">
        <v>1365</v>
      </c>
    </row>
    <row r="1017" spans="1:7" x14ac:dyDescent="0.2">
      <c r="A1017" s="7" t="s">
        <v>1358</v>
      </c>
      <c r="B1017" s="6" t="s">
        <v>27</v>
      </c>
      <c r="C1017" s="6" t="s">
        <v>45</v>
      </c>
      <c r="D1017" s="72" t="str">
        <f t="shared" si="18"/>
        <v>105_S_c</v>
      </c>
      <c r="E1017" s="72">
        <v>101</v>
      </c>
      <c r="F1017" s="72" t="s">
        <v>39</v>
      </c>
      <c r="G1017" s="72" t="s">
        <v>1367</v>
      </c>
    </row>
    <row r="1018" spans="1:7" x14ac:dyDescent="0.2">
      <c r="A1018" s="7" t="s">
        <v>1358</v>
      </c>
      <c r="B1018" s="6" t="s">
        <v>33</v>
      </c>
      <c r="C1018" s="6" t="s">
        <v>45</v>
      </c>
      <c r="D1018" s="72" t="str">
        <f t="shared" si="18"/>
        <v>105_V_c</v>
      </c>
      <c r="E1018" s="72">
        <v>83</v>
      </c>
      <c r="F1018" s="72" t="s">
        <v>43</v>
      </c>
      <c r="G1018" s="72" t="s">
        <v>1366</v>
      </c>
    </row>
    <row r="1019" spans="1:7" x14ac:dyDescent="0.2">
      <c r="A1019" s="5" t="s">
        <v>1371</v>
      </c>
      <c r="B1019" s="6" t="s">
        <v>36</v>
      </c>
      <c r="C1019" s="6" t="s">
        <v>45</v>
      </c>
      <c r="D1019" s="72" t="str">
        <f t="shared" si="18"/>
        <v>106_O_c</v>
      </c>
      <c r="E1019" s="72">
        <v>103</v>
      </c>
      <c r="F1019" s="72" t="s">
        <v>70</v>
      </c>
      <c r="G1019" s="72" t="s">
        <v>1380</v>
      </c>
    </row>
    <row r="1020" spans="1:7" x14ac:dyDescent="0.2">
      <c r="A1020" s="5" t="s">
        <v>1371</v>
      </c>
      <c r="B1020" s="6" t="s">
        <v>27</v>
      </c>
      <c r="C1020" s="6" t="s">
        <v>45</v>
      </c>
      <c r="D1020" s="72" t="str">
        <f t="shared" si="18"/>
        <v>106_S_c</v>
      </c>
      <c r="E1020" s="72">
        <v>86</v>
      </c>
      <c r="F1020" s="72" t="s">
        <v>41</v>
      </c>
      <c r="G1020" s="72" t="s">
        <v>1379</v>
      </c>
    </row>
    <row r="1021" spans="1:7" x14ac:dyDescent="0.2">
      <c r="A1021" s="5" t="s">
        <v>1371</v>
      </c>
      <c r="B1021" s="6" t="s">
        <v>33</v>
      </c>
      <c r="C1021" s="6" t="s">
        <v>45</v>
      </c>
      <c r="D1021" s="72" t="str">
        <f t="shared" si="18"/>
        <v>106_V_c</v>
      </c>
      <c r="E1021" s="72">
        <v>85</v>
      </c>
      <c r="F1021" s="72" t="s">
        <v>41</v>
      </c>
      <c r="G1021" s="72" t="s">
        <v>1378</v>
      </c>
    </row>
    <row r="1022" spans="1:7" x14ac:dyDescent="0.2">
      <c r="A1022" s="5" t="s">
        <v>1384</v>
      </c>
      <c r="B1022" s="6" t="s">
        <v>36</v>
      </c>
      <c r="C1022" s="6" t="s">
        <v>45</v>
      </c>
      <c r="D1022" s="72" t="str">
        <f t="shared" si="18"/>
        <v>107_O_c</v>
      </c>
      <c r="E1022" s="72">
        <v>83</v>
      </c>
      <c r="F1022" s="72" t="s">
        <v>34</v>
      </c>
      <c r="G1022" s="72" t="s">
        <v>1392</v>
      </c>
    </row>
    <row r="1023" spans="1:7" x14ac:dyDescent="0.2">
      <c r="A1023" s="5" t="s">
        <v>1384</v>
      </c>
      <c r="B1023" s="6" t="s">
        <v>27</v>
      </c>
      <c r="C1023" s="6" t="s">
        <v>45</v>
      </c>
      <c r="D1023" s="72" t="str">
        <f t="shared" si="18"/>
        <v>107_S_c</v>
      </c>
      <c r="E1023" s="72">
        <v>77</v>
      </c>
      <c r="F1023" s="72" t="s">
        <v>29</v>
      </c>
      <c r="G1023" s="72" t="s">
        <v>1391</v>
      </c>
    </row>
    <row r="1024" spans="1:7" x14ac:dyDescent="0.2">
      <c r="A1024" s="5" t="s">
        <v>1384</v>
      </c>
      <c r="B1024" s="6" t="s">
        <v>33</v>
      </c>
      <c r="C1024" s="6" t="s">
        <v>45</v>
      </c>
      <c r="D1024" s="72" t="str">
        <f t="shared" si="18"/>
        <v>107_V_c</v>
      </c>
      <c r="E1024" s="72">
        <v>95</v>
      </c>
      <c r="F1024" s="72" t="s">
        <v>63</v>
      </c>
      <c r="G1024" s="72" t="s">
        <v>1393</v>
      </c>
    </row>
    <row r="1025" spans="1:7" x14ac:dyDescent="0.2">
      <c r="A1025" s="5" t="s">
        <v>1398</v>
      </c>
      <c r="B1025" s="6" t="s">
        <v>36</v>
      </c>
      <c r="C1025" s="6" t="s">
        <v>45</v>
      </c>
      <c r="D1025" s="72" t="str">
        <f t="shared" si="18"/>
        <v>108_O_c</v>
      </c>
      <c r="E1025" s="72">
        <v>75</v>
      </c>
      <c r="F1025" s="72" t="s">
        <v>39</v>
      </c>
      <c r="G1025" s="72" t="s">
        <v>1405</v>
      </c>
    </row>
    <row r="1026" spans="1:7" x14ac:dyDescent="0.2">
      <c r="A1026" s="5" t="s">
        <v>1398</v>
      </c>
      <c r="B1026" s="6" t="s">
        <v>27</v>
      </c>
      <c r="C1026" s="6" t="s">
        <v>45</v>
      </c>
      <c r="D1026" s="72" t="str">
        <f t="shared" ref="D1026:D1089" si="19">A1026&amp;"_"&amp;B1026&amp;"_"&amp;C1026</f>
        <v>108_S_c</v>
      </c>
      <c r="E1026" s="72">
        <v>84</v>
      </c>
      <c r="F1026" s="72" t="s">
        <v>43</v>
      </c>
      <c r="G1026" s="72" t="s">
        <v>1406</v>
      </c>
    </row>
    <row r="1027" spans="1:7" x14ac:dyDescent="0.2">
      <c r="A1027" s="5" t="s">
        <v>1398</v>
      </c>
      <c r="B1027" s="6" t="s">
        <v>33</v>
      </c>
      <c r="C1027" s="6" t="s">
        <v>45</v>
      </c>
      <c r="D1027" s="72" t="str">
        <f t="shared" si="19"/>
        <v>108_V_c</v>
      </c>
      <c r="E1027" s="72">
        <v>104</v>
      </c>
      <c r="F1027" s="72" t="s">
        <v>82</v>
      </c>
      <c r="G1027" s="72" t="s">
        <v>1407</v>
      </c>
    </row>
    <row r="1028" spans="1:7" x14ac:dyDescent="0.2">
      <c r="A1028" s="5" t="s">
        <v>1411</v>
      </c>
      <c r="B1028" s="6" t="s">
        <v>36</v>
      </c>
      <c r="C1028" s="6" t="s">
        <v>45</v>
      </c>
      <c r="D1028" s="72" t="str">
        <f t="shared" si="19"/>
        <v>109_O_c</v>
      </c>
      <c r="E1028" s="72">
        <v>97</v>
      </c>
      <c r="F1028" s="72" t="s">
        <v>41</v>
      </c>
      <c r="G1028" s="72" t="s">
        <v>1418</v>
      </c>
    </row>
    <row r="1029" spans="1:7" x14ac:dyDescent="0.2">
      <c r="A1029" s="5" t="s">
        <v>1411</v>
      </c>
      <c r="B1029" s="6" t="s">
        <v>27</v>
      </c>
      <c r="C1029" s="6" t="s">
        <v>45</v>
      </c>
      <c r="D1029" s="72" t="str">
        <f t="shared" si="19"/>
        <v>109_S_c</v>
      </c>
      <c r="E1029" s="72">
        <v>106</v>
      </c>
      <c r="F1029" s="72" t="s">
        <v>39</v>
      </c>
      <c r="G1029" s="72" t="s">
        <v>1420</v>
      </c>
    </row>
    <row r="1030" spans="1:7" x14ac:dyDescent="0.2">
      <c r="A1030" s="5" t="s">
        <v>1411</v>
      </c>
      <c r="B1030" s="6" t="s">
        <v>33</v>
      </c>
      <c r="C1030" s="6" t="s">
        <v>45</v>
      </c>
      <c r="D1030" s="72" t="str">
        <f t="shared" si="19"/>
        <v>109_V_c</v>
      </c>
      <c r="E1030" s="72">
        <v>103</v>
      </c>
      <c r="F1030" s="72" t="s">
        <v>34</v>
      </c>
      <c r="G1030" s="72" t="s">
        <v>1419</v>
      </c>
    </row>
    <row r="1031" spans="1:7" x14ac:dyDescent="0.2">
      <c r="A1031" s="5" t="s">
        <v>1424</v>
      </c>
      <c r="B1031" s="6" t="s">
        <v>36</v>
      </c>
      <c r="C1031" s="6" t="s">
        <v>45</v>
      </c>
      <c r="D1031" s="72" t="str">
        <f t="shared" si="19"/>
        <v>110_O_c</v>
      </c>
      <c r="E1031" s="72">
        <v>85</v>
      </c>
      <c r="F1031" s="72" t="s">
        <v>29</v>
      </c>
      <c r="G1031" s="72" t="s">
        <v>1433</v>
      </c>
    </row>
    <row r="1032" spans="1:7" x14ac:dyDescent="0.2">
      <c r="A1032" s="5" t="s">
        <v>1424</v>
      </c>
      <c r="B1032" s="6" t="s">
        <v>27</v>
      </c>
      <c r="C1032" s="6" t="s">
        <v>45</v>
      </c>
      <c r="D1032" s="72" t="str">
        <f t="shared" si="19"/>
        <v>110_S_c</v>
      </c>
      <c r="E1032" s="72">
        <v>81</v>
      </c>
      <c r="F1032" s="72" t="s">
        <v>39</v>
      </c>
      <c r="G1032" s="72" t="s">
        <v>1432</v>
      </c>
    </row>
    <row r="1033" spans="1:7" x14ac:dyDescent="0.2">
      <c r="A1033" s="5" t="s">
        <v>1424</v>
      </c>
      <c r="B1033" s="6" t="s">
        <v>33</v>
      </c>
      <c r="C1033" s="6" t="s">
        <v>45</v>
      </c>
      <c r="D1033" s="72" t="str">
        <f t="shared" si="19"/>
        <v>110_V_c</v>
      </c>
      <c r="E1033" s="72">
        <v>92</v>
      </c>
      <c r="F1033" s="72" t="s">
        <v>34</v>
      </c>
      <c r="G1033" s="72" t="s">
        <v>1434</v>
      </c>
    </row>
    <row r="1034" spans="1:7" x14ac:dyDescent="0.2">
      <c r="A1034" s="5" t="s">
        <v>1439</v>
      </c>
      <c r="B1034" s="6" t="s">
        <v>36</v>
      </c>
      <c r="C1034" s="6" t="s">
        <v>45</v>
      </c>
      <c r="D1034" s="72" t="str">
        <f t="shared" si="19"/>
        <v>111_O_c</v>
      </c>
      <c r="E1034" s="72">
        <v>90</v>
      </c>
      <c r="F1034" s="72" t="s">
        <v>39</v>
      </c>
      <c r="G1034" s="72" t="s">
        <v>1448</v>
      </c>
    </row>
    <row r="1035" spans="1:7" x14ac:dyDescent="0.2">
      <c r="A1035" s="5" t="s">
        <v>1439</v>
      </c>
      <c r="B1035" s="6" t="s">
        <v>27</v>
      </c>
      <c r="C1035" s="6" t="s">
        <v>45</v>
      </c>
      <c r="D1035" s="72" t="str">
        <f t="shared" si="19"/>
        <v>111_S_c</v>
      </c>
      <c r="E1035" s="72">
        <v>81</v>
      </c>
      <c r="F1035" s="72" t="s">
        <v>70</v>
      </c>
      <c r="G1035" s="72" t="s">
        <v>1447</v>
      </c>
    </row>
    <row r="1036" spans="1:7" x14ac:dyDescent="0.2">
      <c r="A1036" s="5" t="s">
        <v>1439</v>
      </c>
      <c r="B1036" s="6" t="s">
        <v>33</v>
      </c>
      <c r="C1036" s="6" t="s">
        <v>45</v>
      </c>
      <c r="D1036" s="72" t="str">
        <f t="shared" si="19"/>
        <v>111_V_c</v>
      </c>
      <c r="E1036" s="72">
        <v>74</v>
      </c>
      <c r="F1036" s="72" t="s">
        <v>63</v>
      </c>
      <c r="G1036" s="72" t="s">
        <v>1446</v>
      </c>
    </row>
    <row r="1037" spans="1:7" x14ac:dyDescent="0.2">
      <c r="A1037" s="5" t="s">
        <v>1452</v>
      </c>
      <c r="B1037" s="6" t="s">
        <v>36</v>
      </c>
      <c r="C1037" s="6" t="s">
        <v>45</v>
      </c>
      <c r="D1037" s="72" t="str">
        <f t="shared" si="19"/>
        <v>112_O_c</v>
      </c>
      <c r="E1037" s="72">
        <v>97</v>
      </c>
      <c r="F1037" s="72" t="s">
        <v>68</v>
      </c>
      <c r="G1037" s="72" t="s">
        <v>1459</v>
      </c>
    </row>
    <row r="1038" spans="1:7" x14ac:dyDescent="0.2">
      <c r="A1038" s="5" t="s">
        <v>1452</v>
      </c>
      <c r="B1038" s="6" t="s">
        <v>27</v>
      </c>
      <c r="C1038" s="6" t="s">
        <v>45</v>
      </c>
      <c r="D1038" s="72" t="str">
        <f t="shared" si="19"/>
        <v>112_S_c</v>
      </c>
      <c r="E1038" s="72">
        <v>106</v>
      </c>
      <c r="F1038" s="72" t="s">
        <v>34</v>
      </c>
      <c r="G1038" s="72" t="s">
        <v>1461</v>
      </c>
    </row>
    <row r="1039" spans="1:7" x14ac:dyDescent="0.2">
      <c r="A1039" s="5" t="s">
        <v>1452</v>
      </c>
      <c r="B1039" s="6" t="s">
        <v>33</v>
      </c>
      <c r="C1039" s="6" t="s">
        <v>45</v>
      </c>
      <c r="D1039" s="72" t="str">
        <f t="shared" si="19"/>
        <v>112_V_c</v>
      </c>
      <c r="E1039" s="72">
        <v>102</v>
      </c>
      <c r="F1039" s="72" t="s">
        <v>43</v>
      </c>
      <c r="G1039" s="72" t="s">
        <v>1460</v>
      </c>
    </row>
    <row r="1040" spans="1:7" x14ac:dyDescent="0.2">
      <c r="A1040" s="5" t="s">
        <v>1466</v>
      </c>
      <c r="B1040" s="6" t="s">
        <v>36</v>
      </c>
      <c r="C1040" s="6" t="s">
        <v>45</v>
      </c>
      <c r="D1040" s="72" t="str">
        <f t="shared" si="19"/>
        <v>113_O_c</v>
      </c>
      <c r="E1040" s="72">
        <v>100</v>
      </c>
      <c r="F1040" s="72" t="s">
        <v>39</v>
      </c>
      <c r="G1040" s="72" t="s">
        <v>1474</v>
      </c>
    </row>
    <row r="1041" spans="1:7" x14ac:dyDescent="0.2">
      <c r="A1041" s="5" t="s">
        <v>1466</v>
      </c>
      <c r="B1041" s="6" t="s">
        <v>27</v>
      </c>
      <c r="C1041" s="6" t="s">
        <v>45</v>
      </c>
      <c r="D1041" s="72" t="str">
        <f t="shared" si="19"/>
        <v>113_S_c</v>
      </c>
      <c r="E1041" s="72">
        <v>98</v>
      </c>
      <c r="F1041" s="72" t="s">
        <v>29</v>
      </c>
      <c r="G1041" s="72" t="s">
        <v>1473</v>
      </c>
    </row>
    <row r="1042" spans="1:7" x14ac:dyDescent="0.2">
      <c r="A1042" s="5" t="s">
        <v>1466</v>
      </c>
      <c r="B1042" s="6" t="s">
        <v>33</v>
      </c>
      <c r="C1042" s="6" t="s">
        <v>45</v>
      </c>
      <c r="D1042" s="72" t="str">
        <f t="shared" si="19"/>
        <v>113_V_c</v>
      </c>
      <c r="E1042" s="72">
        <v>102</v>
      </c>
      <c r="F1042" s="72" t="s">
        <v>68</v>
      </c>
      <c r="G1042" s="72" t="s">
        <v>1475</v>
      </c>
    </row>
    <row r="1043" spans="1:7" x14ac:dyDescent="0.2">
      <c r="A1043" s="5" t="s">
        <v>1479</v>
      </c>
      <c r="B1043" s="6" t="s">
        <v>36</v>
      </c>
      <c r="C1043" s="6" t="s">
        <v>45</v>
      </c>
      <c r="D1043" s="72" t="str">
        <f t="shared" si="19"/>
        <v>114_O_c</v>
      </c>
      <c r="E1043" s="72">
        <v>95</v>
      </c>
      <c r="F1043" s="72" t="s">
        <v>29</v>
      </c>
      <c r="G1043" s="72" t="s">
        <v>1489</v>
      </c>
    </row>
    <row r="1044" spans="1:7" x14ac:dyDescent="0.2">
      <c r="A1044" s="5" t="s">
        <v>1479</v>
      </c>
      <c r="B1044" s="6" t="s">
        <v>27</v>
      </c>
      <c r="C1044" s="6" t="s">
        <v>45</v>
      </c>
      <c r="D1044" s="72" t="str">
        <f t="shared" si="19"/>
        <v>114_S_c</v>
      </c>
      <c r="E1044" s="72">
        <v>79</v>
      </c>
      <c r="F1044" s="72" t="s">
        <v>49</v>
      </c>
      <c r="G1044" s="72" t="s">
        <v>1487</v>
      </c>
    </row>
    <row r="1045" spans="1:7" x14ac:dyDescent="0.2">
      <c r="A1045" s="5" t="s">
        <v>1479</v>
      </c>
      <c r="B1045" s="6" t="s">
        <v>33</v>
      </c>
      <c r="C1045" s="6" t="s">
        <v>45</v>
      </c>
      <c r="D1045" s="72" t="str">
        <f t="shared" si="19"/>
        <v>114_V_c</v>
      </c>
      <c r="E1045" s="72">
        <v>94</v>
      </c>
      <c r="F1045" s="72" t="s">
        <v>34</v>
      </c>
      <c r="G1045" s="72" t="s">
        <v>1488</v>
      </c>
    </row>
    <row r="1046" spans="1:7" x14ac:dyDescent="0.2">
      <c r="A1046" s="5" t="s">
        <v>1493</v>
      </c>
      <c r="B1046" s="6" t="s">
        <v>36</v>
      </c>
      <c r="C1046" s="6" t="s">
        <v>45</v>
      </c>
      <c r="D1046" s="72" t="str">
        <f t="shared" si="19"/>
        <v>115_O_c</v>
      </c>
      <c r="E1046" s="72">
        <v>101</v>
      </c>
      <c r="F1046" s="72" t="s">
        <v>68</v>
      </c>
      <c r="G1046" s="72" t="s">
        <v>1501</v>
      </c>
    </row>
    <row r="1047" spans="1:7" x14ac:dyDescent="0.2">
      <c r="A1047" s="5" t="s">
        <v>1493</v>
      </c>
      <c r="B1047" s="6" t="s">
        <v>27</v>
      </c>
      <c r="C1047" s="6" t="s">
        <v>45</v>
      </c>
      <c r="D1047" s="72" t="str">
        <f t="shared" si="19"/>
        <v>115_S_c</v>
      </c>
      <c r="E1047" s="72">
        <v>105</v>
      </c>
      <c r="F1047" s="72" t="s">
        <v>34</v>
      </c>
      <c r="G1047" s="72" t="s">
        <v>1502</v>
      </c>
    </row>
    <row r="1048" spans="1:7" x14ac:dyDescent="0.2">
      <c r="A1048" s="5" t="s">
        <v>1493</v>
      </c>
      <c r="B1048" s="6" t="s">
        <v>33</v>
      </c>
      <c r="C1048" s="6" t="s">
        <v>45</v>
      </c>
      <c r="D1048" s="72" t="str">
        <f t="shared" si="19"/>
        <v>115_V_c</v>
      </c>
      <c r="E1048" s="72">
        <v>76</v>
      </c>
      <c r="F1048" s="72" t="s">
        <v>68</v>
      </c>
      <c r="G1048" s="72" t="s">
        <v>1500</v>
      </c>
    </row>
    <row r="1049" spans="1:7" x14ac:dyDescent="0.2">
      <c r="A1049" s="5" t="s">
        <v>1506</v>
      </c>
      <c r="B1049" s="6" t="s">
        <v>36</v>
      </c>
      <c r="C1049" s="6" t="s">
        <v>45</v>
      </c>
      <c r="D1049" s="72" t="str">
        <f t="shared" si="19"/>
        <v>116_O_c</v>
      </c>
      <c r="E1049" s="72">
        <v>74</v>
      </c>
      <c r="F1049" s="72" t="s">
        <v>41</v>
      </c>
      <c r="G1049" s="72" t="s">
        <v>1513</v>
      </c>
    </row>
    <row r="1050" spans="1:7" x14ac:dyDescent="0.2">
      <c r="A1050" s="5" t="s">
        <v>1506</v>
      </c>
      <c r="B1050" s="6" t="s">
        <v>27</v>
      </c>
      <c r="C1050" s="6" t="s">
        <v>45</v>
      </c>
      <c r="D1050" s="72" t="str">
        <f t="shared" si="19"/>
        <v>116_S_c</v>
      </c>
      <c r="E1050" s="72">
        <v>90</v>
      </c>
      <c r="F1050" s="72" t="s">
        <v>43</v>
      </c>
      <c r="G1050" s="72" t="s">
        <v>1515</v>
      </c>
    </row>
    <row r="1051" spans="1:7" x14ac:dyDescent="0.2">
      <c r="A1051" s="5" t="s">
        <v>1506</v>
      </c>
      <c r="B1051" s="6" t="s">
        <v>33</v>
      </c>
      <c r="C1051" s="6" t="s">
        <v>45</v>
      </c>
      <c r="D1051" s="72" t="str">
        <f t="shared" si="19"/>
        <v>116_V_c</v>
      </c>
      <c r="E1051" s="72">
        <v>80</v>
      </c>
      <c r="F1051" s="72" t="s">
        <v>43</v>
      </c>
      <c r="G1051" s="72" t="s">
        <v>1514</v>
      </c>
    </row>
    <row r="1052" spans="1:7" x14ac:dyDescent="0.2">
      <c r="A1052" s="5" t="s">
        <v>1519</v>
      </c>
      <c r="B1052" s="6" t="s">
        <v>36</v>
      </c>
      <c r="C1052" s="6" t="s">
        <v>45</v>
      </c>
      <c r="D1052" s="72" t="str">
        <f t="shared" si="19"/>
        <v>117_O_c</v>
      </c>
      <c r="E1052" s="72">
        <v>95</v>
      </c>
      <c r="F1052" s="72" t="s">
        <v>70</v>
      </c>
      <c r="G1052" s="72" t="s">
        <v>1527</v>
      </c>
    </row>
    <row r="1053" spans="1:7" x14ac:dyDescent="0.2">
      <c r="A1053" s="5" t="s">
        <v>1519</v>
      </c>
      <c r="B1053" s="6" t="s">
        <v>27</v>
      </c>
      <c r="C1053" s="6" t="s">
        <v>45</v>
      </c>
      <c r="D1053" s="72" t="str">
        <f t="shared" si="19"/>
        <v>117_S_c</v>
      </c>
      <c r="E1053" s="72">
        <v>74</v>
      </c>
      <c r="F1053" s="72" t="s">
        <v>43</v>
      </c>
      <c r="G1053" s="72" t="s">
        <v>1526</v>
      </c>
    </row>
    <row r="1054" spans="1:7" x14ac:dyDescent="0.2">
      <c r="A1054" s="5" t="s">
        <v>1519</v>
      </c>
      <c r="B1054" s="6" t="s">
        <v>33</v>
      </c>
      <c r="C1054" s="6" t="s">
        <v>45</v>
      </c>
      <c r="D1054" s="72" t="str">
        <f t="shared" si="19"/>
        <v>117_V_c</v>
      </c>
      <c r="E1054" s="72">
        <v>99</v>
      </c>
      <c r="F1054" s="72" t="s">
        <v>70</v>
      </c>
      <c r="G1054" s="72" t="s">
        <v>1528</v>
      </c>
    </row>
    <row r="1055" spans="1:7" x14ac:dyDescent="0.2">
      <c r="A1055" s="5" t="s">
        <v>1532</v>
      </c>
      <c r="B1055" s="6" t="s">
        <v>36</v>
      </c>
      <c r="C1055" s="6" t="s">
        <v>45</v>
      </c>
      <c r="D1055" s="72" t="str">
        <f t="shared" si="19"/>
        <v>118_O_c</v>
      </c>
      <c r="E1055" s="72">
        <v>82</v>
      </c>
      <c r="F1055" s="72" t="s">
        <v>70</v>
      </c>
      <c r="G1055" s="72" t="s">
        <v>1542</v>
      </c>
    </row>
    <row r="1056" spans="1:7" x14ac:dyDescent="0.2">
      <c r="A1056" s="5" t="s">
        <v>1532</v>
      </c>
      <c r="B1056" s="6" t="s">
        <v>27</v>
      </c>
      <c r="C1056" s="6" t="s">
        <v>45</v>
      </c>
      <c r="D1056" s="72" t="str">
        <f t="shared" si="19"/>
        <v>118_S_c</v>
      </c>
      <c r="E1056" s="72">
        <v>103</v>
      </c>
      <c r="F1056" s="72" t="s">
        <v>63</v>
      </c>
      <c r="G1056" s="72" t="s">
        <v>1544</v>
      </c>
    </row>
    <row r="1057" spans="1:7" x14ac:dyDescent="0.2">
      <c r="A1057" s="5" t="s">
        <v>1532</v>
      </c>
      <c r="B1057" s="6" t="s">
        <v>33</v>
      </c>
      <c r="C1057" s="6" t="s">
        <v>45</v>
      </c>
      <c r="D1057" s="72" t="str">
        <f t="shared" si="19"/>
        <v>118_V_c</v>
      </c>
      <c r="E1057" s="72">
        <v>79</v>
      </c>
      <c r="F1057" s="72" t="s">
        <v>82</v>
      </c>
      <c r="G1057" s="72" t="s">
        <v>1541</v>
      </c>
    </row>
    <row r="1058" spans="1:7" x14ac:dyDescent="0.2">
      <c r="A1058" s="5" t="s">
        <v>1551</v>
      </c>
      <c r="B1058" s="6" t="s">
        <v>36</v>
      </c>
      <c r="C1058" s="6" t="s">
        <v>45</v>
      </c>
      <c r="D1058" s="72" t="str">
        <f t="shared" si="19"/>
        <v>119_O_c</v>
      </c>
      <c r="E1058" s="72">
        <v>86</v>
      </c>
      <c r="F1058" s="72" t="s">
        <v>39</v>
      </c>
      <c r="G1058" s="72" t="s">
        <v>1558</v>
      </c>
    </row>
    <row r="1059" spans="1:7" x14ac:dyDescent="0.2">
      <c r="A1059" s="5" t="s">
        <v>1551</v>
      </c>
      <c r="B1059" s="6" t="s">
        <v>27</v>
      </c>
      <c r="C1059" s="6" t="s">
        <v>45</v>
      </c>
      <c r="D1059" s="72" t="str">
        <f t="shared" si="19"/>
        <v>119_S_c</v>
      </c>
      <c r="E1059" s="72">
        <v>107</v>
      </c>
      <c r="F1059" s="72" t="s">
        <v>39</v>
      </c>
      <c r="G1059" s="72" t="s">
        <v>1560</v>
      </c>
    </row>
    <row r="1060" spans="1:7" x14ac:dyDescent="0.2">
      <c r="A1060" s="5" t="s">
        <v>1551</v>
      </c>
      <c r="B1060" s="6" t="s">
        <v>33</v>
      </c>
      <c r="C1060" s="6" t="s">
        <v>45</v>
      </c>
      <c r="D1060" s="72" t="str">
        <f t="shared" si="19"/>
        <v>119_V_c</v>
      </c>
      <c r="E1060" s="72">
        <v>104</v>
      </c>
      <c r="F1060" s="72" t="s">
        <v>70</v>
      </c>
      <c r="G1060" s="72" t="s">
        <v>1559</v>
      </c>
    </row>
    <row r="1061" spans="1:7" x14ac:dyDescent="0.2">
      <c r="A1061" s="5" t="s">
        <v>1564</v>
      </c>
      <c r="B1061" s="6" t="s">
        <v>36</v>
      </c>
      <c r="C1061" s="6" t="s">
        <v>45</v>
      </c>
      <c r="D1061" s="72" t="str">
        <f t="shared" si="19"/>
        <v>120_O_c</v>
      </c>
      <c r="E1061" s="72">
        <v>88</v>
      </c>
      <c r="F1061" s="72" t="s">
        <v>39</v>
      </c>
      <c r="G1061" s="72" t="s">
        <v>1572</v>
      </c>
    </row>
    <row r="1062" spans="1:7" x14ac:dyDescent="0.2">
      <c r="A1062" s="5" t="s">
        <v>1564</v>
      </c>
      <c r="B1062" s="6" t="s">
        <v>27</v>
      </c>
      <c r="C1062" s="6" t="s">
        <v>45</v>
      </c>
      <c r="D1062" s="72" t="str">
        <f t="shared" si="19"/>
        <v>120_S_c</v>
      </c>
      <c r="E1062" s="72">
        <v>79</v>
      </c>
      <c r="F1062" s="72" t="s">
        <v>63</v>
      </c>
      <c r="G1062" s="72" t="s">
        <v>1571</v>
      </c>
    </row>
    <row r="1063" spans="1:7" x14ac:dyDescent="0.2">
      <c r="A1063" s="5" t="s">
        <v>1564</v>
      </c>
      <c r="B1063" s="6" t="s">
        <v>33</v>
      </c>
      <c r="C1063" s="6" t="s">
        <v>45</v>
      </c>
      <c r="D1063" s="72" t="str">
        <f t="shared" si="19"/>
        <v>120_V_c</v>
      </c>
      <c r="E1063" s="72">
        <v>106</v>
      </c>
      <c r="F1063" s="72" t="s">
        <v>41</v>
      </c>
      <c r="G1063" s="72" t="s">
        <v>1573</v>
      </c>
    </row>
    <row r="1064" spans="1:7" x14ac:dyDescent="0.2">
      <c r="A1064" s="5" t="s">
        <v>1577</v>
      </c>
      <c r="B1064" s="6" t="s">
        <v>36</v>
      </c>
      <c r="C1064" s="6" t="s">
        <v>45</v>
      </c>
      <c r="D1064" s="72" t="str">
        <f t="shared" si="19"/>
        <v>121_O_c</v>
      </c>
      <c r="E1064" s="72">
        <v>88</v>
      </c>
      <c r="F1064" s="72" t="s">
        <v>34</v>
      </c>
      <c r="G1064" s="72" t="s">
        <v>1584</v>
      </c>
    </row>
    <row r="1065" spans="1:7" x14ac:dyDescent="0.2">
      <c r="A1065" s="5" t="s">
        <v>1577</v>
      </c>
      <c r="B1065" s="6" t="s">
        <v>27</v>
      </c>
      <c r="C1065" s="6" t="s">
        <v>45</v>
      </c>
      <c r="D1065" s="72" t="str">
        <f t="shared" si="19"/>
        <v>121_S_c</v>
      </c>
      <c r="E1065" s="72">
        <v>102</v>
      </c>
      <c r="F1065" s="72" t="s">
        <v>41</v>
      </c>
      <c r="G1065" s="72" t="s">
        <v>1587</v>
      </c>
    </row>
    <row r="1066" spans="1:7" x14ac:dyDescent="0.2">
      <c r="A1066" s="5" t="s">
        <v>1577</v>
      </c>
      <c r="B1066" s="6" t="s">
        <v>33</v>
      </c>
      <c r="C1066" s="6" t="s">
        <v>45</v>
      </c>
      <c r="D1066" s="72" t="str">
        <f t="shared" si="19"/>
        <v>121_V_c</v>
      </c>
      <c r="E1066" s="72">
        <v>104</v>
      </c>
      <c r="F1066" s="72" t="s">
        <v>34</v>
      </c>
      <c r="G1066" s="72" t="s">
        <v>1588</v>
      </c>
    </row>
    <row r="1067" spans="1:7" x14ac:dyDescent="0.2">
      <c r="A1067" s="5" t="s">
        <v>1593</v>
      </c>
      <c r="B1067" s="6" t="s">
        <v>36</v>
      </c>
      <c r="C1067" s="6" t="s">
        <v>45</v>
      </c>
      <c r="D1067" s="72" t="str">
        <f t="shared" si="19"/>
        <v>122_O_c</v>
      </c>
      <c r="E1067" s="72">
        <v>93</v>
      </c>
      <c r="F1067" s="72" t="s">
        <v>39</v>
      </c>
      <c r="G1067" s="72" t="s">
        <v>1601</v>
      </c>
    </row>
    <row r="1068" spans="1:7" x14ac:dyDescent="0.2">
      <c r="A1068" s="5" t="s">
        <v>1593</v>
      </c>
      <c r="B1068" s="6" t="s">
        <v>27</v>
      </c>
      <c r="C1068" s="6" t="s">
        <v>45</v>
      </c>
      <c r="D1068" s="72" t="str">
        <f t="shared" si="19"/>
        <v>122_S_c</v>
      </c>
      <c r="E1068" s="72">
        <v>82</v>
      </c>
      <c r="F1068" s="72" t="s">
        <v>63</v>
      </c>
      <c r="G1068" s="72" t="s">
        <v>1600</v>
      </c>
    </row>
    <row r="1069" spans="1:7" x14ac:dyDescent="0.2">
      <c r="A1069" s="5" t="s">
        <v>1593</v>
      </c>
      <c r="B1069" s="6" t="s">
        <v>33</v>
      </c>
      <c r="C1069" s="6" t="s">
        <v>45</v>
      </c>
      <c r="D1069" s="72" t="str">
        <f t="shared" si="19"/>
        <v>122_V_c</v>
      </c>
      <c r="E1069" s="72">
        <v>108</v>
      </c>
      <c r="F1069" s="72" t="s">
        <v>41</v>
      </c>
      <c r="G1069" s="72" t="s">
        <v>1602</v>
      </c>
    </row>
    <row r="1070" spans="1:7" x14ac:dyDescent="0.2">
      <c r="A1070" s="5" t="s">
        <v>1606</v>
      </c>
      <c r="B1070" s="6" t="s">
        <v>36</v>
      </c>
      <c r="C1070" s="6" t="s">
        <v>45</v>
      </c>
      <c r="D1070" s="72" t="str">
        <f t="shared" si="19"/>
        <v>123_O_c</v>
      </c>
      <c r="E1070" s="72">
        <v>107</v>
      </c>
      <c r="F1070" s="72" t="s">
        <v>68</v>
      </c>
      <c r="G1070" s="72" t="s">
        <v>1615</v>
      </c>
    </row>
    <row r="1071" spans="1:7" x14ac:dyDescent="0.2">
      <c r="A1071" s="5" t="s">
        <v>1606</v>
      </c>
      <c r="B1071" s="6" t="s">
        <v>27</v>
      </c>
      <c r="C1071" s="6" t="s">
        <v>45</v>
      </c>
      <c r="D1071" s="72" t="str">
        <f t="shared" si="19"/>
        <v>123_S_c</v>
      </c>
      <c r="E1071" s="72">
        <v>90</v>
      </c>
      <c r="F1071" s="72" t="s">
        <v>41</v>
      </c>
      <c r="G1071" s="72" t="s">
        <v>1614</v>
      </c>
    </row>
    <row r="1072" spans="1:7" x14ac:dyDescent="0.2">
      <c r="A1072" s="5" t="s">
        <v>1606</v>
      </c>
      <c r="B1072" s="6" t="s">
        <v>33</v>
      </c>
      <c r="C1072" s="6" t="s">
        <v>45</v>
      </c>
      <c r="D1072" s="72" t="str">
        <f t="shared" si="19"/>
        <v>123_V_c</v>
      </c>
      <c r="E1072" s="72">
        <v>77</v>
      </c>
      <c r="F1072" s="72" t="s">
        <v>39</v>
      </c>
      <c r="G1072" s="72" t="s">
        <v>1613</v>
      </c>
    </row>
    <row r="1073" spans="1:7" x14ac:dyDescent="0.2">
      <c r="A1073" s="5" t="s">
        <v>1619</v>
      </c>
      <c r="B1073" s="6" t="s">
        <v>36</v>
      </c>
      <c r="C1073" s="6" t="s">
        <v>45</v>
      </c>
      <c r="D1073" s="72" t="str">
        <f t="shared" si="19"/>
        <v>EXC_O_c</v>
      </c>
      <c r="E1073" s="72">
        <v>108</v>
      </c>
      <c r="F1073" s="72" t="s">
        <v>34</v>
      </c>
      <c r="G1073" s="72" t="s">
        <v>1628</v>
      </c>
    </row>
    <row r="1074" spans="1:7" x14ac:dyDescent="0.2">
      <c r="A1074" s="5" t="s">
        <v>1619</v>
      </c>
      <c r="B1074" s="6" t="s">
        <v>27</v>
      </c>
      <c r="C1074" s="6" t="s">
        <v>45</v>
      </c>
      <c r="D1074" s="72" t="str">
        <f t="shared" si="19"/>
        <v>EXC_S_c</v>
      </c>
      <c r="E1074" s="72">
        <v>91</v>
      </c>
      <c r="F1074" s="72" t="s">
        <v>49</v>
      </c>
      <c r="G1074" s="72" t="s">
        <v>1626</v>
      </c>
    </row>
    <row r="1075" spans="1:7" x14ac:dyDescent="0.2">
      <c r="A1075" s="5" t="s">
        <v>1619</v>
      </c>
      <c r="B1075" s="6" t="s">
        <v>33</v>
      </c>
      <c r="C1075" s="6" t="s">
        <v>45</v>
      </c>
      <c r="D1075" s="72" t="str">
        <f t="shared" si="19"/>
        <v>EXC_V_c</v>
      </c>
      <c r="E1075" s="72">
        <v>92</v>
      </c>
      <c r="F1075" s="72" t="s">
        <v>29</v>
      </c>
      <c r="G1075" s="72" t="s">
        <v>1627</v>
      </c>
    </row>
    <row r="1076" spans="1:7" x14ac:dyDescent="0.2">
      <c r="A1076" s="5" t="s">
        <v>1675</v>
      </c>
      <c r="B1076" s="6" t="s">
        <v>36</v>
      </c>
      <c r="C1076" s="6" t="s">
        <v>45</v>
      </c>
      <c r="D1076" s="72" t="str">
        <f t="shared" si="19"/>
        <v>NIG_O_c</v>
      </c>
      <c r="E1076" s="72">
        <v>99</v>
      </c>
      <c r="F1076" s="72" t="s">
        <v>49</v>
      </c>
      <c r="G1076" s="72" t="s">
        <v>1684</v>
      </c>
    </row>
    <row r="1077" spans="1:7" x14ac:dyDescent="0.2">
      <c r="A1077" s="5" t="s">
        <v>1675</v>
      </c>
      <c r="B1077" s="6" t="s">
        <v>27</v>
      </c>
      <c r="C1077" s="6" t="s">
        <v>45</v>
      </c>
      <c r="D1077" s="72" t="str">
        <f t="shared" si="19"/>
        <v>NIG_S_c</v>
      </c>
      <c r="E1077" s="72">
        <v>87</v>
      </c>
      <c r="F1077" s="72" t="s">
        <v>63</v>
      </c>
      <c r="G1077" s="72" t="s">
        <v>1682</v>
      </c>
    </row>
    <row r="1078" spans="1:7" x14ac:dyDescent="0.2">
      <c r="A1078" s="5" t="s">
        <v>1675</v>
      </c>
      <c r="B1078" s="6" t="s">
        <v>33</v>
      </c>
      <c r="C1078" s="6" t="s">
        <v>45</v>
      </c>
      <c r="D1078" s="72" t="str">
        <f t="shared" si="19"/>
        <v>NIG_V_c</v>
      </c>
      <c r="E1078" s="72">
        <v>99</v>
      </c>
      <c r="F1078" s="72" t="s">
        <v>39</v>
      </c>
      <c r="G1078" s="72" t="s">
        <v>1683</v>
      </c>
    </row>
    <row r="1079" spans="1:7" x14ac:dyDescent="0.2">
      <c r="A1079" s="5" t="s">
        <v>1688</v>
      </c>
      <c r="B1079" s="6" t="s">
        <v>36</v>
      </c>
      <c r="C1079" s="6" t="s">
        <v>45</v>
      </c>
      <c r="D1079" s="72" t="str">
        <f t="shared" si="19"/>
        <v>UNI_O_c</v>
      </c>
      <c r="E1079" s="72">
        <v>86</v>
      </c>
      <c r="F1079" s="72" t="s">
        <v>68</v>
      </c>
      <c r="G1079" s="72" t="s">
        <v>1701</v>
      </c>
    </row>
    <row r="1080" spans="1:7" x14ac:dyDescent="0.2">
      <c r="A1080" s="5" t="s">
        <v>1688</v>
      </c>
      <c r="B1080" s="6" t="s">
        <v>27</v>
      </c>
      <c r="C1080" s="6" t="s">
        <v>45</v>
      </c>
      <c r="D1080" s="72" t="str">
        <f t="shared" si="19"/>
        <v>UNI_S_c</v>
      </c>
      <c r="E1080" s="72">
        <v>86</v>
      </c>
      <c r="F1080" s="72" t="s">
        <v>43</v>
      </c>
      <c r="G1080" s="72" t="s">
        <v>1699</v>
      </c>
    </row>
    <row r="1081" spans="1:7" x14ac:dyDescent="0.2">
      <c r="A1081" s="5" t="s">
        <v>1688</v>
      </c>
      <c r="B1081" s="6" t="s">
        <v>33</v>
      </c>
      <c r="C1081" s="6" t="s">
        <v>45</v>
      </c>
      <c r="D1081" s="72" t="str">
        <f t="shared" si="19"/>
        <v>UNI_V_c</v>
      </c>
      <c r="E1081" s="72">
        <v>90</v>
      </c>
      <c r="F1081" s="72" t="s">
        <v>82</v>
      </c>
      <c r="G1081" s="72" t="s">
        <v>1702</v>
      </c>
    </row>
    <row r="1082" spans="1:7" s="19" customFormat="1" x14ac:dyDescent="0.2">
      <c r="A1082" s="17" t="s">
        <v>26</v>
      </c>
      <c r="B1082" s="18" t="s">
        <v>36</v>
      </c>
      <c r="C1082" s="18" t="s">
        <v>52</v>
      </c>
      <c r="D1082" s="72" t="str">
        <f t="shared" si="19"/>
        <v>001_O_d</v>
      </c>
      <c r="E1082" s="72">
        <v>115</v>
      </c>
      <c r="F1082" s="72" t="s">
        <v>34</v>
      </c>
      <c r="G1082" s="72" t="s">
        <v>53</v>
      </c>
    </row>
    <row r="1083" spans="1:7" x14ac:dyDescent="0.2">
      <c r="A1083" s="5" t="s">
        <v>26</v>
      </c>
      <c r="B1083" s="6" t="s">
        <v>27</v>
      </c>
      <c r="C1083" s="6" t="s">
        <v>52</v>
      </c>
      <c r="D1083" s="72" t="str">
        <f t="shared" si="19"/>
        <v>001_S_d</v>
      </c>
      <c r="E1083" s="72">
        <v>116</v>
      </c>
      <c r="F1083" s="72" t="s">
        <v>34</v>
      </c>
      <c r="G1083" s="72" t="s">
        <v>55</v>
      </c>
    </row>
    <row r="1084" spans="1:7" x14ac:dyDescent="0.2">
      <c r="A1084" s="5" t="s">
        <v>26</v>
      </c>
      <c r="B1084" s="6" t="s">
        <v>33</v>
      </c>
      <c r="C1084" s="6" t="s">
        <v>52</v>
      </c>
      <c r="D1084" s="72" t="str">
        <f t="shared" si="19"/>
        <v>001_V_d</v>
      </c>
      <c r="E1084" s="72">
        <v>120</v>
      </c>
      <c r="F1084" s="72" t="s">
        <v>34</v>
      </c>
      <c r="G1084" s="72" t="s">
        <v>58</v>
      </c>
    </row>
    <row r="1085" spans="1:7" x14ac:dyDescent="0.2">
      <c r="A1085" s="5" t="s">
        <v>59</v>
      </c>
      <c r="B1085" s="6" t="s">
        <v>36</v>
      </c>
      <c r="C1085" s="6" t="s">
        <v>52</v>
      </c>
      <c r="D1085" s="72" t="str">
        <f t="shared" si="19"/>
        <v>002_O_d</v>
      </c>
      <c r="E1085" s="72">
        <v>111</v>
      </c>
      <c r="F1085" s="72" t="s">
        <v>70</v>
      </c>
      <c r="G1085" s="72" t="s">
        <v>75</v>
      </c>
    </row>
    <row r="1086" spans="1:7" x14ac:dyDescent="0.2">
      <c r="A1086" s="5" t="s">
        <v>59</v>
      </c>
      <c r="B1086" s="6" t="s">
        <v>27</v>
      </c>
      <c r="C1086" s="6" t="s">
        <v>52</v>
      </c>
      <c r="D1086" s="72" t="str">
        <f t="shared" si="19"/>
        <v>002_S_d</v>
      </c>
      <c r="E1086" s="72">
        <v>137</v>
      </c>
      <c r="F1086" s="72" t="s">
        <v>41</v>
      </c>
      <c r="G1086" s="72" t="s">
        <v>77</v>
      </c>
    </row>
    <row r="1087" spans="1:7" x14ac:dyDescent="0.2">
      <c r="A1087" s="5" t="s">
        <v>59</v>
      </c>
      <c r="B1087" s="6" t="s">
        <v>33</v>
      </c>
      <c r="C1087" s="6" t="s">
        <v>52</v>
      </c>
      <c r="D1087" s="72" t="str">
        <f t="shared" si="19"/>
        <v>002_V_d</v>
      </c>
      <c r="E1087" s="72">
        <v>118</v>
      </c>
      <c r="F1087" s="72" t="s">
        <v>68</v>
      </c>
      <c r="G1087" s="72" t="s">
        <v>76</v>
      </c>
    </row>
    <row r="1088" spans="1:7" x14ac:dyDescent="0.2">
      <c r="A1088" s="5" t="s">
        <v>79</v>
      </c>
      <c r="B1088" s="6" t="s">
        <v>36</v>
      </c>
      <c r="C1088" s="6" t="s">
        <v>52</v>
      </c>
      <c r="D1088" s="72" t="str">
        <f t="shared" si="19"/>
        <v>003_O_d</v>
      </c>
      <c r="E1088" s="72">
        <v>134</v>
      </c>
      <c r="F1088" s="72" t="s">
        <v>41</v>
      </c>
      <c r="G1088" s="72" t="s">
        <v>92</v>
      </c>
    </row>
    <row r="1089" spans="1:7" x14ac:dyDescent="0.2">
      <c r="A1089" s="5" t="s">
        <v>79</v>
      </c>
      <c r="B1089" s="6" t="s">
        <v>27</v>
      </c>
      <c r="C1089" s="6" t="s">
        <v>52</v>
      </c>
      <c r="D1089" s="72" t="str">
        <f t="shared" si="19"/>
        <v>003_S_d</v>
      </c>
      <c r="E1089" s="72">
        <v>115</v>
      </c>
      <c r="F1089" s="72" t="s">
        <v>41</v>
      </c>
      <c r="G1089" s="72" t="s">
        <v>91</v>
      </c>
    </row>
    <row r="1090" spans="1:7" x14ac:dyDescent="0.2">
      <c r="A1090" s="5" t="s">
        <v>79</v>
      </c>
      <c r="B1090" s="6" t="s">
        <v>33</v>
      </c>
      <c r="C1090" s="6" t="s">
        <v>52</v>
      </c>
      <c r="D1090" s="72" t="str">
        <f t="shared" ref="D1090:D1153" si="20">A1090&amp;"_"&amp;B1090&amp;"_"&amp;C1090</f>
        <v>003_V_d</v>
      </c>
      <c r="E1090" s="72">
        <v>141</v>
      </c>
      <c r="F1090" s="72" t="s">
        <v>29</v>
      </c>
      <c r="G1090" s="72" t="s">
        <v>93</v>
      </c>
    </row>
    <row r="1091" spans="1:7" x14ac:dyDescent="0.2">
      <c r="A1091" s="5" t="s">
        <v>94</v>
      </c>
      <c r="B1091" s="6" t="s">
        <v>36</v>
      </c>
      <c r="C1091" s="6" t="s">
        <v>52</v>
      </c>
      <c r="D1091" s="72" t="str">
        <f t="shared" si="20"/>
        <v>004_O_d</v>
      </c>
      <c r="E1091" s="72">
        <v>128</v>
      </c>
      <c r="F1091" s="72" t="s">
        <v>49</v>
      </c>
      <c r="G1091" s="72" t="s">
        <v>106</v>
      </c>
    </row>
    <row r="1092" spans="1:7" x14ac:dyDescent="0.2">
      <c r="A1092" s="5" t="s">
        <v>94</v>
      </c>
      <c r="B1092" s="6" t="s">
        <v>27</v>
      </c>
      <c r="C1092" s="6" t="s">
        <v>52</v>
      </c>
      <c r="D1092" s="72" t="str">
        <f t="shared" si="20"/>
        <v>004_S_d</v>
      </c>
      <c r="E1092" s="72">
        <v>113</v>
      </c>
      <c r="F1092" s="72" t="s">
        <v>43</v>
      </c>
      <c r="G1092" s="72" t="s">
        <v>104</v>
      </c>
    </row>
    <row r="1093" spans="1:7" x14ac:dyDescent="0.2">
      <c r="A1093" s="5" t="s">
        <v>94</v>
      </c>
      <c r="B1093" s="6" t="s">
        <v>33</v>
      </c>
      <c r="C1093" s="6" t="s">
        <v>52</v>
      </c>
      <c r="D1093" s="72" t="str">
        <f t="shared" si="20"/>
        <v>004_V_d</v>
      </c>
      <c r="E1093" s="72">
        <v>126</v>
      </c>
      <c r="F1093" s="72" t="s">
        <v>49</v>
      </c>
      <c r="G1093" s="72" t="s">
        <v>105</v>
      </c>
    </row>
    <row r="1094" spans="1:7" x14ac:dyDescent="0.2">
      <c r="A1094" s="5" t="s">
        <v>107</v>
      </c>
      <c r="B1094" s="6" t="s">
        <v>36</v>
      </c>
      <c r="C1094" s="6" t="s">
        <v>52</v>
      </c>
      <c r="D1094" s="72" t="str">
        <f t="shared" si="20"/>
        <v>005_O_d</v>
      </c>
      <c r="E1094" s="72">
        <v>111</v>
      </c>
      <c r="F1094" s="72" t="s">
        <v>49</v>
      </c>
      <c r="G1094" s="72" t="s">
        <v>117</v>
      </c>
    </row>
    <row r="1095" spans="1:7" x14ac:dyDescent="0.2">
      <c r="A1095" s="5" t="s">
        <v>107</v>
      </c>
      <c r="B1095" s="6" t="s">
        <v>27</v>
      </c>
      <c r="C1095" s="6" t="s">
        <v>52</v>
      </c>
      <c r="D1095" s="72" t="str">
        <f t="shared" si="20"/>
        <v>005_S_d</v>
      </c>
      <c r="E1095" s="72">
        <v>122</v>
      </c>
      <c r="F1095" s="72" t="s">
        <v>41</v>
      </c>
      <c r="G1095" s="72" t="s">
        <v>119</v>
      </c>
    </row>
    <row r="1096" spans="1:7" x14ac:dyDescent="0.2">
      <c r="A1096" s="5" t="s">
        <v>107</v>
      </c>
      <c r="B1096" s="6" t="s">
        <v>33</v>
      </c>
      <c r="C1096" s="6" t="s">
        <v>52</v>
      </c>
      <c r="D1096" s="72" t="str">
        <f t="shared" si="20"/>
        <v>005_V_d</v>
      </c>
      <c r="E1096" s="72">
        <v>116</v>
      </c>
      <c r="F1096" s="72" t="s">
        <v>68</v>
      </c>
      <c r="G1096" s="72" t="s">
        <v>118</v>
      </c>
    </row>
    <row r="1097" spans="1:7" x14ac:dyDescent="0.2">
      <c r="A1097" s="5" t="s">
        <v>120</v>
      </c>
      <c r="B1097" s="6" t="s">
        <v>36</v>
      </c>
      <c r="C1097" s="6" t="s">
        <v>52</v>
      </c>
      <c r="D1097" s="72" t="str">
        <f t="shared" si="20"/>
        <v>006_O_d</v>
      </c>
      <c r="E1097" s="72">
        <v>131</v>
      </c>
      <c r="F1097" s="72" t="s">
        <v>68</v>
      </c>
      <c r="G1097" s="72" t="s">
        <v>133</v>
      </c>
    </row>
    <row r="1098" spans="1:7" x14ac:dyDescent="0.2">
      <c r="A1098" s="5" t="s">
        <v>120</v>
      </c>
      <c r="B1098" s="6" t="s">
        <v>27</v>
      </c>
      <c r="C1098" s="6" t="s">
        <v>52</v>
      </c>
      <c r="D1098" s="72" t="str">
        <f t="shared" si="20"/>
        <v>006_S_d</v>
      </c>
      <c r="E1098" s="72">
        <v>128</v>
      </c>
      <c r="F1098" s="72" t="s">
        <v>39</v>
      </c>
      <c r="G1098" s="72" t="s">
        <v>131</v>
      </c>
    </row>
    <row r="1099" spans="1:7" x14ac:dyDescent="0.2">
      <c r="A1099" s="5" t="s">
        <v>120</v>
      </c>
      <c r="B1099" s="6" t="s">
        <v>33</v>
      </c>
      <c r="C1099" s="6" t="s">
        <v>52</v>
      </c>
      <c r="D1099" s="72" t="str">
        <f t="shared" si="20"/>
        <v>006_V_d</v>
      </c>
      <c r="E1099" s="72">
        <v>129</v>
      </c>
      <c r="F1099" s="72" t="s">
        <v>63</v>
      </c>
      <c r="G1099" s="72" t="s">
        <v>132</v>
      </c>
    </row>
    <row r="1100" spans="1:7" x14ac:dyDescent="0.2">
      <c r="A1100" s="5" t="s">
        <v>134</v>
      </c>
      <c r="B1100" s="6" t="s">
        <v>36</v>
      </c>
      <c r="C1100" s="6" t="s">
        <v>52</v>
      </c>
      <c r="D1100" s="72" t="str">
        <f t="shared" si="20"/>
        <v>007_O_d</v>
      </c>
      <c r="E1100" s="72">
        <v>141</v>
      </c>
      <c r="F1100" s="72" t="s">
        <v>82</v>
      </c>
      <c r="G1100" s="72" t="s">
        <v>149</v>
      </c>
    </row>
    <row r="1101" spans="1:7" x14ac:dyDescent="0.2">
      <c r="A1101" s="5" t="s">
        <v>134</v>
      </c>
      <c r="B1101" s="6" t="s">
        <v>27</v>
      </c>
      <c r="C1101" s="6" t="s">
        <v>52</v>
      </c>
      <c r="D1101" s="72" t="str">
        <f t="shared" si="20"/>
        <v>007_S_d</v>
      </c>
      <c r="E1101" s="72">
        <v>132</v>
      </c>
      <c r="F1101" s="72" t="s">
        <v>63</v>
      </c>
      <c r="G1101" s="72" t="s">
        <v>146</v>
      </c>
    </row>
    <row r="1102" spans="1:7" x14ac:dyDescent="0.2">
      <c r="A1102" s="5" t="s">
        <v>134</v>
      </c>
      <c r="B1102" s="6" t="s">
        <v>33</v>
      </c>
      <c r="C1102" s="6" t="s">
        <v>52</v>
      </c>
      <c r="D1102" s="72" t="str">
        <f t="shared" si="20"/>
        <v>007_V_d</v>
      </c>
      <c r="E1102" s="72">
        <v>125</v>
      </c>
      <c r="F1102" s="72" t="s">
        <v>43</v>
      </c>
      <c r="G1102" s="72" t="s">
        <v>145</v>
      </c>
    </row>
    <row r="1103" spans="1:7" x14ac:dyDescent="0.2">
      <c r="A1103" s="5" t="s">
        <v>150</v>
      </c>
      <c r="B1103" s="6" t="s">
        <v>36</v>
      </c>
      <c r="C1103" s="6" t="s">
        <v>52</v>
      </c>
      <c r="D1103" s="72" t="str">
        <f t="shared" si="20"/>
        <v>008_O_d</v>
      </c>
      <c r="E1103" s="72">
        <v>139</v>
      </c>
      <c r="F1103" s="72" t="s">
        <v>70</v>
      </c>
      <c r="G1103" s="72" t="s">
        <v>163</v>
      </c>
    </row>
    <row r="1104" spans="1:7" x14ac:dyDescent="0.2">
      <c r="A1104" s="5" t="s">
        <v>150</v>
      </c>
      <c r="B1104" s="6" t="s">
        <v>27</v>
      </c>
      <c r="C1104" s="6" t="s">
        <v>52</v>
      </c>
      <c r="D1104" s="72" t="str">
        <f t="shared" si="20"/>
        <v>008_S_d</v>
      </c>
      <c r="E1104" s="72">
        <v>123</v>
      </c>
      <c r="F1104" s="72" t="s">
        <v>82</v>
      </c>
      <c r="G1104" s="72" t="s">
        <v>161</v>
      </c>
    </row>
    <row r="1105" spans="1:7" x14ac:dyDescent="0.2">
      <c r="A1105" s="5" t="s">
        <v>150</v>
      </c>
      <c r="B1105" s="6" t="s">
        <v>33</v>
      </c>
      <c r="C1105" s="6" t="s">
        <v>52</v>
      </c>
      <c r="D1105" s="72" t="str">
        <f t="shared" si="20"/>
        <v>008_V_d</v>
      </c>
      <c r="E1105" s="72">
        <v>116</v>
      </c>
      <c r="F1105" s="72" t="s">
        <v>41</v>
      </c>
      <c r="G1105" s="72" t="s">
        <v>160</v>
      </c>
    </row>
    <row r="1106" spans="1:7" x14ac:dyDescent="0.2">
      <c r="A1106" s="5" t="s">
        <v>164</v>
      </c>
      <c r="B1106" s="6" t="s">
        <v>36</v>
      </c>
      <c r="C1106" s="6" t="s">
        <v>52</v>
      </c>
      <c r="D1106" s="72" t="str">
        <f t="shared" si="20"/>
        <v>009_O_d</v>
      </c>
      <c r="E1106" s="72">
        <v>132</v>
      </c>
      <c r="F1106" s="72" t="s">
        <v>34</v>
      </c>
      <c r="G1106" s="72" t="s">
        <v>177</v>
      </c>
    </row>
    <row r="1107" spans="1:7" x14ac:dyDescent="0.2">
      <c r="A1107" s="5" t="s">
        <v>164</v>
      </c>
      <c r="B1107" s="6" t="s">
        <v>27</v>
      </c>
      <c r="C1107" s="6" t="s">
        <v>52</v>
      </c>
      <c r="D1107" s="72" t="str">
        <f t="shared" si="20"/>
        <v>009_S_d</v>
      </c>
      <c r="E1107" s="72">
        <v>123</v>
      </c>
      <c r="F1107" s="72" t="s">
        <v>63</v>
      </c>
      <c r="G1107" s="72" t="s">
        <v>175</v>
      </c>
    </row>
    <row r="1108" spans="1:7" x14ac:dyDescent="0.2">
      <c r="A1108" s="5" t="s">
        <v>164</v>
      </c>
      <c r="B1108" s="6" t="s">
        <v>33</v>
      </c>
      <c r="C1108" s="6" t="s">
        <v>52</v>
      </c>
      <c r="D1108" s="72" t="str">
        <f t="shared" si="20"/>
        <v>009_V_d</v>
      </c>
      <c r="E1108" s="72">
        <v>127</v>
      </c>
      <c r="F1108" s="72" t="s">
        <v>82</v>
      </c>
      <c r="G1108" s="72" t="s">
        <v>176</v>
      </c>
    </row>
    <row r="1109" spans="1:7" x14ac:dyDescent="0.2">
      <c r="A1109" s="5" t="s">
        <v>178</v>
      </c>
      <c r="B1109" s="6" t="s">
        <v>36</v>
      </c>
      <c r="C1109" s="6" t="s">
        <v>52</v>
      </c>
      <c r="D1109" s="72" t="str">
        <f t="shared" si="20"/>
        <v>010_O_d</v>
      </c>
      <c r="E1109" s="72">
        <v>125</v>
      </c>
      <c r="F1109" s="72" t="s">
        <v>82</v>
      </c>
      <c r="G1109" s="72" t="s">
        <v>189</v>
      </c>
    </row>
    <row r="1110" spans="1:7" x14ac:dyDescent="0.2">
      <c r="A1110" s="5" t="s">
        <v>178</v>
      </c>
      <c r="B1110" s="6" t="s">
        <v>27</v>
      </c>
      <c r="C1110" s="6" t="s">
        <v>52</v>
      </c>
      <c r="D1110" s="72" t="str">
        <f t="shared" si="20"/>
        <v>010_S_d</v>
      </c>
      <c r="E1110" s="72">
        <v>110</v>
      </c>
      <c r="F1110" s="72" t="s">
        <v>39</v>
      </c>
      <c r="G1110" s="72" t="s">
        <v>188</v>
      </c>
    </row>
    <row r="1111" spans="1:7" x14ac:dyDescent="0.2">
      <c r="A1111" s="5" t="s">
        <v>178</v>
      </c>
      <c r="B1111" s="6" t="s">
        <v>33</v>
      </c>
      <c r="C1111" s="6" t="s">
        <v>52</v>
      </c>
      <c r="D1111" s="72" t="str">
        <f t="shared" si="20"/>
        <v>010_V_d</v>
      </c>
      <c r="E1111" s="72">
        <v>125</v>
      </c>
      <c r="F1111" s="72" t="s">
        <v>41</v>
      </c>
      <c r="G1111" s="72" t="s">
        <v>190</v>
      </c>
    </row>
    <row r="1112" spans="1:7" x14ac:dyDescent="0.2">
      <c r="A1112" s="5" t="s">
        <v>191</v>
      </c>
      <c r="B1112" s="6" t="s">
        <v>36</v>
      </c>
      <c r="C1112" s="6" t="s">
        <v>52</v>
      </c>
      <c r="D1112" s="72" t="str">
        <f t="shared" si="20"/>
        <v>011_O_d</v>
      </c>
      <c r="E1112" s="72">
        <v>115</v>
      </c>
      <c r="F1112" s="72" t="s">
        <v>39</v>
      </c>
      <c r="G1112" s="72" t="s">
        <v>201</v>
      </c>
    </row>
    <row r="1113" spans="1:7" x14ac:dyDescent="0.2">
      <c r="A1113" s="5" t="s">
        <v>191</v>
      </c>
      <c r="B1113" s="6" t="s">
        <v>27</v>
      </c>
      <c r="C1113" s="6" t="s">
        <v>52</v>
      </c>
      <c r="D1113" s="72" t="str">
        <f t="shared" si="20"/>
        <v>011_S_d</v>
      </c>
      <c r="E1113" s="72">
        <v>130</v>
      </c>
      <c r="F1113" s="72" t="s">
        <v>39</v>
      </c>
      <c r="G1113" s="72" t="s">
        <v>202</v>
      </c>
    </row>
    <row r="1114" spans="1:7" x14ac:dyDescent="0.2">
      <c r="A1114" s="5" t="s">
        <v>191</v>
      </c>
      <c r="B1114" s="6" t="s">
        <v>33</v>
      </c>
      <c r="C1114" s="6" t="s">
        <v>52</v>
      </c>
      <c r="D1114" s="72" t="str">
        <f t="shared" si="20"/>
        <v>011_V_d</v>
      </c>
      <c r="E1114" s="72">
        <v>134</v>
      </c>
      <c r="F1114" s="72" t="s">
        <v>68</v>
      </c>
      <c r="G1114" s="72" t="s">
        <v>203</v>
      </c>
    </row>
    <row r="1115" spans="1:7" x14ac:dyDescent="0.2">
      <c r="A1115" s="5" t="s">
        <v>204</v>
      </c>
      <c r="B1115" s="6" t="s">
        <v>36</v>
      </c>
      <c r="C1115" s="6" t="s">
        <v>52</v>
      </c>
      <c r="D1115" s="72" t="str">
        <f t="shared" si="20"/>
        <v>012_O_d</v>
      </c>
      <c r="E1115" s="72">
        <v>124</v>
      </c>
      <c r="F1115" s="72" t="s">
        <v>29</v>
      </c>
      <c r="G1115" s="72" t="s">
        <v>216</v>
      </c>
    </row>
    <row r="1116" spans="1:7" x14ac:dyDescent="0.2">
      <c r="A1116" s="5" t="s">
        <v>204</v>
      </c>
      <c r="B1116" s="6" t="s">
        <v>27</v>
      </c>
      <c r="C1116" s="6" t="s">
        <v>52</v>
      </c>
      <c r="D1116" s="72" t="str">
        <f t="shared" si="20"/>
        <v>012_S_d</v>
      </c>
      <c r="E1116" s="72">
        <v>131</v>
      </c>
      <c r="F1116" s="72" t="s">
        <v>41</v>
      </c>
      <c r="G1116" s="72" t="s">
        <v>218</v>
      </c>
    </row>
    <row r="1117" spans="1:7" x14ac:dyDescent="0.2">
      <c r="A1117" s="5" t="s">
        <v>204</v>
      </c>
      <c r="B1117" s="6" t="s">
        <v>33</v>
      </c>
      <c r="C1117" s="6" t="s">
        <v>52</v>
      </c>
      <c r="D1117" s="72" t="str">
        <f t="shared" si="20"/>
        <v>012_V_d</v>
      </c>
      <c r="E1117" s="72">
        <v>118</v>
      </c>
      <c r="F1117" s="72" t="s">
        <v>41</v>
      </c>
      <c r="G1117" s="72" t="s">
        <v>215</v>
      </c>
    </row>
    <row r="1118" spans="1:7" x14ac:dyDescent="0.2">
      <c r="A1118" s="5" t="s">
        <v>219</v>
      </c>
      <c r="B1118" s="6" t="s">
        <v>36</v>
      </c>
      <c r="C1118" s="6" t="s">
        <v>52</v>
      </c>
      <c r="D1118" s="72" t="str">
        <f t="shared" si="20"/>
        <v>013_O_d</v>
      </c>
      <c r="E1118" s="72">
        <v>142</v>
      </c>
      <c r="F1118" s="72" t="s">
        <v>43</v>
      </c>
      <c r="G1118" s="72" t="s">
        <v>231</v>
      </c>
    </row>
    <row r="1119" spans="1:7" x14ac:dyDescent="0.2">
      <c r="A1119" s="5" t="s">
        <v>219</v>
      </c>
      <c r="B1119" s="6" t="s">
        <v>27</v>
      </c>
      <c r="C1119" s="6" t="s">
        <v>52</v>
      </c>
      <c r="D1119" s="72" t="str">
        <f t="shared" si="20"/>
        <v>013_S_d</v>
      </c>
      <c r="E1119" s="72">
        <v>132</v>
      </c>
      <c r="F1119" s="72" t="s">
        <v>29</v>
      </c>
      <c r="G1119" s="72" t="s">
        <v>230</v>
      </c>
    </row>
    <row r="1120" spans="1:7" x14ac:dyDescent="0.2">
      <c r="A1120" s="5" t="s">
        <v>219</v>
      </c>
      <c r="B1120" s="6" t="s">
        <v>33</v>
      </c>
      <c r="C1120" s="6" t="s">
        <v>52</v>
      </c>
      <c r="D1120" s="72" t="str">
        <f t="shared" si="20"/>
        <v>013_V_d</v>
      </c>
      <c r="E1120" s="72">
        <v>117</v>
      </c>
      <c r="F1120" s="72" t="s">
        <v>70</v>
      </c>
      <c r="G1120" s="72" t="s">
        <v>229</v>
      </c>
    </row>
    <row r="1121" spans="1:7" x14ac:dyDescent="0.2">
      <c r="A1121" s="5" t="s">
        <v>232</v>
      </c>
      <c r="B1121" s="6" t="s">
        <v>36</v>
      </c>
      <c r="C1121" s="6" t="s">
        <v>52</v>
      </c>
      <c r="D1121" s="72" t="str">
        <f t="shared" si="20"/>
        <v>014_O_d</v>
      </c>
      <c r="E1121" s="72">
        <v>111</v>
      </c>
      <c r="F1121" s="72" t="s">
        <v>29</v>
      </c>
      <c r="G1121" s="72" t="s">
        <v>243</v>
      </c>
    </row>
    <row r="1122" spans="1:7" x14ac:dyDescent="0.2">
      <c r="A1122" s="5" t="s">
        <v>232</v>
      </c>
      <c r="B1122" s="6" t="s">
        <v>27</v>
      </c>
      <c r="C1122" s="6" t="s">
        <v>52</v>
      </c>
      <c r="D1122" s="72" t="str">
        <f t="shared" si="20"/>
        <v>014_S_d</v>
      </c>
      <c r="E1122" s="72">
        <v>138</v>
      </c>
      <c r="F1122" s="72" t="s">
        <v>43</v>
      </c>
      <c r="G1122" s="72" t="s">
        <v>244</v>
      </c>
    </row>
    <row r="1123" spans="1:7" x14ac:dyDescent="0.2">
      <c r="A1123" s="5" t="s">
        <v>232</v>
      </c>
      <c r="B1123" s="6" t="s">
        <v>33</v>
      </c>
      <c r="C1123" s="6" t="s">
        <v>52</v>
      </c>
      <c r="D1123" s="72" t="str">
        <f t="shared" si="20"/>
        <v>014_V_d</v>
      </c>
      <c r="E1123" s="72">
        <v>109</v>
      </c>
      <c r="F1123" s="72" t="s">
        <v>82</v>
      </c>
      <c r="G1123" s="72" t="s">
        <v>242</v>
      </c>
    </row>
    <row r="1124" spans="1:7" x14ac:dyDescent="0.2">
      <c r="A1124" s="5" t="s">
        <v>245</v>
      </c>
      <c r="B1124" s="6" t="s">
        <v>36</v>
      </c>
      <c r="C1124" s="6" t="s">
        <v>52</v>
      </c>
      <c r="D1124" s="72" t="str">
        <f t="shared" si="20"/>
        <v>015_O_d</v>
      </c>
      <c r="E1124" s="72">
        <v>123</v>
      </c>
      <c r="F1124" s="72" t="s">
        <v>39</v>
      </c>
      <c r="G1124" s="72" t="s">
        <v>255</v>
      </c>
    </row>
    <row r="1125" spans="1:7" x14ac:dyDescent="0.2">
      <c r="A1125" s="5" t="s">
        <v>245</v>
      </c>
      <c r="B1125" s="6" t="s">
        <v>27</v>
      </c>
      <c r="C1125" s="6" t="s">
        <v>52</v>
      </c>
      <c r="D1125" s="72" t="str">
        <f t="shared" si="20"/>
        <v>015_S_d</v>
      </c>
      <c r="E1125" s="72">
        <v>127</v>
      </c>
      <c r="F1125" s="72" t="s">
        <v>39</v>
      </c>
      <c r="G1125" s="72" t="s">
        <v>256</v>
      </c>
    </row>
    <row r="1126" spans="1:7" x14ac:dyDescent="0.2">
      <c r="A1126" s="5" t="s">
        <v>245</v>
      </c>
      <c r="B1126" s="6" t="s">
        <v>33</v>
      </c>
      <c r="C1126" s="6" t="s">
        <v>52</v>
      </c>
      <c r="D1126" s="72" t="str">
        <f t="shared" si="20"/>
        <v>015_V_d</v>
      </c>
      <c r="E1126" s="72">
        <v>139</v>
      </c>
      <c r="F1126" s="72" t="s">
        <v>82</v>
      </c>
      <c r="G1126" s="72" t="s">
        <v>257</v>
      </c>
    </row>
    <row r="1127" spans="1:7" x14ac:dyDescent="0.2">
      <c r="A1127" s="5" t="s">
        <v>258</v>
      </c>
      <c r="B1127" s="6" t="s">
        <v>36</v>
      </c>
      <c r="C1127" s="6" t="s">
        <v>52</v>
      </c>
      <c r="D1127" s="72" t="str">
        <f t="shared" si="20"/>
        <v>016_O_d</v>
      </c>
      <c r="E1127" s="72">
        <v>127</v>
      </c>
      <c r="F1127" s="72" t="s">
        <v>49</v>
      </c>
      <c r="G1127" s="72" t="s">
        <v>271</v>
      </c>
    </row>
    <row r="1128" spans="1:7" x14ac:dyDescent="0.2">
      <c r="A1128" s="5" t="s">
        <v>258</v>
      </c>
      <c r="B1128" s="6" t="s">
        <v>27</v>
      </c>
      <c r="C1128" s="6" t="s">
        <v>52</v>
      </c>
      <c r="D1128" s="72" t="str">
        <f t="shared" si="20"/>
        <v>016_S_d</v>
      </c>
      <c r="E1128" s="72">
        <v>121</v>
      </c>
      <c r="F1128" s="72" t="s">
        <v>29</v>
      </c>
      <c r="G1128" s="72" t="s">
        <v>269</v>
      </c>
    </row>
    <row r="1129" spans="1:7" x14ac:dyDescent="0.2">
      <c r="A1129" s="5" t="s">
        <v>258</v>
      </c>
      <c r="B1129" s="6" t="s">
        <v>33</v>
      </c>
      <c r="C1129" s="6" t="s">
        <v>52</v>
      </c>
      <c r="D1129" s="72" t="str">
        <f t="shared" si="20"/>
        <v>016_V_d</v>
      </c>
      <c r="E1129" s="72">
        <v>126</v>
      </c>
      <c r="F1129" s="72" t="s">
        <v>82</v>
      </c>
      <c r="G1129" s="72" t="s">
        <v>270</v>
      </c>
    </row>
    <row r="1130" spans="1:7" x14ac:dyDescent="0.2">
      <c r="A1130" s="5" t="s">
        <v>272</v>
      </c>
      <c r="B1130" s="6" t="s">
        <v>36</v>
      </c>
      <c r="C1130" s="6" t="s">
        <v>52</v>
      </c>
      <c r="D1130" s="72" t="str">
        <f t="shared" si="20"/>
        <v>017_O_d</v>
      </c>
      <c r="E1130" s="72">
        <v>124</v>
      </c>
      <c r="F1130" s="72" t="s">
        <v>70</v>
      </c>
      <c r="G1130" s="72" t="s">
        <v>284</v>
      </c>
    </row>
    <row r="1131" spans="1:7" x14ac:dyDescent="0.2">
      <c r="A1131" s="5" t="s">
        <v>272</v>
      </c>
      <c r="B1131" s="6" t="s">
        <v>27</v>
      </c>
      <c r="C1131" s="6" t="s">
        <v>52</v>
      </c>
      <c r="D1131" s="72" t="str">
        <f t="shared" si="20"/>
        <v>017_S_d</v>
      </c>
      <c r="E1131" s="72">
        <v>134</v>
      </c>
      <c r="F1131" s="72" t="s">
        <v>39</v>
      </c>
      <c r="G1131" s="72" t="s">
        <v>286</v>
      </c>
    </row>
    <row r="1132" spans="1:7" x14ac:dyDescent="0.2">
      <c r="A1132" s="5" t="s">
        <v>272</v>
      </c>
      <c r="B1132" s="6" t="s">
        <v>33</v>
      </c>
      <c r="C1132" s="6" t="s">
        <v>52</v>
      </c>
      <c r="D1132" s="72" t="str">
        <f t="shared" si="20"/>
        <v>017_V_d</v>
      </c>
      <c r="E1132" s="72">
        <v>134</v>
      </c>
      <c r="F1132" s="72" t="s">
        <v>29</v>
      </c>
      <c r="G1132" s="72" t="s">
        <v>285</v>
      </c>
    </row>
    <row r="1133" spans="1:7" x14ac:dyDescent="0.2">
      <c r="A1133" s="5" t="s">
        <v>287</v>
      </c>
      <c r="B1133" s="6" t="s">
        <v>36</v>
      </c>
      <c r="C1133" s="6" t="s">
        <v>52</v>
      </c>
      <c r="D1133" s="72" t="str">
        <f t="shared" si="20"/>
        <v>018_O_d</v>
      </c>
      <c r="E1133" s="72">
        <v>124</v>
      </c>
      <c r="F1133" s="72" t="s">
        <v>43</v>
      </c>
      <c r="G1133" s="72" t="s">
        <v>299</v>
      </c>
    </row>
    <row r="1134" spans="1:7" x14ac:dyDescent="0.2">
      <c r="A1134" s="5" t="s">
        <v>287</v>
      </c>
      <c r="B1134" s="6" t="s">
        <v>27</v>
      </c>
      <c r="C1134" s="6" t="s">
        <v>52</v>
      </c>
      <c r="D1134" s="72" t="str">
        <f t="shared" si="20"/>
        <v>018_S_d</v>
      </c>
      <c r="E1134" s="72">
        <v>112</v>
      </c>
      <c r="F1134" s="72" t="s">
        <v>34</v>
      </c>
      <c r="G1134" s="72" t="s">
        <v>297</v>
      </c>
    </row>
    <row r="1135" spans="1:7" x14ac:dyDescent="0.2">
      <c r="A1135" s="5" t="s">
        <v>287</v>
      </c>
      <c r="B1135" s="6" t="s">
        <v>33</v>
      </c>
      <c r="C1135" s="6" t="s">
        <v>52</v>
      </c>
      <c r="D1135" s="72" t="str">
        <f t="shared" si="20"/>
        <v>018_V_d</v>
      </c>
      <c r="E1135" s="72">
        <v>116</v>
      </c>
      <c r="F1135" s="72" t="s">
        <v>82</v>
      </c>
      <c r="G1135" s="72" t="s">
        <v>298</v>
      </c>
    </row>
    <row r="1136" spans="1:7" x14ac:dyDescent="0.2">
      <c r="A1136" s="5" t="s">
        <v>300</v>
      </c>
      <c r="B1136" s="6" t="s">
        <v>36</v>
      </c>
      <c r="C1136" s="6" t="s">
        <v>52</v>
      </c>
      <c r="D1136" s="72" t="str">
        <f t="shared" si="20"/>
        <v>019_O_d</v>
      </c>
      <c r="E1136" s="72">
        <v>120</v>
      </c>
      <c r="F1136" s="72" t="s">
        <v>82</v>
      </c>
      <c r="G1136" s="72" t="s">
        <v>311</v>
      </c>
    </row>
    <row r="1137" spans="1:7" x14ac:dyDescent="0.2">
      <c r="A1137" s="5" t="s">
        <v>300</v>
      </c>
      <c r="B1137" s="6" t="s">
        <v>27</v>
      </c>
      <c r="C1137" s="6" t="s">
        <v>52</v>
      </c>
      <c r="D1137" s="72" t="str">
        <f t="shared" si="20"/>
        <v>019_S_d</v>
      </c>
      <c r="E1137" s="72">
        <v>109</v>
      </c>
      <c r="F1137" s="72" t="s">
        <v>39</v>
      </c>
      <c r="G1137" s="72" t="s">
        <v>310</v>
      </c>
    </row>
    <row r="1138" spans="1:7" x14ac:dyDescent="0.2">
      <c r="A1138" s="5" t="s">
        <v>300</v>
      </c>
      <c r="B1138" s="6" t="s">
        <v>33</v>
      </c>
      <c r="C1138" s="6" t="s">
        <v>52</v>
      </c>
      <c r="D1138" s="72" t="str">
        <f t="shared" si="20"/>
        <v>019_V_d</v>
      </c>
      <c r="E1138" s="72">
        <v>139</v>
      </c>
      <c r="F1138" s="72" t="s">
        <v>39</v>
      </c>
      <c r="G1138" s="72" t="s">
        <v>312</v>
      </c>
    </row>
    <row r="1139" spans="1:7" x14ac:dyDescent="0.2">
      <c r="A1139" s="5" t="s">
        <v>313</v>
      </c>
      <c r="B1139" s="6" t="s">
        <v>36</v>
      </c>
      <c r="C1139" s="6" t="s">
        <v>52</v>
      </c>
      <c r="D1139" s="72" t="str">
        <f t="shared" si="20"/>
        <v>020_O_d</v>
      </c>
      <c r="E1139" s="72">
        <v>115</v>
      </c>
      <c r="F1139" s="72" t="s">
        <v>49</v>
      </c>
      <c r="G1139" s="72" t="s">
        <v>323</v>
      </c>
    </row>
    <row r="1140" spans="1:7" x14ac:dyDescent="0.2">
      <c r="A1140" s="5" t="s">
        <v>313</v>
      </c>
      <c r="B1140" s="6" t="s">
        <v>27</v>
      </c>
      <c r="C1140" s="6" t="s">
        <v>52</v>
      </c>
      <c r="D1140" s="72" t="str">
        <f t="shared" si="20"/>
        <v>020_S_d</v>
      </c>
      <c r="E1140" s="72">
        <v>129</v>
      </c>
      <c r="F1140" s="72" t="s">
        <v>41</v>
      </c>
      <c r="G1140" s="72" t="s">
        <v>325</v>
      </c>
    </row>
    <row r="1141" spans="1:7" x14ac:dyDescent="0.2">
      <c r="A1141" s="5" t="s">
        <v>313</v>
      </c>
      <c r="B1141" s="6" t="s">
        <v>33</v>
      </c>
      <c r="C1141" s="6" t="s">
        <v>52</v>
      </c>
      <c r="D1141" s="72" t="str">
        <f t="shared" si="20"/>
        <v>020_V_d</v>
      </c>
      <c r="E1141" s="72">
        <v>127</v>
      </c>
      <c r="F1141" s="72" t="s">
        <v>34</v>
      </c>
      <c r="G1141" s="72" t="s">
        <v>324</v>
      </c>
    </row>
    <row r="1142" spans="1:7" x14ac:dyDescent="0.2">
      <c r="A1142" s="5" t="s">
        <v>326</v>
      </c>
      <c r="B1142" s="6" t="s">
        <v>36</v>
      </c>
      <c r="C1142" s="6" t="s">
        <v>52</v>
      </c>
      <c r="D1142" s="72" t="str">
        <f t="shared" si="20"/>
        <v>021_O_d</v>
      </c>
      <c r="E1142" s="72">
        <v>137</v>
      </c>
      <c r="F1142" s="72" t="s">
        <v>70</v>
      </c>
      <c r="G1142" s="72" t="s">
        <v>338</v>
      </c>
    </row>
    <row r="1143" spans="1:7" x14ac:dyDescent="0.2">
      <c r="A1143" s="5" t="s">
        <v>326</v>
      </c>
      <c r="B1143" s="6" t="s">
        <v>27</v>
      </c>
      <c r="C1143" s="6" t="s">
        <v>52</v>
      </c>
      <c r="D1143" s="72" t="str">
        <f t="shared" si="20"/>
        <v>021_S_d</v>
      </c>
      <c r="E1143" s="72">
        <v>131</v>
      </c>
      <c r="F1143" s="72" t="s">
        <v>39</v>
      </c>
      <c r="G1143" s="72" t="s">
        <v>337</v>
      </c>
    </row>
    <row r="1144" spans="1:7" x14ac:dyDescent="0.2">
      <c r="A1144" s="5" t="s">
        <v>326</v>
      </c>
      <c r="B1144" s="6" t="s">
        <v>33</v>
      </c>
      <c r="C1144" s="6" t="s">
        <v>52</v>
      </c>
      <c r="D1144" s="72" t="str">
        <f t="shared" si="20"/>
        <v>021_V_d</v>
      </c>
      <c r="E1144" s="72">
        <v>128</v>
      </c>
      <c r="F1144" s="72" t="s">
        <v>68</v>
      </c>
      <c r="G1144" s="72" t="s">
        <v>336</v>
      </c>
    </row>
    <row r="1145" spans="1:7" x14ac:dyDescent="0.2">
      <c r="A1145" s="5" t="s">
        <v>339</v>
      </c>
      <c r="B1145" s="6" t="s">
        <v>36</v>
      </c>
      <c r="C1145" s="6" t="s">
        <v>52</v>
      </c>
      <c r="D1145" s="72" t="str">
        <f t="shared" si="20"/>
        <v>022_O_d</v>
      </c>
      <c r="E1145" s="72">
        <v>122</v>
      </c>
      <c r="F1145" s="72" t="s">
        <v>39</v>
      </c>
      <c r="G1145" s="72" t="s">
        <v>351</v>
      </c>
    </row>
    <row r="1146" spans="1:7" x14ac:dyDescent="0.2">
      <c r="A1146" s="5" t="s">
        <v>339</v>
      </c>
      <c r="B1146" s="6" t="s">
        <v>27</v>
      </c>
      <c r="C1146" s="6" t="s">
        <v>52</v>
      </c>
      <c r="D1146" s="72" t="str">
        <f t="shared" si="20"/>
        <v>022_S_d</v>
      </c>
      <c r="E1146" s="72">
        <v>114</v>
      </c>
      <c r="F1146" s="72" t="s">
        <v>70</v>
      </c>
      <c r="G1146" s="72" t="s">
        <v>350</v>
      </c>
    </row>
    <row r="1147" spans="1:7" x14ac:dyDescent="0.2">
      <c r="A1147" s="5" t="s">
        <v>339</v>
      </c>
      <c r="B1147" s="6" t="s">
        <v>33</v>
      </c>
      <c r="C1147" s="6" t="s">
        <v>52</v>
      </c>
      <c r="D1147" s="72" t="str">
        <f t="shared" si="20"/>
        <v>022_V_d</v>
      </c>
      <c r="E1147" s="72">
        <v>110</v>
      </c>
      <c r="F1147" s="72" t="s">
        <v>34</v>
      </c>
      <c r="G1147" s="72" t="s">
        <v>349</v>
      </c>
    </row>
    <row r="1148" spans="1:7" x14ac:dyDescent="0.2">
      <c r="A1148" s="5" t="s">
        <v>352</v>
      </c>
      <c r="B1148" s="6" t="s">
        <v>36</v>
      </c>
      <c r="C1148" s="6" t="s">
        <v>52</v>
      </c>
      <c r="D1148" s="72" t="str">
        <f t="shared" si="20"/>
        <v>023_O_d</v>
      </c>
      <c r="E1148" s="72">
        <v>135</v>
      </c>
      <c r="F1148" s="72" t="s">
        <v>34</v>
      </c>
      <c r="G1148" s="72" t="s">
        <v>363</v>
      </c>
    </row>
    <row r="1149" spans="1:7" x14ac:dyDescent="0.2">
      <c r="A1149" s="5" t="s">
        <v>352</v>
      </c>
      <c r="B1149" s="6" t="s">
        <v>27</v>
      </c>
      <c r="C1149" s="6" t="s">
        <v>52</v>
      </c>
      <c r="D1149" s="72" t="str">
        <f t="shared" si="20"/>
        <v>023_S_d</v>
      </c>
      <c r="E1149" s="72">
        <v>119</v>
      </c>
      <c r="F1149" s="72" t="s">
        <v>49</v>
      </c>
      <c r="G1149" s="72" t="s">
        <v>362</v>
      </c>
    </row>
    <row r="1150" spans="1:7" x14ac:dyDescent="0.2">
      <c r="A1150" s="5" t="s">
        <v>352</v>
      </c>
      <c r="B1150" s="6" t="s">
        <v>33</v>
      </c>
      <c r="C1150" s="6" t="s">
        <v>52</v>
      </c>
      <c r="D1150" s="72" t="str">
        <f t="shared" si="20"/>
        <v>023_V_d</v>
      </c>
      <c r="E1150" s="72">
        <v>142</v>
      </c>
      <c r="F1150" s="72" t="s">
        <v>34</v>
      </c>
      <c r="G1150" s="72" t="s">
        <v>364</v>
      </c>
    </row>
    <row r="1151" spans="1:7" x14ac:dyDescent="0.2">
      <c r="A1151" s="5" t="s">
        <v>365</v>
      </c>
      <c r="B1151" s="6" t="s">
        <v>36</v>
      </c>
      <c r="C1151" s="6" t="s">
        <v>52</v>
      </c>
      <c r="D1151" s="72" t="str">
        <f t="shared" si="20"/>
        <v>024_O_d</v>
      </c>
      <c r="E1151" s="72">
        <v>109</v>
      </c>
      <c r="F1151" s="72" t="s">
        <v>68</v>
      </c>
      <c r="G1151" s="72" t="s">
        <v>375</v>
      </c>
    </row>
    <row r="1152" spans="1:7" x14ac:dyDescent="0.2">
      <c r="A1152" s="5" t="s">
        <v>365</v>
      </c>
      <c r="B1152" s="6" t="s">
        <v>27</v>
      </c>
      <c r="C1152" s="6" t="s">
        <v>52</v>
      </c>
      <c r="D1152" s="72" t="str">
        <f t="shared" si="20"/>
        <v>024_S_d</v>
      </c>
      <c r="E1152" s="72">
        <v>122</v>
      </c>
      <c r="F1152" s="72" t="s">
        <v>70</v>
      </c>
      <c r="G1152" s="72" t="s">
        <v>376</v>
      </c>
    </row>
    <row r="1153" spans="1:7" x14ac:dyDescent="0.2">
      <c r="A1153" s="5" t="s">
        <v>365</v>
      </c>
      <c r="B1153" s="6" t="s">
        <v>33</v>
      </c>
      <c r="C1153" s="6" t="s">
        <v>52</v>
      </c>
      <c r="D1153" s="72" t="str">
        <f t="shared" si="20"/>
        <v>024_V_d</v>
      </c>
      <c r="E1153" s="72">
        <v>132</v>
      </c>
      <c r="F1153" s="72" t="s">
        <v>39</v>
      </c>
      <c r="G1153" s="72" t="s">
        <v>377</v>
      </c>
    </row>
    <row r="1154" spans="1:7" x14ac:dyDescent="0.2">
      <c r="A1154" s="5" t="s">
        <v>378</v>
      </c>
      <c r="B1154" s="6" t="s">
        <v>36</v>
      </c>
      <c r="C1154" s="6" t="s">
        <v>52</v>
      </c>
      <c r="D1154" s="72" t="str">
        <f t="shared" ref="D1154:D1217" si="21">A1154&amp;"_"&amp;B1154&amp;"_"&amp;C1154</f>
        <v>025_O_d</v>
      </c>
      <c r="E1154" s="72">
        <v>133</v>
      </c>
      <c r="F1154" s="72" t="s">
        <v>68</v>
      </c>
      <c r="G1154" s="72" t="s">
        <v>389</v>
      </c>
    </row>
    <row r="1155" spans="1:7" x14ac:dyDescent="0.2">
      <c r="A1155" s="5" t="s">
        <v>378</v>
      </c>
      <c r="B1155" s="6" t="s">
        <v>27</v>
      </c>
      <c r="C1155" s="6" t="s">
        <v>52</v>
      </c>
      <c r="D1155" s="72" t="str">
        <f t="shared" si="21"/>
        <v>025_S_d</v>
      </c>
      <c r="E1155" s="72">
        <v>121</v>
      </c>
      <c r="F1155" s="72" t="s">
        <v>49</v>
      </c>
      <c r="G1155" s="72" t="s">
        <v>388</v>
      </c>
    </row>
    <row r="1156" spans="1:7" x14ac:dyDescent="0.2">
      <c r="A1156" s="5" t="s">
        <v>378</v>
      </c>
      <c r="B1156" s="6" t="s">
        <v>33</v>
      </c>
      <c r="C1156" s="6" t="s">
        <v>52</v>
      </c>
      <c r="D1156" s="72" t="str">
        <f t="shared" si="21"/>
        <v>025_V_d</v>
      </c>
      <c r="E1156" s="72">
        <v>138</v>
      </c>
      <c r="F1156" s="72" t="s">
        <v>68</v>
      </c>
      <c r="G1156" s="72" t="s">
        <v>390</v>
      </c>
    </row>
    <row r="1157" spans="1:7" x14ac:dyDescent="0.2">
      <c r="A1157" s="5" t="s">
        <v>391</v>
      </c>
      <c r="B1157" s="6" t="s">
        <v>36</v>
      </c>
      <c r="C1157" s="6" t="s">
        <v>52</v>
      </c>
      <c r="D1157" s="72" t="str">
        <f t="shared" si="21"/>
        <v>026_O_d</v>
      </c>
      <c r="E1157" s="72">
        <v>116</v>
      </c>
      <c r="F1157" s="72" t="s">
        <v>49</v>
      </c>
      <c r="G1157" s="72" t="s">
        <v>401</v>
      </c>
    </row>
    <row r="1158" spans="1:7" x14ac:dyDescent="0.2">
      <c r="A1158" s="5" t="s">
        <v>391</v>
      </c>
      <c r="B1158" s="6" t="s">
        <v>27</v>
      </c>
      <c r="C1158" s="6" t="s">
        <v>52</v>
      </c>
      <c r="D1158" s="72" t="str">
        <f t="shared" si="21"/>
        <v>026_S_d</v>
      </c>
      <c r="E1158" s="72">
        <v>137</v>
      </c>
      <c r="F1158" s="72" t="s">
        <v>63</v>
      </c>
      <c r="G1158" s="72" t="s">
        <v>403</v>
      </c>
    </row>
    <row r="1159" spans="1:7" x14ac:dyDescent="0.2">
      <c r="A1159" s="5" t="s">
        <v>391</v>
      </c>
      <c r="B1159" s="6" t="s">
        <v>33</v>
      </c>
      <c r="C1159" s="6" t="s">
        <v>52</v>
      </c>
      <c r="D1159" s="72" t="str">
        <f t="shared" si="21"/>
        <v>026_V_d</v>
      </c>
      <c r="E1159" s="72">
        <v>127</v>
      </c>
      <c r="F1159" s="72" t="s">
        <v>68</v>
      </c>
      <c r="G1159" s="72" t="s">
        <v>402</v>
      </c>
    </row>
    <row r="1160" spans="1:7" x14ac:dyDescent="0.2">
      <c r="A1160" s="5" t="s">
        <v>404</v>
      </c>
      <c r="B1160" s="6" t="s">
        <v>36</v>
      </c>
      <c r="C1160" s="6" t="s">
        <v>52</v>
      </c>
      <c r="D1160" s="72" t="str">
        <f t="shared" si="21"/>
        <v>028_O_d</v>
      </c>
      <c r="E1160" s="72">
        <v>130</v>
      </c>
      <c r="F1160" s="72" t="s">
        <v>41</v>
      </c>
      <c r="G1160" s="72" t="s">
        <v>415</v>
      </c>
    </row>
    <row r="1161" spans="1:7" x14ac:dyDescent="0.2">
      <c r="A1161" s="5" t="s">
        <v>404</v>
      </c>
      <c r="B1161" s="6" t="s">
        <v>27</v>
      </c>
      <c r="C1161" s="6" t="s">
        <v>52</v>
      </c>
      <c r="D1161" s="72" t="str">
        <f t="shared" si="21"/>
        <v>028_S_d</v>
      </c>
      <c r="E1161" s="72">
        <v>128</v>
      </c>
      <c r="F1161" s="72" t="s">
        <v>70</v>
      </c>
      <c r="G1161" s="72" t="s">
        <v>414</v>
      </c>
    </row>
    <row r="1162" spans="1:7" x14ac:dyDescent="0.2">
      <c r="A1162" s="5" t="s">
        <v>404</v>
      </c>
      <c r="B1162" s="6" t="s">
        <v>33</v>
      </c>
      <c r="C1162" s="6" t="s">
        <v>52</v>
      </c>
      <c r="D1162" s="72" t="str">
        <f t="shared" si="21"/>
        <v>028_V_d</v>
      </c>
      <c r="E1162" s="72">
        <v>137</v>
      </c>
      <c r="F1162" s="72" t="s">
        <v>29</v>
      </c>
      <c r="G1162" s="72" t="s">
        <v>416</v>
      </c>
    </row>
    <row r="1163" spans="1:7" x14ac:dyDescent="0.2">
      <c r="A1163" s="5" t="s">
        <v>417</v>
      </c>
      <c r="B1163" s="6" t="s">
        <v>36</v>
      </c>
      <c r="C1163" s="6" t="s">
        <v>52</v>
      </c>
      <c r="D1163" s="72" t="str">
        <f t="shared" si="21"/>
        <v>029_O_d</v>
      </c>
      <c r="E1163" s="72">
        <v>125</v>
      </c>
      <c r="F1163" s="72" t="s">
        <v>49</v>
      </c>
      <c r="G1163" s="72" t="s">
        <v>429</v>
      </c>
    </row>
    <row r="1164" spans="1:7" x14ac:dyDescent="0.2">
      <c r="A1164" s="5" t="s">
        <v>417</v>
      </c>
      <c r="B1164" s="6" t="s">
        <v>27</v>
      </c>
      <c r="C1164" s="6" t="s">
        <v>52</v>
      </c>
      <c r="D1164" s="72" t="str">
        <f t="shared" si="21"/>
        <v>029_S_d</v>
      </c>
      <c r="E1164" s="72">
        <v>110</v>
      </c>
      <c r="F1164" s="72" t="s">
        <v>49</v>
      </c>
      <c r="G1164" s="72" t="s">
        <v>428</v>
      </c>
    </row>
    <row r="1165" spans="1:7" x14ac:dyDescent="0.2">
      <c r="A1165" s="5" t="s">
        <v>417</v>
      </c>
      <c r="B1165" s="6" t="s">
        <v>33</v>
      </c>
      <c r="C1165" s="6" t="s">
        <v>52</v>
      </c>
      <c r="D1165" s="72" t="str">
        <f t="shared" si="21"/>
        <v>029_V_d</v>
      </c>
      <c r="E1165" s="72">
        <v>110</v>
      </c>
      <c r="F1165" s="72" t="s">
        <v>43</v>
      </c>
      <c r="G1165" s="72" t="s">
        <v>427</v>
      </c>
    </row>
    <row r="1166" spans="1:7" x14ac:dyDescent="0.2">
      <c r="A1166" s="5" t="s">
        <v>430</v>
      </c>
      <c r="B1166" s="6" t="s">
        <v>36</v>
      </c>
      <c r="C1166" s="6" t="s">
        <v>52</v>
      </c>
      <c r="D1166" s="72" t="str">
        <f t="shared" si="21"/>
        <v>030_O_d</v>
      </c>
      <c r="E1166" s="72">
        <v>144</v>
      </c>
      <c r="F1166" s="72" t="s">
        <v>41</v>
      </c>
      <c r="G1166" s="72" t="s">
        <v>442</v>
      </c>
    </row>
    <row r="1167" spans="1:7" x14ac:dyDescent="0.2">
      <c r="A1167" s="5" t="s">
        <v>430</v>
      </c>
      <c r="B1167" s="6" t="s">
        <v>27</v>
      </c>
      <c r="C1167" s="6" t="s">
        <v>52</v>
      </c>
      <c r="D1167" s="72" t="str">
        <f t="shared" si="21"/>
        <v>030_S_d</v>
      </c>
      <c r="E1167" s="72">
        <v>129</v>
      </c>
      <c r="F1167" s="72" t="s">
        <v>34</v>
      </c>
      <c r="G1167" s="72" t="s">
        <v>440</v>
      </c>
    </row>
    <row r="1168" spans="1:7" x14ac:dyDescent="0.2">
      <c r="A1168" s="5" t="s">
        <v>430</v>
      </c>
      <c r="B1168" s="6" t="s">
        <v>33</v>
      </c>
      <c r="C1168" s="6" t="s">
        <v>52</v>
      </c>
      <c r="D1168" s="72" t="str">
        <f t="shared" si="21"/>
        <v>030_V_d</v>
      </c>
      <c r="E1168" s="72">
        <v>141</v>
      </c>
      <c r="F1168" s="72" t="s">
        <v>49</v>
      </c>
      <c r="G1168" s="72" t="s">
        <v>441</v>
      </c>
    </row>
    <row r="1169" spans="1:7" x14ac:dyDescent="0.2">
      <c r="A1169" s="5" t="s">
        <v>443</v>
      </c>
      <c r="B1169" s="6" t="s">
        <v>36</v>
      </c>
      <c r="C1169" s="6" t="s">
        <v>52</v>
      </c>
      <c r="D1169" s="72" t="str">
        <f t="shared" si="21"/>
        <v>031_O_d</v>
      </c>
      <c r="E1169" s="72">
        <v>144</v>
      </c>
      <c r="F1169" s="72" t="s">
        <v>63</v>
      </c>
      <c r="G1169" s="72" t="s">
        <v>455</v>
      </c>
    </row>
    <row r="1170" spans="1:7" x14ac:dyDescent="0.2">
      <c r="A1170" s="5" t="s">
        <v>443</v>
      </c>
      <c r="B1170" s="6" t="s">
        <v>27</v>
      </c>
      <c r="C1170" s="6" t="s">
        <v>52</v>
      </c>
      <c r="D1170" s="72" t="str">
        <f t="shared" si="21"/>
        <v>031_S_d</v>
      </c>
      <c r="E1170" s="72">
        <v>144</v>
      </c>
      <c r="F1170" s="72" t="s">
        <v>82</v>
      </c>
      <c r="G1170" s="72" t="s">
        <v>454</v>
      </c>
    </row>
    <row r="1171" spans="1:7" x14ac:dyDescent="0.2">
      <c r="A1171" s="5" t="s">
        <v>443</v>
      </c>
      <c r="B1171" s="6" t="s">
        <v>33</v>
      </c>
      <c r="C1171" s="6" t="s">
        <v>52</v>
      </c>
      <c r="D1171" s="72" t="str">
        <f t="shared" si="21"/>
        <v>031_V_d</v>
      </c>
      <c r="E1171" s="72">
        <v>121</v>
      </c>
      <c r="F1171" s="72" t="s">
        <v>63</v>
      </c>
      <c r="G1171" s="72" t="s">
        <v>453</v>
      </c>
    </row>
    <row r="1172" spans="1:7" x14ac:dyDescent="0.2">
      <c r="A1172" s="5" t="s">
        <v>456</v>
      </c>
      <c r="B1172" s="6" t="s">
        <v>36</v>
      </c>
      <c r="C1172" s="6" t="s">
        <v>52</v>
      </c>
      <c r="D1172" s="72" t="str">
        <f t="shared" si="21"/>
        <v>032_O_d</v>
      </c>
      <c r="E1172" s="72">
        <v>131</v>
      </c>
      <c r="F1172" s="72" t="s">
        <v>49</v>
      </c>
      <c r="G1172" s="72" t="s">
        <v>468</v>
      </c>
    </row>
    <row r="1173" spans="1:7" x14ac:dyDescent="0.2">
      <c r="A1173" s="5" t="s">
        <v>456</v>
      </c>
      <c r="B1173" s="6" t="s">
        <v>27</v>
      </c>
      <c r="C1173" s="6" t="s">
        <v>52</v>
      </c>
      <c r="D1173" s="72" t="str">
        <f t="shared" si="21"/>
        <v>032_S_d</v>
      </c>
      <c r="E1173" s="72">
        <v>112</v>
      </c>
      <c r="F1173" s="72" t="s">
        <v>29</v>
      </c>
      <c r="G1173" s="72" t="s">
        <v>466</v>
      </c>
    </row>
    <row r="1174" spans="1:7" x14ac:dyDescent="0.2">
      <c r="A1174" s="5" t="s">
        <v>456</v>
      </c>
      <c r="B1174" s="6" t="s">
        <v>33</v>
      </c>
      <c r="C1174" s="6" t="s">
        <v>52</v>
      </c>
      <c r="D1174" s="72" t="str">
        <f t="shared" si="21"/>
        <v>032_V_d</v>
      </c>
      <c r="E1174" s="72">
        <v>115</v>
      </c>
      <c r="F1174" s="72" t="s">
        <v>63</v>
      </c>
      <c r="G1174" s="72" t="s">
        <v>467</v>
      </c>
    </row>
    <row r="1175" spans="1:7" x14ac:dyDescent="0.2">
      <c r="A1175" s="5" t="s">
        <v>469</v>
      </c>
      <c r="B1175" s="6" t="s">
        <v>36</v>
      </c>
      <c r="C1175" s="6" t="s">
        <v>52</v>
      </c>
      <c r="D1175" s="72" t="str">
        <f t="shared" si="21"/>
        <v>033_O_d</v>
      </c>
      <c r="E1175" s="72">
        <v>133</v>
      </c>
      <c r="F1175" s="72" t="s">
        <v>70</v>
      </c>
      <c r="G1175" s="72" t="s">
        <v>479</v>
      </c>
    </row>
    <row r="1176" spans="1:7" x14ac:dyDescent="0.2">
      <c r="A1176" s="5" t="s">
        <v>469</v>
      </c>
      <c r="B1176" s="6" t="s">
        <v>27</v>
      </c>
      <c r="C1176" s="6" t="s">
        <v>52</v>
      </c>
      <c r="D1176" s="72" t="str">
        <f t="shared" si="21"/>
        <v>033_S_d</v>
      </c>
      <c r="E1176" s="72">
        <v>136</v>
      </c>
      <c r="F1176" s="72" t="s">
        <v>70</v>
      </c>
      <c r="G1176" s="72" t="s">
        <v>480</v>
      </c>
    </row>
    <row r="1177" spans="1:7" x14ac:dyDescent="0.2">
      <c r="A1177" s="5" t="s">
        <v>469</v>
      </c>
      <c r="B1177" s="6" t="s">
        <v>33</v>
      </c>
      <c r="C1177" s="6" t="s">
        <v>52</v>
      </c>
      <c r="D1177" s="72" t="str">
        <f t="shared" si="21"/>
        <v>033_V_d</v>
      </c>
      <c r="E1177" s="72">
        <v>144</v>
      </c>
      <c r="F1177" s="72" t="s">
        <v>29</v>
      </c>
      <c r="G1177" s="72" t="s">
        <v>481</v>
      </c>
    </row>
    <row r="1178" spans="1:7" x14ac:dyDescent="0.2">
      <c r="A1178" s="5" t="s">
        <v>482</v>
      </c>
      <c r="B1178" s="6" t="s">
        <v>36</v>
      </c>
      <c r="C1178" s="6" t="s">
        <v>52</v>
      </c>
      <c r="D1178" s="72" t="str">
        <f t="shared" si="21"/>
        <v>034_O_d</v>
      </c>
      <c r="E1178" s="72">
        <v>113</v>
      </c>
      <c r="F1178" s="72" t="s">
        <v>70</v>
      </c>
      <c r="G1178" s="72" t="s">
        <v>493</v>
      </c>
    </row>
    <row r="1179" spans="1:7" x14ac:dyDescent="0.2">
      <c r="A1179" s="5" t="s">
        <v>482</v>
      </c>
      <c r="B1179" s="6" t="s">
        <v>27</v>
      </c>
      <c r="C1179" s="6" t="s">
        <v>52</v>
      </c>
      <c r="D1179" s="72" t="str">
        <f t="shared" si="21"/>
        <v>034_S_d</v>
      </c>
      <c r="E1179" s="72">
        <v>140</v>
      </c>
      <c r="F1179" s="72" t="s">
        <v>63</v>
      </c>
      <c r="G1179" s="72" t="s">
        <v>494</v>
      </c>
    </row>
    <row r="1180" spans="1:7" x14ac:dyDescent="0.2">
      <c r="A1180" s="5" t="s">
        <v>482</v>
      </c>
      <c r="B1180" s="6" t="s">
        <v>33</v>
      </c>
      <c r="C1180" s="6" t="s">
        <v>52</v>
      </c>
      <c r="D1180" s="72" t="str">
        <f t="shared" si="21"/>
        <v>034_V_d</v>
      </c>
      <c r="E1180" s="72">
        <v>109</v>
      </c>
      <c r="F1180" s="72" t="s">
        <v>34</v>
      </c>
      <c r="G1180" s="72" t="s">
        <v>492</v>
      </c>
    </row>
    <row r="1181" spans="1:7" x14ac:dyDescent="0.2">
      <c r="A1181" s="5" t="s">
        <v>495</v>
      </c>
      <c r="B1181" s="6" t="s">
        <v>36</v>
      </c>
      <c r="C1181" s="6" t="s">
        <v>52</v>
      </c>
      <c r="D1181" s="72" t="str">
        <f t="shared" si="21"/>
        <v>035_O_d</v>
      </c>
      <c r="E1181" s="72">
        <v>135</v>
      </c>
      <c r="F1181" s="72" t="s">
        <v>39</v>
      </c>
      <c r="G1181" s="72" t="s">
        <v>507</v>
      </c>
    </row>
    <row r="1182" spans="1:7" x14ac:dyDescent="0.2">
      <c r="A1182" s="5" t="s">
        <v>495</v>
      </c>
      <c r="B1182" s="6" t="s">
        <v>27</v>
      </c>
      <c r="C1182" s="6" t="s">
        <v>52</v>
      </c>
      <c r="D1182" s="72" t="str">
        <f t="shared" si="21"/>
        <v>035_S_d</v>
      </c>
      <c r="E1182" s="72">
        <v>109</v>
      </c>
      <c r="F1182" s="72" t="s">
        <v>49</v>
      </c>
      <c r="G1182" s="72" t="s">
        <v>505</v>
      </c>
    </row>
    <row r="1183" spans="1:7" x14ac:dyDescent="0.2">
      <c r="A1183" s="5" t="s">
        <v>495</v>
      </c>
      <c r="B1183" s="6" t="s">
        <v>33</v>
      </c>
      <c r="C1183" s="6" t="s">
        <v>52</v>
      </c>
      <c r="D1183" s="72" t="str">
        <f t="shared" si="21"/>
        <v>035_V_d</v>
      </c>
      <c r="E1183" s="72">
        <v>125</v>
      </c>
      <c r="F1183" s="72" t="s">
        <v>70</v>
      </c>
      <c r="G1183" s="72" t="s">
        <v>506</v>
      </c>
    </row>
    <row r="1184" spans="1:7" x14ac:dyDescent="0.2">
      <c r="A1184" s="5" t="s">
        <v>508</v>
      </c>
      <c r="B1184" s="6" t="s">
        <v>36</v>
      </c>
      <c r="C1184" s="6" t="s">
        <v>52</v>
      </c>
      <c r="D1184" s="72" t="str">
        <f t="shared" si="21"/>
        <v>037_O_d</v>
      </c>
      <c r="E1184" s="72">
        <v>136</v>
      </c>
      <c r="F1184" s="72" t="s">
        <v>63</v>
      </c>
      <c r="G1184" s="72" t="s">
        <v>521</v>
      </c>
    </row>
    <row r="1185" spans="1:7" x14ac:dyDescent="0.2">
      <c r="A1185" s="5" t="s">
        <v>508</v>
      </c>
      <c r="B1185" s="6" t="s">
        <v>27</v>
      </c>
      <c r="C1185" s="6" t="s">
        <v>52</v>
      </c>
      <c r="D1185" s="72" t="str">
        <f t="shared" si="21"/>
        <v>037_S_d</v>
      </c>
      <c r="E1185" s="72">
        <v>139</v>
      </c>
      <c r="F1185" s="72" t="s">
        <v>63</v>
      </c>
      <c r="G1185" s="72" t="s">
        <v>522</v>
      </c>
    </row>
    <row r="1186" spans="1:7" x14ac:dyDescent="0.2">
      <c r="A1186" s="5" t="s">
        <v>508</v>
      </c>
      <c r="B1186" s="6" t="s">
        <v>33</v>
      </c>
      <c r="C1186" s="6" t="s">
        <v>52</v>
      </c>
      <c r="D1186" s="72" t="str">
        <f t="shared" si="21"/>
        <v>037_V_d</v>
      </c>
      <c r="E1186" s="72">
        <v>135</v>
      </c>
      <c r="F1186" s="72" t="s">
        <v>63</v>
      </c>
      <c r="G1186" s="72" t="s">
        <v>520</v>
      </c>
    </row>
    <row r="1187" spans="1:7" x14ac:dyDescent="0.2">
      <c r="A1187" s="5" t="s">
        <v>523</v>
      </c>
      <c r="B1187" s="6" t="s">
        <v>36</v>
      </c>
      <c r="C1187" s="6" t="s">
        <v>52</v>
      </c>
      <c r="D1187" s="72" t="str">
        <f t="shared" si="21"/>
        <v>038_O_d</v>
      </c>
      <c r="E1187" s="72">
        <v>142</v>
      </c>
      <c r="F1187" s="72" t="s">
        <v>29</v>
      </c>
      <c r="G1187" s="72" t="s">
        <v>535</v>
      </c>
    </row>
    <row r="1188" spans="1:7" x14ac:dyDescent="0.2">
      <c r="A1188" s="5" t="s">
        <v>523</v>
      </c>
      <c r="B1188" s="6" t="s">
        <v>27</v>
      </c>
      <c r="C1188" s="6" t="s">
        <v>52</v>
      </c>
      <c r="D1188" s="72" t="str">
        <f t="shared" si="21"/>
        <v>038_S_d</v>
      </c>
      <c r="E1188" s="72">
        <v>117</v>
      </c>
      <c r="F1188" s="72" t="s">
        <v>41</v>
      </c>
      <c r="G1188" s="72" t="s">
        <v>534</v>
      </c>
    </row>
    <row r="1189" spans="1:7" x14ac:dyDescent="0.2">
      <c r="A1189" s="5" t="s">
        <v>523</v>
      </c>
      <c r="B1189" s="6" t="s">
        <v>33</v>
      </c>
      <c r="C1189" s="6" t="s">
        <v>52</v>
      </c>
      <c r="D1189" s="72" t="str">
        <f t="shared" si="21"/>
        <v>038_V_d</v>
      </c>
      <c r="E1189" s="72">
        <v>114</v>
      </c>
      <c r="F1189" s="72" t="s">
        <v>63</v>
      </c>
      <c r="G1189" s="72" t="s">
        <v>533</v>
      </c>
    </row>
    <row r="1190" spans="1:7" x14ac:dyDescent="0.2">
      <c r="A1190" s="5" t="s">
        <v>536</v>
      </c>
      <c r="B1190" s="6" t="s">
        <v>36</v>
      </c>
      <c r="C1190" s="6" t="s">
        <v>52</v>
      </c>
      <c r="D1190" s="72" t="str">
        <f t="shared" si="21"/>
        <v>039_O_d</v>
      </c>
      <c r="E1190" s="72">
        <v>133</v>
      </c>
      <c r="F1190" s="72" t="s">
        <v>41</v>
      </c>
      <c r="G1190" s="72" t="s">
        <v>549</v>
      </c>
    </row>
    <row r="1191" spans="1:7" x14ac:dyDescent="0.2">
      <c r="A1191" s="5" t="s">
        <v>536</v>
      </c>
      <c r="B1191" s="6" t="s">
        <v>27</v>
      </c>
      <c r="C1191" s="6" t="s">
        <v>52</v>
      </c>
      <c r="D1191" s="72" t="str">
        <f t="shared" si="21"/>
        <v>039_S_d</v>
      </c>
      <c r="E1191" s="72">
        <v>117</v>
      </c>
      <c r="F1191" s="72" t="s">
        <v>39</v>
      </c>
      <c r="G1191" s="72" t="s">
        <v>547</v>
      </c>
    </row>
    <row r="1192" spans="1:7" x14ac:dyDescent="0.2">
      <c r="A1192" s="5" t="s">
        <v>536</v>
      </c>
      <c r="B1192" s="6" t="s">
        <v>33</v>
      </c>
      <c r="C1192" s="6" t="s">
        <v>52</v>
      </c>
      <c r="D1192" s="72" t="str">
        <f t="shared" si="21"/>
        <v>039_V_d</v>
      </c>
      <c r="E1192" s="72">
        <v>117</v>
      </c>
      <c r="F1192" s="72" t="s">
        <v>43</v>
      </c>
      <c r="G1192" s="72" t="s">
        <v>548</v>
      </c>
    </row>
    <row r="1193" spans="1:7" x14ac:dyDescent="0.2">
      <c r="A1193" s="5" t="s">
        <v>550</v>
      </c>
      <c r="B1193" s="6" t="s">
        <v>36</v>
      </c>
      <c r="C1193" s="6" t="s">
        <v>52</v>
      </c>
      <c r="D1193" s="72" t="str">
        <f t="shared" si="21"/>
        <v>041_O_d</v>
      </c>
      <c r="E1193" s="72">
        <v>131</v>
      </c>
      <c r="F1193" s="72" t="s">
        <v>63</v>
      </c>
      <c r="G1193" s="72" t="s">
        <v>562</v>
      </c>
    </row>
    <row r="1194" spans="1:7" x14ac:dyDescent="0.2">
      <c r="A1194" s="5" t="s">
        <v>550</v>
      </c>
      <c r="B1194" s="6" t="s">
        <v>27</v>
      </c>
      <c r="C1194" s="6" t="s">
        <v>52</v>
      </c>
      <c r="D1194" s="72" t="str">
        <f t="shared" si="21"/>
        <v>041_S_d</v>
      </c>
      <c r="E1194" s="72">
        <v>138</v>
      </c>
      <c r="F1194" s="72" t="s">
        <v>34</v>
      </c>
      <c r="G1194" s="72" t="s">
        <v>563</v>
      </c>
    </row>
    <row r="1195" spans="1:7" x14ac:dyDescent="0.2">
      <c r="A1195" s="5" t="s">
        <v>550</v>
      </c>
      <c r="B1195" s="6" t="s">
        <v>33</v>
      </c>
      <c r="C1195" s="6" t="s">
        <v>52</v>
      </c>
      <c r="D1195" s="72" t="str">
        <f t="shared" si="21"/>
        <v>041_V_d</v>
      </c>
      <c r="E1195" s="72">
        <v>122</v>
      </c>
      <c r="F1195" s="72" t="s">
        <v>63</v>
      </c>
      <c r="G1195" s="72" t="s">
        <v>561</v>
      </c>
    </row>
    <row r="1196" spans="1:7" x14ac:dyDescent="0.2">
      <c r="A1196" s="5" t="s">
        <v>564</v>
      </c>
      <c r="B1196" s="6" t="s">
        <v>36</v>
      </c>
      <c r="C1196" s="6" t="s">
        <v>52</v>
      </c>
      <c r="D1196" s="72" t="str">
        <f t="shared" si="21"/>
        <v>042_O_d</v>
      </c>
      <c r="E1196" s="72">
        <v>142</v>
      </c>
      <c r="F1196" s="72" t="s">
        <v>70</v>
      </c>
      <c r="G1196" s="72" t="s">
        <v>576</v>
      </c>
    </row>
    <row r="1197" spans="1:7" x14ac:dyDescent="0.2">
      <c r="A1197" s="5" t="s">
        <v>564</v>
      </c>
      <c r="B1197" s="6" t="s">
        <v>27</v>
      </c>
      <c r="C1197" s="6" t="s">
        <v>52</v>
      </c>
      <c r="D1197" s="72" t="str">
        <f t="shared" si="21"/>
        <v>042_S_d</v>
      </c>
      <c r="E1197" s="72">
        <v>141</v>
      </c>
      <c r="F1197" s="72" t="s">
        <v>70</v>
      </c>
      <c r="G1197" s="72" t="s">
        <v>575</v>
      </c>
    </row>
    <row r="1198" spans="1:7" x14ac:dyDescent="0.2">
      <c r="A1198" s="5" t="s">
        <v>564</v>
      </c>
      <c r="B1198" s="6" t="s">
        <v>33</v>
      </c>
      <c r="C1198" s="6" t="s">
        <v>52</v>
      </c>
      <c r="D1198" s="72" t="str">
        <f t="shared" si="21"/>
        <v>042_V_d</v>
      </c>
      <c r="E1198" s="72">
        <v>113</v>
      </c>
      <c r="F1198" s="72" t="s">
        <v>82</v>
      </c>
      <c r="G1198" s="72" t="s">
        <v>574</v>
      </c>
    </row>
    <row r="1199" spans="1:7" x14ac:dyDescent="0.2">
      <c r="A1199" s="5" t="s">
        <v>577</v>
      </c>
      <c r="B1199" s="6" t="s">
        <v>36</v>
      </c>
      <c r="C1199" s="6" t="s">
        <v>52</v>
      </c>
      <c r="D1199" s="72" t="str">
        <f t="shared" si="21"/>
        <v>043_O_d</v>
      </c>
      <c r="E1199" s="72">
        <v>116</v>
      </c>
      <c r="F1199" s="72" t="s">
        <v>39</v>
      </c>
      <c r="G1199" s="72" t="s">
        <v>587</v>
      </c>
    </row>
    <row r="1200" spans="1:7" x14ac:dyDescent="0.2">
      <c r="A1200" s="5" t="s">
        <v>577</v>
      </c>
      <c r="B1200" s="6" t="s">
        <v>27</v>
      </c>
      <c r="C1200" s="6" t="s">
        <v>52</v>
      </c>
      <c r="D1200" s="72" t="str">
        <f t="shared" si="21"/>
        <v>043_S_d</v>
      </c>
      <c r="E1200" s="72">
        <v>128</v>
      </c>
      <c r="F1200" s="72" t="s">
        <v>82</v>
      </c>
      <c r="G1200" s="72" t="s">
        <v>589</v>
      </c>
    </row>
    <row r="1201" spans="1:7" x14ac:dyDescent="0.2">
      <c r="A1201" s="5" t="s">
        <v>577</v>
      </c>
      <c r="B1201" s="6" t="s">
        <v>33</v>
      </c>
      <c r="C1201" s="6" t="s">
        <v>52</v>
      </c>
      <c r="D1201" s="72" t="str">
        <f t="shared" si="21"/>
        <v>043_V_d</v>
      </c>
      <c r="E1201" s="72">
        <v>120</v>
      </c>
      <c r="F1201" s="72" t="s">
        <v>70</v>
      </c>
      <c r="G1201" s="72" t="s">
        <v>588</v>
      </c>
    </row>
    <row r="1202" spans="1:7" x14ac:dyDescent="0.2">
      <c r="A1202" s="5" t="s">
        <v>590</v>
      </c>
      <c r="B1202" s="6" t="s">
        <v>36</v>
      </c>
      <c r="C1202" s="6" t="s">
        <v>52</v>
      </c>
      <c r="D1202" s="72" t="str">
        <f t="shared" si="21"/>
        <v>044_O_d</v>
      </c>
      <c r="E1202" s="72">
        <v>119</v>
      </c>
      <c r="F1202" s="72" t="s">
        <v>68</v>
      </c>
      <c r="G1202" s="72" t="s">
        <v>601</v>
      </c>
    </row>
    <row r="1203" spans="1:7" x14ac:dyDescent="0.2">
      <c r="A1203" s="5" t="s">
        <v>590</v>
      </c>
      <c r="B1203" s="6" t="s">
        <v>27</v>
      </c>
      <c r="C1203" s="6" t="s">
        <v>52</v>
      </c>
      <c r="D1203" s="72" t="str">
        <f t="shared" si="21"/>
        <v>044_S_d</v>
      </c>
      <c r="E1203" s="72">
        <v>119</v>
      </c>
      <c r="F1203" s="72" t="s">
        <v>34</v>
      </c>
      <c r="G1203" s="72" t="s">
        <v>600</v>
      </c>
    </row>
    <row r="1204" spans="1:7" x14ac:dyDescent="0.2">
      <c r="A1204" s="5" t="s">
        <v>590</v>
      </c>
      <c r="B1204" s="6" t="s">
        <v>33</v>
      </c>
      <c r="C1204" s="6" t="s">
        <v>52</v>
      </c>
      <c r="D1204" s="72" t="str">
        <f t="shared" si="21"/>
        <v>044_V_d</v>
      </c>
      <c r="E1204" s="72">
        <v>121</v>
      </c>
      <c r="F1204" s="72" t="s">
        <v>34</v>
      </c>
      <c r="G1204" s="72" t="s">
        <v>602</v>
      </c>
    </row>
    <row r="1205" spans="1:7" x14ac:dyDescent="0.2">
      <c r="A1205" s="5" t="s">
        <v>603</v>
      </c>
      <c r="B1205" s="6" t="s">
        <v>36</v>
      </c>
      <c r="C1205" s="6" t="s">
        <v>52</v>
      </c>
      <c r="D1205" s="72" t="str">
        <f t="shared" si="21"/>
        <v>045_O_d</v>
      </c>
      <c r="E1205" s="72">
        <v>113</v>
      </c>
      <c r="F1205" s="72" t="s">
        <v>63</v>
      </c>
      <c r="G1205" s="72" t="s">
        <v>613</v>
      </c>
    </row>
    <row r="1206" spans="1:7" x14ac:dyDescent="0.2">
      <c r="A1206" s="5" t="s">
        <v>603</v>
      </c>
      <c r="B1206" s="6" t="s">
        <v>27</v>
      </c>
      <c r="C1206" s="6" t="s">
        <v>52</v>
      </c>
      <c r="D1206" s="72" t="str">
        <f t="shared" si="21"/>
        <v>045_S_d</v>
      </c>
      <c r="E1206" s="72">
        <v>125</v>
      </c>
      <c r="F1206" s="72" t="s">
        <v>68</v>
      </c>
      <c r="G1206" s="72" t="s">
        <v>615</v>
      </c>
    </row>
    <row r="1207" spans="1:7" x14ac:dyDescent="0.2">
      <c r="A1207" s="5" t="s">
        <v>603</v>
      </c>
      <c r="B1207" s="6" t="s">
        <v>33</v>
      </c>
      <c r="C1207" s="6" t="s">
        <v>52</v>
      </c>
      <c r="D1207" s="72" t="str">
        <f t="shared" si="21"/>
        <v>045_V_d</v>
      </c>
      <c r="E1207" s="72">
        <v>114</v>
      </c>
      <c r="F1207" s="72" t="s">
        <v>34</v>
      </c>
      <c r="G1207" s="72" t="s">
        <v>614</v>
      </c>
    </row>
    <row r="1208" spans="1:7" x14ac:dyDescent="0.2">
      <c r="A1208" s="5" t="s">
        <v>616</v>
      </c>
      <c r="B1208" s="6" t="s">
        <v>36</v>
      </c>
      <c r="C1208" s="6" t="s">
        <v>52</v>
      </c>
      <c r="D1208" s="72" t="str">
        <f t="shared" si="21"/>
        <v>046_O_d</v>
      </c>
      <c r="E1208" s="72">
        <v>131</v>
      </c>
      <c r="F1208" s="72" t="s">
        <v>34</v>
      </c>
      <c r="G1208" s="72" t="s">
        <v>627</v>
      </c>
    </row>
    <row r="1209" spans="1:7" x14ac:dyDescent="0.2">
      <c r="A1209" s="5" t="s">
        <v>616</v>
      </c>
      <c r="B1209" s="6" t="s">
        <v>27</v>
      </c>
      <c r="C1209" s="6" t="s">
        <v>52</v>
      </c>
      <c r="D1209" s="72" t="str">
        <f t="shared" si="21"/>
        <v>046_S_d</v>
      </c>
      <c r="E1209" s="72">
        <v>137</v>
      </c>
      <c r="F1209" s="72" t="s">
        <v>34</v>
      </c>
      <c r="G1209" s="72" t="s">
        <v>628</v>
      </c>
    </row>
    <row r="1210" spans="1:7" x14ac:dyDescent="0.2">
      <c r="A1210" s="5" t="s">
        <v>616</v>
      </c>
      <c r="B1210" s="6" t="s">
        <v>33</v>
      </c>
      <c r="C1210" s="6" t="s">
        <v>52</v>
      </c>
      <c r="D1210" s="72" t="str">
        <f t="shared" si="21"/>
        <v>046_V_d</v>
      </c>
      <c r="E1210" s="72">
        <v>127</v>
      </c>
      <c r="F1210" s="72" t="s">
        <v>29</v>
      </c>
      <c r="G1210" s="72" t="s">
        <v>626</v>
      </c>
    </row>
    <row r="1211" spans="1:7" x14ac:dyDescent="0.2">
      <c r="A1211" s="5" t="s">
        <v>629</v>
      </c>
      <c r="B1211" s="6" t="s">
        <v>36</v>
      </c>
      <c r="C1211" s="6" t="s">
        <v>52</v>
      </c>
      <c r="D1211" s="72" t="str">
        <f t="shared" si="21"/>
        <v>047_O_d</v>
      </c>
      <c r="E1211" s="72">
        <v>124</v>
      </c>
      <c r="F1211" s="72" t="s">
        <v>34</v>
      </c>
      <c r="G1211" s="72" t="s">
        <v>640</v>
      </c>
    </row>
    <row r="1212" spans="1:7" x14ac:dyDescent="0.2">
      <c r="A1212" s="5" t="s">
        <v>629</v>
      </c>
      <c r="B1212" s="6" t="s">
        <v>27</v>
      </c>
      <c r="C1212" s="6" t="s">
        <v>52</v>
      </c>
      <c r="D1212" s="72" t="str">
        <f t="shared" si="21"/>
        <v>047_S_d</v>
      </c>
      <c r="E1212" s="72">
        <v>144</v>
      </c>
      <c r="F1212" s="72" t="s">
        <v>70</v>
      </c>
      <c r="G1212" s="72" t="s">
        <v>641</v>
      </c>
    </row>
    <row r="1213" spans="1:7" x14ac:dyDescent="0.2">
      <c r="A1213" s="5" t="s">
        <v>629</v>
      </c>
      <c r="B1213" s="6" t="s">
        <v>33</v>
      </c>
      <c r="C1213" s="6" t="s">
        <v>52</v>
      </c>
      <c r="D1213" s="72" t="str">
        <f t="shared" si="21"/>
        <v>047_V_d</v>
      </c>
      <c r="E1213" s="72">
        <v>121</v>
      </c>
      <c r="F1213" s="72" t="s">
        <v>41</v>
      </c>
      <c r="G1213" s="72" t="s">
        <v>639</v>
      </c>
    </row>
    <row r="1214" spans="1:7" x14ac:dyDescent="0.2">
      <c r="A1214" s="5" t="s">
        <v>642</v>
      </c>
      <c r="B1214" s="6" t="s">
        <v>36</v>
      </c>
      <c r="C1214" s="6" t="s">
        <v>52</v>
      </c>
      <c r="D1214" s="72" t="str">
        <f t="shared" si="21"/>
        <v>048_O_d</v>
      </c>
      <c r="E1214" s="72">
        <v>123</v>
      </c>
      <c r="F1214" s="72" t="s">
        <v>70</v>
      </c>
      <c r="G1214" s="72" t="s">
        <v>652</v>
      </c>
    </row>
    <row r="1215" spans="1:7" x14ac:dyDescent="0.2">
      <c r="A1215" s="5" t="s">
        <v>642</v>
      </c>
      <c r="B1215" s="6" t="s">
        <v>27</v>
      </c>
      <c r="C1215" s="6" t="s">
        <v>52</v>
      </c>
      <c r="D1215" s="72" t="str">
        <f t="shared" si="21"/>
        <v>048_S_d</v>
      </c>
      <c r="E1215" s="72">
        <v>135</v>
      </c>
      <c r="F1215" s="72" t="s">
        <v>82</v>
      </c>
      <c r="G1215" s="72" t="s">
        <v>654</v>
      </c>
    </row>
    <row r="1216" spans="1:7" x14ac:dyDescent="0.2">
      <c r="A1216" s="5" t="s">
        <v>642</v>
      </c>
      <c r="B1216" s="6" t="s">
        <v>33</v>
      </c>
      <c r="C1216" s="6" t="s">
        <v>52</v>
      </c>
      <c r="D1216" s="72" t="str">
        <f t="shared" si="21"/>
        <v>048_V_d</v>
      </c>
      <c r="E1216" s="72">
        <v>130</v>
      </c>
      <c r="F1216" s="72" t="s">
        <v>49</v>
      </c>
      <c r="G1216" s="72" t="s">
        <v>653</v>
      </c>
    </row>
    <row r="1217" spans="1:7" x14ac:dyDescent="0.2">
      <c r="A1217" s="5" t="s">
        <v>655</v>
      </c>
      <c r="B1217" s="6" t="s">
        <v>36</v>
      </c>
      <c r="C1217" s="6" t="s">
        <v>52</v>
      </c>
      <c r="D1217" s="72" t="str">
        <f t="shared" si="21"/>
        <v>049_O_d</v>
      </c>
      <c r="E1217" s="72">
        <v>137</v>
      </c>
      <c r="F1217" s="72" t="s">
        <v>82</v>
      </c>
      <c r="G1217" s="72" t="s">
        <v>666</v>
      </c>
    </row>
    <row r="1218" spans="1:7" x14ac:dyDescent="0.2">
      <c r="A1218" s="5" t="s">
        <v>655</v>
      </c>
      <c r="B1218" s="6" t="s">
        <v>27</v>
      </c>
      <c r="C1218" s="6" t="s">
        <v>52</v>
      </c>
      <c r="D1218" s="72" t="str">
        <f t="shared" ref="D1218:D1281" si="22">A1218&amp;"_"&amp;B1218&amp;"_"&amp;C1218</f>
        <v>049_S_d</v>
      </c>
      <c r="E1218" s="72">
        <v>117</v>
      </c>
      <c r="F1218" s="72" t="s">
        <v>49</v>
      </c>
      <c r="G1218" s="72" t="s">
        <v>665</v>
      </c>
    </row>
    <row r="1219" spans="1:7" x14ac:dyDescent="0.2">
      <c r="A1219" s="5" t="s">
        <v>655</v>
      </c>
      <c r="B1219" s="6" t="s">
        <v>33</v>
      </c>
      <c r="C1219" s="6" t="s">
        <v>52</v>
      </c>
      <c r="D1219" s="72" t="str">
        <f t="shared" si="22"/>
        <v>049_V_d</v>
      </c>
      <c r="E1219" s="72">
        <v>140</v>
      </c>
      <c r="F1219" s="72" t="s">
        <v>39</v>
      </c>
      <c r="G1219" s="72" t="s">
        <v>667</v>
      </c>
    </row>
    <row r="1220" spans="1:7" x14ac:dyDescent="0.2">
      <c r="A1220" s="5" t="s">
        <v>668</v>
      </c>
      <c r="B1220" s="6" t="s">
        <v>36</v>
      </c>
      <c r="C1220" s="6" t="s">
        <v>52</v>
      </c>
      <c r="D1220" s="72" t="str">
        <f t="shared" si="22"/>
        <v>050_O_d</v>
      </c>
      <c r="E1220" s="72">
        <v>130</v>
      </c>
      <c r="F1220" s="72" t="s">
        <v>43</v>
      </c>
      <c r="G1220" s="72" t="s">
        <v>680</v>
      </c>
    </row>
    <row r="1221" spans="1:7" x14ac:dyDescent="0.2">
      <c r="A1221" s="5" t="s">
        <v>668</v>
      </c>
      <c r="B1221" s="6" t="s">
        <v>27</v>
      </c>
      <c r="C1221" s="6" t="s">
        <v>52</v>
      </c>
      <c r="D1221" s="72" t="str">
        <f t="shared" si="22"/>
        <v>050_S_d</v>
      </c>
      <c r="E1221" s="72">
        <v>119</v>
      </c>
      <c r="F1221" s="72" t="s">
        <v>70</v>
      </c>
      <c r="G1221" s="72" t="s">
        <v>678</v>
      </c>
    </row>
    <row r="1222" spans="1:7" x14ac:dyDescent="0.2">
      <c r="A1222" s="5" t="s">
        <v>668</v>
      </c>
      <c r="B1222" s="6" t="s">
        <v>33</v>
      </c>
      <c r="C1222" s="6" t="s">
        <v>52</v>
      </c>
      <c r="D1222" s="72" t="str">
        <f t="shared" si="22"/>
        <v>050_V_d</v>
      </c>
      <c r="E1222" s="72">
        <v>128</v>
      </c>
      <c r="F1222" s="72" t="s">
        <v>34</v>
      </c>
      <c r="G1222" s="72" t="s">
        <v>679</v>
      </c>
    </row>
    <row r="1223" spans="1:7" x14ac:dyDescent="0.2">
      <c r="A1223" s="5" t="s">
        <v>681</v>
      </c>
      <c r="B1223" s="6" t="s">
        <v>36</v>
      </c>
      <c r="C1223" s="6" t="s">
        <v>52</v>
      </c>
      <c r="D1223" s="72" t="str">
        <f t="shared" si="22"/>
        <v>052_O_d</v>
      </c>
      <c r="E1223" s="72">
        <v>142</v>
      </c>
      <c r="F1223" s="72" t="s">
        <v>49</v>
      </c>
      <c r="G1223" s="72" t="s">
        <v>692</v>
      </c>
    </row>
    <row r="1224" spans="1:7" x14ac:dyDescent="0.2">
      <c r="A1224" s="5" t="s">
        <v>681</v>
      </c>
      <c r="B1224" s="6" t="s">
        <v>27</v>
      </c>
      <c r="C1224" s="6" t="s">
        <v>52</v>
      </c>
      <c r="D1224" s="72" t="str">
        <f t="shared" si="22"/>
        <v>052_S_d</v>
      </c>
      <c r="E1224" s="72">
        <v>143</v>
      </c>
      <c r="F1224" s="72" t="s">
        <v>29</v>
      </c>
      <c r="G1224" s="72" t="s">
        <v>693</v>
      </c>
    </row>
    <row r="1225" spans="1:7" x14ac:dyDescent="0.2">
      <c r="A1225" s="5" t="s">
        <v>681</v>
      </c>
      <c r="B1225" s="6" t="s">
        <v>33</v>
      </c>
      <c r="C1225" s="6" t="s">
        <v>52</v>
      </c>
      <c r="D1225" s="72" t="str">
        <f t="shared" si="22"/>
        <v>052_V_d</v>
      </c>
      <c r="E1225" s="72">
        <v>123</v>
      </c>
      <c r="F1225" s="72" t="s">
        <v>68</v>
      </c>
      <c r="G1225" s="72" t="s">
        <v>691</v>
      </c>
    </row>
    <row r="1226" spans="1:7" x14ac:dyDescent="0.2">
      <c r="A1226" s="5" t="s">
        <v>694</v>
      </c>
      <c r="B1226" s="6" t="s">
        <v>36</v>
      </c>
      <c r="C1226" s="6" t="s">
        <v>52</v>
      </c>
      <c r="D1226" s="72" t="str">
        <f t="shared" si="22"/>
        <v>053_O_d</v>
      </c>
      <c r="E1226" s="72">
        <v>137</v>
      </c>
      <c r="F1226" s="72" t="s">
        <v>49</v>
      </c>
      <c r="G1226" s="72" t="s">
        <v>708</v>
      </c>
    </row>
    <row r="1227" spans="1:7" x14ac:dyDescent="0.2">
      <c r="A1227" s="5" t="s">
        <v>694</v>
      </c>
      <c r="B1227" s="6" t="s">
        <v>27</v>
      </c>
      <c r="C1227" s="6" t="s">
        <v>52</v>
      </c>
      <c r="D1227" s="72" t="str">
        <f t="shared" si="22"/>
        <v>053_S_d</v>
      </c>
      <c r="E1227" s="72">
        <v>126</v>
      </c>
      <c r="F1227" s="72" t="s">
        <v>43</v>
      </c>
      <c r="G1227" s="72" t="s">
        <v>707</v>
      </c>
    </row>
    <row r="1228" spans="1:7" x14ac:dyDescent="0.2">
      <c r="A1228" s="5" t="s">
        <v>694</v>
      </c>
      <c r="B1228" s="6" t="s">
        <v>33</v>
      </c>
      <c r="C1228" s="6" t="s">
        <v>52</v>
      </c>
      <c r="D1228" s="72" t="str">
        <f t="shared" si="22"/>
        <v>053_V_d</v>
      </c>
      <c r="E1228" s="72">
        <v>110</v>
      </c>
      <c r="F1228" s="72" t="s">
        <v>29</v>
      </c>
      <c r="G1228" s="72" t="s">
        <v>706</v>
      </c>
    </row>
    <row r="1229" spans="1:7" x14ac:dyDescent="0.2">
      <c r="A1229" s="5" t="s">
        <v>709</v>
      </c>
      <c r="B1229" s="6" t="s">
        <v>36</v>
      </c>
      <c r="C1229" s="6" t="s">
        <v>52</v>
      </c>
      <c r="D1229" s="72" t="str">
        <f t="shared" si="22"/>
        <v>054_O_d</v>
      </c>
      <c r="E1229" s="72">
        <v>131</v>
      </c>
      <c r="F1229" s="72" t="s">
        <v>70</v>
      </c>
      <c r="G1229" s="72" t="s">
        <v>721</v>
      </c>
    </row>
    <row r="1230" spans="1:7" x14ac:dyDescent="0.2">
      <c r="A1230" s="5" t="s">
        <v>709</v>
      </c>
      <c r="B1230" s="6" t="s">
        <v>27</v>
      </c>
      <c r="C1230" s="6" t="s">
        <v>52</v>
      </c>
      <c r="D1230" s="72" t="str">
        <f t="shared" si="22"/>
        <v>054_S_d</v>
      </c>
      <c r="E1230" s="72">
        <v>109</v>
      </c>
      <c r="F1230" s="72" t="s">
        <v>41</v>
      </c>
      <c r="G1230" s="72" t="s">
        <v>719</v>
      </c>
    </row>
    <row r="1231" spans="1:7" x14ac:dyDescent="0.2">
      <c r="A1231" s="5" t="s">
        <v>709</v>
      </c>
      <c r="B1231" s="6" t="s">
        <v>33</v>
      </c>
      <c r="C1231" s="6" t="s">
        <v>52</v>
      </c>
      <c r="D1231" s="72" t="str">
        <f t="shared" si="22"/>
        <v>054_V_d</v>
      </c>
      <c r="E1231" s="72">
        <v>123</v>
      </c>
      <c r="F1231" s="72" t="s">
        <v>34</v>
      </c>
      <c r="G1231" s="72" t="s">
        <v>720</v>
      </c>
    </row>
    <row r="1232" spans="1:7" x14ac:dyDescent="0.2">
      <c r="A1232" s="5" t="s">
        <v>722</v>
      </c>
      <c r="B1232" s="6" t="s">
        <v>36</v>
      </c>
      <c r="C1232" s="6" t="s">
        <v>52</v>
      </c>
      <c r="D1232" s="72" t="str">
        <f t="shared" si="22"/>
        <v>055_O_d</v>
      </c>
      <c r="E1232" s="72">
        <v>121</v>
      </c>
      <c r="F1232" s="72" t="s">
        <v>82</v>
      </c>
      <c r="G1232" s="72" t="s">
        <v>734</v>
      </c>
    </row>
    <row r="1233" spans="1:7" x14ac:dyDescent="0.2">
      <c r="A1233" s="5" t="s">
        <v>722</v>
      </c>
      <c r="B1233" s="6" t="s">
        <v>27</v>
      </c>
      <c r="C1233" s="6" t="s">
        <v>52</v>
      </c>
      <c r="D1233" s="72" t="str">
        <f t="shared" si="22"/>
        <v>055_S_d</v>
      </c>
      <c r="E1233" s="72">
        <v>129</v>
      </c>
      <c r="F1233" s="72" t="s">
        <v>68</v>
      </c>
      <c r="G1233" s="72" t="s">
        <v>735</v>
      </c>
    </row>
    <row r="1234" spans="1:7" x14ac:dyDescent="0.2">
      <c r="A1234" s="5" t="s">
        <v>722</v>
      </c>
      <c r="B1234" s="6" t="s">
        <v>33</v>
      </c>
      <c r="C1234" s="6" t="s">
        <v>52</v>
      </c>
      <c r="D1234" s="72" t="str">
        <f t="shared" si="22"/>
        <v>055_V_d</v>
      </c>
      <c r="E1234" s="72">
        <v>111</v>
      </c>
      <c r="F1234" s="72" t="s">
        <v>68</v>
      </c>
      <c r="G1234" s="72" t="s">
        <v>733</v>
      </c>
    </row>
    <row r="1235" spans="1:7" x14ac:dyDescent="0.2">
      <c r="A1235" s="5" t="s">
        <v>736</v>
      </c>
      <c r="B1235" s="6" t="s">
        <v>36</v>
      </c>
      <c r="C1235" s="6" t="s">
        <v>52</v>
      </c>
      <c r="D1235" s="72" t="str">
        <f t="shared" si="22"/>
        <v>056_O_d</v>
      </c>
      <c r="E1235" s="72">
        <v>141</v>
      </c>
      <c r="F1235" s="72" t="s">
        <v>34</v>
      </c>
      <c r="G1235" s="72" t="s">
        <v>748</v>
      </c>
    </row>
    <row r="1236" spans="1:7" x14ac:dyDescent="0.2">
      <c r="A1236" s="5" t="s">
        <v>736</v>
      </c>
      <c r="B1236" s="6" t="s">
        <v>27</v>
      </c>
      <c r="C1236" s="6" t="s">
        <v>52</v>
      </c>
      <c r="D1236" s="72" t="str">
        <f t="shared" si="22"/>
        <v>056_S_d</v>
      </c>
      <c r="E1236" s="72">
        <v>123</v>
      </c>
      <c r="F1236" s="72" t="s">
        <v>43</v>
      </c>
      <c r="G1236" s="72" t="s">
        <v>746</v>
      </c>
    </row>
    <row r="1237" spans="1:7" x14ac:dyDescent="0.2">
      <c r="A1237" s="5" t="s">
        <v>736</v>
      </c>
      <c r="B1237" s="6" t="s">
        <v>33</v>
      </c>
      <c r="C1237" s="6" t="s">
        <v>52</v>
      </c>
      <c r="D1237" s="72" t="str">
        <f t="shared" si="22"/>
        <v>056_V_d</v>
      </c>
      <c r="E1237" s="72">
        <v>140</v>
      </c>
      <c r="F1237" s="72" t="s">
        <v>49</v>
      </c>
      <c r="G1237" s="72" t="s">
        <v>747</v>
      </c>
    </row>
    <row r="1238" spans="1:7" x14ac:dyDescent="0.2">
      <c r="A1238" s="5" t="s">
        <v>749</v>
      </c>
      <c r="B1238" s="6" t="s">
        <v>36</v>
      </c>
      <c r="C1238" s="6" t="s">
        <v>52</v>
      </c>
      <c r="D1238" s="72" t="str">
        <f t="shared" si="22"/>
        <v>057_O_d</v>
      </c>
      <c r="E1238" s="72">
        <v>136</v>
      </c>
      <c r="F1238" s="72" t="s">
        <v>43</v>
      </c>
      <c r="G1238" s="72" t="s">
        <v>760</v>
      </c>
    </row>
    <row r="1239" spans="1:7" x14ac:dyDescent="0.2">
      <c r="A1239" s="5" t="s">
        <v>749</v>
      </c>
      <c r="B1239" s="6" t="s">
        <v>27</v>
      </c>
      <c r="C1239" s="6" t="s">
        <v>52</v>
      </c>
      <c r="D1239" s="72" t="str">
        <f t="shared" si="22"/>
        <v>057_S_d</v>
      </c>
      <c r="E1239" s="72">
        <v>138</v>
      </c>
      <c r="F1239" s="72" t="s">
        <v>49</v>
      </c>
      <c r="G1239" s="72" t="s">
        <v>761</v>
      </c>
    </row>
    <row r="1240" spans="1:7" x14ac:dyDescent="0.2">
      <c r="A1240" s="5" t="s">
        <v>749</v>
      </c>
      <c r="B1240" s="6" t="s">
        <v>33</v>
      </c>
      <c r="C1240" s="6" t="s">
        <v>52</v>
      </c>
      <c r="D1240" s="72" t="str">
        <f t="shared" si="22"/>
        <v>057_V_d</v>
      </c>
      <c r="E1240" s="72">
        <v>110</v>
      </c>
      <c r="F1240" s="72" t="s">
        <v>63</v>
      </c>
      <c r="G1240" s="72" t="s">
        <v>759</v>
      </c>
    </row>
    <row r="1241" spans="1:7" x14ac:dyDescent="0.2">
      <c r="A1241" s="5" t="s">
        <v>762</v>
      </c>
      <c r="B1241" s="6" t="s">
        <v>36</v>
      </c>
      <c r="C1241" s="6" t="s">
        <v>52</v>
      </c>
      <c r="D1241" s="72" t="str">
        <f t="shared" si="22"/>
        <v>058_O_d</v>
      </c>
      <c r="E1241" s="72">
        <v>134</v>
      </c>
      <c r="F1241" s="72" t="s">
        <v>34</v>
      </c>
      <c r="G1241" s="72" t="s">
        <v>774</v>
      </c>
    </row>
    <row r="1242" spans="1:7" x14ac:dyDescent="0.2">
      <c r="A1242" s="5" t="s">
        <v>762</v>
      </c>
      <c r="B1242" s="6" t="s">
        <v>27</v>
      </c>
      <c r="C1242" s="6" t="s">
        <v>52</v>
      </c>
      <c r="D1242" s="72" t="str">
        <f t="shared" si="22"/>
        <v>058_S_d</v>
      </c>
      <c r="E1242" s="72">
        <v>113</v>
      </c>
      <c r="F1242" s="72" t="s">
        <v>68</v>
      </c>
      <c r="G1242" s="72" t="s">
        <v>772</v>
      </c>
    </row>
    <row r="1243" spans="1:7" x14ac:dyDescent="0.2">
      <c r="A1243" s="5" t="s">
        <v>762</v>
      </c>
      <c r="B1243" s="6" t="s">
        <v>33</v>
      </c>
      <c r="C1243" s="6" t="s">
        <v>52</v>
      </c>
      <c r="D1243" s="72" t="str">
        <f t="shared" si="22"/>
        <v>058_V_d</v>
      </c>
      <c r="E1243" s="72">
        <v>133</v>
      </c>
      <c r="F1243" s="72" t="s">
        <v>63</v>
      </c>
      <c r="G1243" s="72" t="s">
        <v>773</v>
      </c>
    </row>
    <row r="1244" spans="1:7" x14ac:dyDescent="0.2">
      <c r="A1244" s="5" t="s">
        <v>775</v>
      </c>
      <c r="B1244" s="6" t="s">
        <v>36</v>
      </c>
      <c r="C1244" s="6" t="s">
        <v>52</v>
      </c>
      <c r="D1244" s="72" t="str">
        <f t="shared" si="22"/>
        <v>059_O_d</v>
      </c>
      <c r="E1244" s="72">
        <v>114</v>
      </c>
      <c r="F1244" s="72" t="s">
        <v>49</v>
      </c>
      <c r="G1244" s="72" t="s">
        <v>785</v>
      </c>
    </row>
    <row r="1245" spans="1:7" x14ac:dyDescent="0.2">
      <c r="A1245" s="5" t="s">
        <v>775</v>
      </c>
      <c r="B1245" s="6" t="s">
        <v>27</v>
      </c>
      <c r="C1245" s="6" t="s">
        <v>52</v>
      </c>
      <c r="D1245" s="72" t="str">
        <f t="shared" si="22"/>
        <v>059_S_d</v>
      </c>
      <c r="E1245" s="72">
        <v>129</v>
      </c>
      <c r="F1245" s="72" t="s">
        <v>70</v>
      </c>
      <c r="G1245" s="72" t="s">
        <v>786</v>
      </c>
    </row>
    <row r="1246" spans="1:7" x14ac:dyDescent="0.2">
      <c r="A1246" s="5" t="s">
        <v>775</v>
      </c>
      <c r="B1246" s="6" t="s">
        <v>33</v>
      </c>
      <c r="C1246" s="6" t="s">
        <v>52</v>
      </c>
      <c r="D1246" s="72" t="str">
        <f t="shared" si="22"/>
        <v>059_V_d</v>
      </c>
      <c r="E1246" s="72">
        <v>143</v>
      </c>
      <c r="F1246" s="72" t="s">
        <v>82</v>
      </c>
      <c r="G1246" s="72" t="s">
        <v>787</v>
      </c>
    </row>
    <row r="1247" spans="1:7" x14ac:dyDescent="0.2">
      <c r="A1247" s="5" t="s">
        <v>788</v>
      </c>
      <c r="B1247" s="6" t="s">
        <v>36</v>
      </c>
      <c r="C1247" s="6" t="s">
        <v>52</v>
      </c>
      <c r="D1247" s="72" t="str">
        <f t="shared" si="22"/>
        <v>060_O_d</v>
      </c>
      <c r="E1247" s="72">
        <v>114</v>
      </c>
      <c r="F1247" s="72" t="s">
        <v>29</v>
      </c>
      <c r="G1247" s="72" t="s">
        <v>798</v>
      </c>
    </row>
    <row r="1248" spans="1:7" x14ac:dyDescent="0.2">
      <c r="A1248" s="5" t="s">
        <v>788</v>
      </c>
      <c r="B1248" s="6" t="s">
        <v>27</v>
      </c>
      <c r="C1248" s="6" t="s">
        <v>52</v>
      </c>
      <c r="D1248" s="72" t="str">
        <f t="shared" si="22"/>
        <v>060_S_d</v>
      </c>
      <c r="E1248" s="72">
        <v>132</v>
      </c>
      <c r="F1248" s="72" t="s">
        <v>43</v>
      </c>
      <c r="G1248" s="72" t="s">
        <v>800</v>
      </c>
    </row>
    <row r="1249" spans="1:7" x14ac:dyDescent="0.2">
      <c r="A1249" s="5" t="s">
        <v>788</v>
      </c>
      <c r="B1249" s="6" t="s">
        <v>33</v>
      </c>
      <c r="C1249" s="6" t="s">
        <v>52</v>
      </c>
      <c r="D1249" s="72" t="str">
        <f t="shared" si="22"/>
        <v>060_V_d</v>
      </c>
      <c r="E1249" s="72">
        <v>118</v>
      </c>
      <c r="F1249" s="72" t="s">
        <v>43</v>
      </c>
      <c r="G1249" s="72" t="s">
        <v>799</v>
      </c>
    </row>
    <row r="1250" spans="1:7" x14ac:dyDescent="0.2">
      <c r="A1250" s="5" t="s">
        <v>801</v>
      </c>
      <c r="B1250" s="6" t="s">
        <v>36</v>
      </c>
      <c r="C1250" s="6" t="s">
        <v>52</v>
      </c>
      <c r="D1250" s="72" t="str">
        <f t="shared" si="22"/>
        <v>062_O_d</v>
      </c>
      <c r="E1250" s="72">
        <v>130</v>
      </c>
      <c r="F1250" s="72" t="s">
        <v>68</v>
      </c>
      <c r="G1250" s="72" t="s">
        <v>812</v>
      </c>
    </row>
    <row r="1251" spans="1:7" x14ac:dyDescent="0.2">
      <c r="A1251" s="5" t="s">
        <v>801</v>
      </c>
      <c r="B1251" s="6" t="s">
        <v>27</v>
      </c>
      <c r="C1251" s="6" t="s">
        <v>52</v>
      </c>
      <c r="D1251" s="72" t="str">
        <f t="shared" si="22"/>
        <v>062_S_d</v>
      </c>
      <c r="E1251" s="72">
        <v>116</v>
      </c>
      <c r="F1251" s="72" t="s">
        <v>70</v>
      </c>
      <c r="G1251" s="72" t="s">
        <v>811</v>
      </c>
    </row>
    <row r="1252" spans="1:7" x14ac:dyDescent="0.2">
      <c r="A1252" s="5" t="s">
        <v>801</v>
      </c>
      <c r="B1252" s="6" t="s">
        <v>33</v>
      </c>
      <c r="C1252" s="6" t="s">
        <v>52</v>
      </c>
      <c r="D1252" s="72" t="str">
        <f t="shared" si="22"/>
        <v>062_V_d</v>
      </c>
      <c r="E1252" s="72">
        <v>142</v>
      </c>
      <c r="F1252" s="72" t="s">
        <v>39</v>
      </c>
      <c r="G1252" s="72" t="s">
        <v>813</v>
      </c>
    </row>
    <row r="1253" spans="1:7" x14ac:dyDescent="0.2">
      <c r="A1253" s="5" t="s">
        <v>814</v>
      </c>
      <c r="B1253" s="6" t="s">
        <v>36</v>
      </c>
      <c r="C1253" s="6" t="s">
        <v>52</v>
      </c>
      <c r="D1253" s="72" t="str">
        <f t="shared" si="22"/>
        <v>063_O_d</v>
      </c>
      <c r="E1253" s="72">
        <v>134</v>
      </c>
      <c r="F1253" s="72" t="s">
        <v>63</v>
      </c>
      <c r="G1253" s="72" t="s">
        <v>826</v>
      </c>
    </row>
    <row r="1254" spans="1:7" x14ac:dyDescent="0.2">
      <c r="A1254" s="5" t="s">
        <v>814</v>
      </c>
      <c r="B1254" s="6" t="s">
        <v>27</v>
      </c>
      <c r="C1254" s="6" t="s">
        <v>52</v>
      </c>
      <c r="D1254" s="72" t="str">
        <f t="shared" si="22"/>
        <v>063_S_d</v>
      </c>
      <c r="E1254" s="72">
        <v>133</v>
      </c>
      <c r="F1254" s="72" t="s">
        <v>82</v>
      </c>
      <c r="G1254" s="72" t="s">
        <v>825</v>
      </c>
    </row>
    <row r="1255" spans="1:7" x14ac:dyDescent="0.2">
      <c r="A1255" s="5" t="s">
        <v>814</v>
      </c>
      <c r="B1255" s="6" t="s">
        <v>33</v>
      </c>
      <c r="C1255" s="6" t="s">
        <v>52</v>
      </c>
      <c r="D1255" s="72" t="str">
        <f t="shared" si="22"/>
        <v>063_V_d</v>
      </c>
      <c r="E1255" s="72">
        <v>113</v>
      </c>
      <c r="F1255" s="72" t="s">
        <v>41</v>
      </c>
      <c r="G1255" s="72" t="s">
        <v>824</v>
      </c>
    </row>
    <row r="1256" spans="1:7" x14ac:dyDescent="0.2">
      <c r="A1256" s="5" t="s">
        <v>827</v>
      </c>
      <c r="B1256" s="6" t="s">
        <v>36</v>
      </c>
      <c r="C1256" s="6" t="s">
        <v>52</v>
      </c>
      <c r="D1256" s="72" t="str">
        <f t="shared" si="22"/>
        <v>064_O_d</v>
      </c>
      <c r="E1256" s="72">
        <v>134</v>
      </c>
      <c r="F1256" s="72" t="s">
        <v>82</v>
      </c>
      <c r="G1256" s="72" t="s">
        <v>839</v>
      </c>
    </row>
    <row r="1257" spans="1:7" x14ac:dyDescent="0.2">
      <c r="A1257" s="5" t="s">
        <v>827</v>
      </c>
      <c r="B1257" s="6" t="s">
        <v>27</v>
      </c>
      <c r="C1257" s="6" t="s">
        <v>52</v>
      </c>
      <c r="D1257" s="72" t="str">
        <f t="shared" si="22"/>
        <v>064_S_d</v>
      </c>
      <c r="E1257" s="72">
        <v>132</v>
      </c>
      <c r="F1257" s="72" t="s">
        <v>41</v>
      </c>
      <c r="G1257" s="72" t="s">
        <v>838</v>
      </c>
    </row>
    <row r="1258" spans="1:7" x14ac:dyDescent="0.2">
      <c r="A1258" s="5" t="s">
        <v>827</v>
      </c>
      <c r="B1258" s="6" t="s">
        <v>33</v>
      </c>
      <c r="C1258" s="6" t="s">
        <v>52</v>
      </c>
      <c r="D1258" s="72" t="str">
        <f t="shared" si="22"/>
        <v>064_V_d</v>
      </c>
      <c r="E1258" s="72">
        <v>112</v>
      </c>
      <c r="F1258" s="72" t="s">
        <v>41</v>
      </c>
      <c r="G1258" s="72" t="s">
        <v>837</v>
      </c>
    </row>
    <row r="1259" spans="1:7" x14ac:dyDescent="0.2">
      <c r="A1259" s="5" t="s">
        <v>840</v>
      </c>
      <c r="B1259" s="6" t="s">
        <v>36</v>
      </c>
      <c r="C1259" s="6" t="s">
        <v>52</v>
      </c>
      <c r="D1259" s="72" t="str">
        <f t="shared" si="22"/>
        <v>065_O_d</v>
      </c>
      <c r="E1259" s="72">
        <v>143</v>
      </c>
      <c r="F1259" s="72" t="s">
        <v>63</v>
      </c>
      <c r="G1259" s="72" t="s">
        <v>852</v>
      </c>
    </row>
    <row r="1260" spans="1:7" x14ac:dyDescent="0.2">
      <c r="A1260" s="5" t="s">
        <v>840</v>
      </c>
      <c r="B1260" s="6" t="s">
        <v>27</v>
      </c>
      <c r="C1260" s="6" t="s">
        <v>52</v>
      </c>
      <c r="D1260" s="72" t="str">
        <f t="shared" si="22"/>
        <v>065_S_d</v>
      </c>
      <c r="E1260" s="72">
        <v>115</v>
      </c>
      <c r="F1260" s="72" t="s">
        <v>70</v>
      </c>
      <c r="G1260" s="72" t="s">
        <v>850</v>
      </c>
    </row>
    <row r="1261" spans="1:7" x14ac:dyDescent="0.2">
      <c r="A1261" s="5" t="s">
        <v>840</v>
      </c>
      <c r="B1261" s="6" t="s">
        <v>33</v>
      </c>
      <c r="C1261" s="6" t="s">
        <v>52</v>
      </c>
      <c r="D1261" s="72" t="str">
        <f t="shared" si="22"/>
        <v>065_V_d</v>
      </c>
      <c r="E1261" s="72">
        <v>135</v>
      </c>
      <c r="F1261" s="72" t="s">
        <v>49</v>
      </c>
      <c r="G1261" s="72" t="s">
        <v>851</v>
      </c>
    </row>
    <row r="1262" spans="1:7" x14ac:dyDescent="0.2">
      <c r="A1262" s="5" t="s">
        <v>853</v>
      </c>
      <c r="B1262" s="6" t="s">
        <v>36</v>
      </c>
      <c r="C1262" s="6" t="s">
        <v>52</v>
      </c>
      <c r="D1262" s="72" t="str">
        <f t="shared" si="22"/>
        <v>067_O_d</v>
      </c>
      <c r="E1262" s="72">
        <v>126</v>
      </c>
      <c r="F1262" s="72" t="s">
        <v>63</v>
      </c>
      <c r="G1262" s="72" t="s">
        <v>865</v>
      </c>
    </row>
    <row r="1263" spans="1:7" x14ac:dyDescent="0.2">
      <c r="A1263" s="5" t="s">
        <v>853</v>
      </c>
      <c r="B1263" s="6" t="s">
        <v>27</v>
      </c>
      <c r="C1263" s="6" t="s">
        <v>52</v>
      </c>
      <c r="D1263" s="72" t="str">
        <f t="shared" si="22"/>
        <v>067_S_d</v>
      </c>
      <c r="E1263" s="72">
        <v>122</v>
      </c>
      <c r="F1263" s="72" t="s">
        <v>49</v>
      </c>
      <c r="G1263" s="72" t="s">
        <v>864</v>
      </c>
    </row>
    <row r="1264" spans="1:7" x14ac:dyDescent="0.2">
      <c r="A1264" s="5" t="s">
        <v>853</v>
      </c>
      <c r="B1264" s="6" t="s">
        <v>33</v>
      </c>
      <c r="C1264" s="6" t="s">
        <v>52</v>
      </c>
      <c r="D1264" s="72" t="str">
        <f t="shared" si="22"/>
        <v>067_V_d</v>
      </c>
      <c r="E1264" s="72">
        <v>110</v>
      </c>
      <c r="F1264" s="72" t="s">
        <v>82</v>
      </c>
      <c r="G1264" s="72" t="s">
        <v>863</v>
      </c>
    </row>
    <row r="1265" spans="1:7" x14ac:dyDescent="0.2">
      <c r="A1265" s="5" t="s">
        <v>866</v>
      </c>
      <c r="B1265" s="6" t="s">
        <v>36</v>
      </c>
      <c r="C1265" s="6" t="s">
        <v>52</v>
      </c>
      <c r="D1265" s="72" t="str">
        <f t="shared" si="22"/>
        <v>068_O_d</v>
      </c>
      <c r="E1265" s="72">
        <v>120</v>
      </c>
      <c r="F1265" s="72" t="s">
        <v>49</v>
      </c>
      <c r="G1265" s="72" t="s">
        <v>877</v>
      </c>
    </row>
    <row r="1266" spans="1:7" x14ac:dyDescent="0.2">
      <c r="A1266" s="5" t="s">
        <v>866</v>
      </c>
      <c r="B1266" s="6" t="s">
        <v>27</v>
      </c>
      <c r="C1266" s="6" t="s">
        <v>52</v>
      </c>
      <c r="D1266" s="72" t="str">
        <f t="shared" si="22"/>
        <v>068_S_d</v>
      </c>
      <c r="E1266" s="72">
        <v>130</v>
      </c>
      <c r="F1266" s="72" t="s">
        <v>34</v>
      </c>
      <c r="G1266" s="72" t="s">
        <v>878</v>
      </c>
    </row>
    <row r="1267" spans="1:7" x14ac:dyDescent="0.2">
      <c r="A1267" s="5" t="s">
        <v>866</v>
      </c>
      <c r="B1267" s="6" t="s">
        <v>33</v>
      </c>
      <c r="C1267" s="6" t="s">
        <v>52</v>
      </c>
      <c r="D1267" s="72" t="str">
        <f t="shared" si="22"/>
        <v>068_V_d</v>
      </c>
      <c r="E1267" s="72">
        <v>131</v>
      </c>
      <c r="F1267" s="72" t="s">
        <v>82</v>
      </c>
      <c r="G1267" s="72" t="s">
        <v>879</v>
      </c>
    </row>
    <row r="1268" spans="1:7" x14ac:dyDescent="0.2">
      <c r="A1268" s="5" t="s">
        <v>880</v>
      </c>
      <c r="B1268" s="6" t="s">
        <v>36</v>
      </c>
      <c r="C1268" s="6" t="s">
        <v>52</v>
      </c>
      <c r="D1268" s="72" t="str">
        <f t="shared" si="22"/>
        <v>069_O_d</v>
      </c>
      <c r="E1268" s="72">
        <v>123</v>
      </c>
      <c r="F1268" s="72" t="s">
        <v>41</v>
      </c>
      <c r="G1268" s="72" t="s">
        <v>891</v>
      </c>
    </row>
    <row r="1269" spans="1:7" x14ac:dyDescent="0.2">
      <c r="A1269" s="5" t="s">
        <v>880</v>
      </c>
      <c r="B1269" s="6" t="s">
        <v>27</v>
      </c>
      <c r="C1269" s="6" t="s">
        <v>52</v>
      </c>
      <c r="D1269" s="72" t="str">
        <f t="shared" si="22"/>
        <v>069_S_d</v>
      </c>
      <c r="E1269" s="72">
        <v>109</v>
      </c>
      <c r="F1269" s="72" t="s">
        <v>43</v>
      </c>
      <c r="G1269" s="72" t="s">
        <v>890</v>
      </c>
    </row>
    <row r="1270" spans="1:7" x14ac:dyDescent="0.2">
      <c r="A1270" s="5" t="s">
        <v>880</v>
      </c>
      <c r="B1270" s="6" t="s">
        <v>33</v>
      </c>
      <c r="C1270" s="6" t="s">
        <v>52</v>
      </c>
      <c r="D1270" s="72" t="str">
        <f t="shared" si="22"/>
        <v>069_V_d</v>
      </c>
      <c r="E1270" s="72">
        <v>126</v>
      </c>
      <c r="F1270" s="72" t="s">
        <v>39</v>
      </c>
      <c r="G1270" s="72" t="s">
        <v>892</v>
      </c>
    </row>
    <row r="1271" spans="1:7" x14ac:dyDescent="0.2">
      <c r="A1271" s="5" t="s">
        <v>893</v>
      </c>
      <c r="B1271" s="6" t="s">
        <v>36</v>
      </c>
      <c r="C1271" s="6" t="s">
        <v>52</v>
      </c>
      <c r="D1271" s="72" t="str">
        <f t="shared" si="22"/>
        <v>070_O_d</v>
      </c>
      <c r="E1271" s="72">
        <v>131</v>
      </c>
      <c r="F1271" s="72" t="s">
        <v>43</v>
      </c>
      <c r="G1271" s="72" t="s">
        <v>903</v>
      </c>
    </row>
    <row r="1272" spans="1:7" x14ac:dyDescent="0.2">
      <c r="A1272" s="5" t="s">
        <v>893</v>
      </c>
      <c r="B1272" s="6" t="s">
        <v>27</v>
      </c>
      <c r="C1272" s="6" t="s">
        <v>52</v>
      </c>
      <c r="D1272" s="72" t="str">
        <f t="shared" si="22"/>
        <v>070_S_d</v>
      </c>
      <c r="E1272" s="72">
        <v>132</v>
      </c>
      <c r="F1272" s="72" t="s">
        <v>70</v>
      </c>
      <c r="G1272" s="72" t="s">
        <v>904</v>
      </c>
    </row>
    <row r="1273" spans="1:7" x14ac:dyDescent="0.2">
      <c r="A1273" s="5" t="s">
        <v>893</v>
      </c>
      <c r="B1273" s="6" t="s">
        <v>33</v>
      </c>
      <c r="C1273" s="6" t="s">
        <v>52</v>
      </c>
      <c r="D1273" s="72" t="str">
        <f t="shared" si="22"/>
        <v>070_V_d</v>
      </c>
      <c r="E1273" s="72">
        <v>141</v>
      </c>
      <c r="F1273" s="72" t="s">
        <v>39</v>
      </c>
      <c r="G1273" s="72" t="s">
        <v>906</v>
      </c>
    </row>
    <row r="1274" spans="1:7" x14ac:dyDescent="0.2">
      <c r="A1274" s="5" t="s">
        <v>907</v>
      </c>
      <c r="B1274" s="6" t="s">
        <v>36</v>
      </c>
      <c r="C1274" s="6" t="s">
        <v>52</v>
      </c>
      <c r="D1274" s="72" t="str">
        <f t="shared" si="22"/>
        <v>071_O_d</v>
      </c>
      <c r="E1274" s="72">
        <v>119</v>
      </c>
      <c r="F1274" s="72" t="s">
        <v>63</v>
      </c>
      <c r="G1274" s="72" t="s">
        <v>917</v>
      </c>
    </row>
    <row r="1275" spans="1:7" x14ac:dyDescent="0.2">
      <c r="A1275" s="5" t="s">
        <v>907</v>
      </c>
      <c r="B1275" s="6" t="s">
        <v>27</v>
      </c>
      <c r="C1275" s="6" t="s">
        <v>52</v>
      </c>
      <c r="D1275" s="72" t="str">
        <f t="shared" si="22"/>
        <v>071_S_d</v>
      </c>
      <c r="E1275" s="72">
        <v>137</v>
      </c>
      <c r="F1275" s="72" t="s">
        <v>68</v>
      </c>
      <c r="G1275" s="72" t="s">
        <v>918</v>
      </c>
    </row>
    <row r="1276" spans="1:7" x14ac:dyDescent="0.2">
      <c r="A1276" s="5" t="s">
        <v>907</v>
      </c>
      <c r="B1276" s="6" t="s">
        <v>33</v>
      </c>
      <c r="C1276" s="6" t="s">
        <v>52</v>
      </c>
      <c r="D1276" s="72" t="str">
        <f t="shared" si="22"/>
        <v>071_V_d</v>
      </c>
      <c r="E1276" s="72">
        <v>140</v>
      </c>
      <c r="F1276" s="72" t="s">
        <v>82</v>
      </c>
      <c r="G1276" s="72" t="s">
        <v>919</v>
      </c>
    </row>
    <row r="1277" spans="1:7" x14ac:dyDescent="0.2">
      <c r="A1277" s="5" t="s">
        <v>920</v>
      </c>
      <c r="B1277" s="6" t="s">
        <v>36</v>
      </c>
      <c r="C1277" s="6" t="s">
        <v>52</v>
      </c>
      <c r="D1277" s="72" t="str">
        <f t="shared" si="22"/>
        <v>072_O_d</v>
      </c>
      <c r="E1277" s="72">
        <v>109</v>
      </c>
      <c r="F1277" s="72" t="s">
        <v>29</v>
      </c>
      <c r="G1277" s="72" t="s">
        <v>930</v>
      </c>
    </row>
    <row r="1278" spans="1:7" x14ac:dyDescent="0.2">
      <c r="A1278" s="5" t="s">
        <v>920</v>
      </c>
      <c r="B1278" s="6" t="s">
        <v>27</v>
      </c>
      <c r="C1278" s="6" t="s">
        <v>52</v>
      </c>
      <c r="D1278" s="72" t="str">
        <f t="shared" si="22"/>
        <v>072_S_d</v>
      </c>
      <c r="E1278" s="72">
        <v>138</v>
      </c>
      <c r="F1278" s="72" t="s">
        <v>82</v>
      </c>
      <c r="G1278" s="72" t="s">
        <v>931</v>
      </c>
    </row>
    <row r="1279" spans="1:7" x14ac:dyDescent="0.2">
      <c r="A1279" s="5" t="s">
        <v>920</v>
      </c>
      <c r="B1279" s="6" t="s">
        <v>33</v>
      </c>
      <c r="C1279" s="6" t="s">
        <v>52</v>
      </c>
      <c r="D1279" s="72" t="str">
        <f t="shared" si="22"/>
        <v>072_V_d</v>
      </c>
      <c r="E1279" s="72">
        <v>142</v>
      </c>
      <c r="F1279" s="72" t="s">
        <v>41</v>
      </c>
      <c r="G1279" s="72" t="s">
        <v>932</v>
      </c>
    </row>
    <row r="1280" spans="1:7" x14ac:dyDescent="0.2">
      <c r="A1280" s="5" t="s">
        <v>933</v>
      </c>
      <c r="B1280" s="6" t="s">
        <v>36</v>
      </c>
      <c r="C1280" s="6" t="s">
        <v>52</v>
      </c>
      <c r="D1280" s="72" t="str">
        <f t="shared" si="22"/>
        <v>073_O_d</v>
      </c>
      <c r="E1280" s="72">
        <v>137</v>
      </c>
      <c r="F1280" s="72" t="s">
        <v>39</v>
      </c>
      <c r="G1280" s="72" t="s">
        <v>945</v>
      </c>
    </row>
    <row r="1281" spans="1:7" x14ac:dyDescent="0.2">
      <c r="A1281" s="5" t="s">
        <v>933</v>
      </c>
      <c r="B1281" s="6" t="s">
        <v>27</v>
      </c>
      <c r="C1281" s="6" t="s">
        <v>52</v>
      </c>
      <c r="D1281" s="72" t="str">
        <f t="shared" si="22"/>
        <v>073_S_d</v>
      </c>
      <c r="E1281" s="72">
        <v>116</v>
      </c>
      <c r="F1281" s="72" t="s">
        <v>43</v>
      </c>
      <c r="G1281" s="72" t="s">
        <v>943</v>
      </c>
    </row>
    <row r="1282" spans="1:7" x14ac:dyDescent="0.2">
      <c r="A1282" s="5" t="s">
        <v>933</v>
      </c>
      <c r="B1282" s="6" t="s">
        <v>33</v>
      </c>
      <c r="C1282" s="6" t="s">
        <v>52</v>
      </c>
      <c r="D1282" s="72" t="str">
        <f t="shared" ref="D1282:D1345" si="23">A1282&amp;"_"&amp;B1282&amp;"_"&amp;C1282</f>
        <v>073_V_d</v>
      </c>
      <c r="E1282" s="72">
        <v>133</v>
      </c>
      <c r="F1282" s="72" t="s">
        <v>39</v>
      </c>
      <c r="G1282" s="72" t="s">
        <v>944</v>
      </c>
    </row>
    <row r="1283" spans="1:7" x14ac:dyDescent="0.2">
      <c r="A1283" s="5" t="s">
        <v>946</v>
      </c>
      <c r="B1283" s="6" t="s">
        <v>36</v>
      </c>
      <c r="C1283" s="6" t="s">
        <v>52</v>
      </c>
      <c r="D1283" s="72" t="str">
        <f t="shared" si="23"/>
        <v>074_O_d</v>
      </c>
      <c r="E1283" s="72">
        <v>112</v>
      </c>
      <c r="F1283" s="72" t="s">
        <v>49</v>
      </c>
      <c r="G1283" s="72" t="s">
        <v>956</v>
      </c>
    </row>
    <row r="1284" spans="1:7" x14ac:dyDescent="0.2">
      <c r="A1284" s="5" t="s">
        <v>946</v>
      </c>
      <c r="B1284" s="6" t="s">
        <v>27</v>
      </c>
      <c r="C1284" s="6" t="s">
        <v>52</v>
      </c>
      <c r="D1284" s="72" t="str">
        <f t="shared" si="23"/>
        <v>074_S_d</v>
      </c>
      <c r="E1284" s="72">
        <v>138</v>
      </c>
      <c r="F1284" s="72" t="s">
        <v>39</v>
      </c>
      <c r="G1284" s="72" t="s">
        <v>957</v>
      </c>
    </row>
    <row r="1285" spans="1:7" x14ac:dyDescent="0.2">
      <c r="A1285" s="5" t="s">
        <v>946</v>
      </c>
      <c r="B1285" s="6" t="s">
        <v>33</v>
      </c>
      <c r="C1285" s="6" t="s">
        <v>52</v>
      </c>
      <c r="D1285" s="72" t="str">
        <f t="shared" si="23"/>
        <v>074_V_d</v>
      </c>
      <c r="E1285" s="72">
        <v>143</v>
      </c>
      <c r="F1285" s="72" t="s">
        <v>41</v>
      </c>
      <c r="G1285" s="72" t="s">
        <v>958</v>
      </c>
    </row>
    <row r="1286" spans="1:7" x14ac:dyDescent="0.2">
      <c r="A1286" s="5" t="s">
        <v>959</v>
      </c>
      <c r="B1286" s="6" t="s">
        <v>36</v>
      </c>
      <c r="C1286" s="6" t="s">
        <v>52</v>
      </c>
      <c r="D1286" s="72" t="str">
        <f t="shared" si="23"/>
        <v>075_O_d</v>
      </c>
      <c r="E1286" s="72">
        <v>125</v>
      </c>
      <c r="F1286" s="72" t="s">
        <v>34</v>
      </c>
      <c r="G1286" s="72" t="s">
        <v>971</v>
      </c>
    </row>
    <row r="1287" spans="1:7" x14ac:dyDescent="0.2">
      <c r="A1287" s="5" t="s">
        <v>959</v>
      </c>
      <c r="B1287" s="6" t="s">
        <v>27</v>
      </c>
      <c r="C1287" s="6" t="s">
        <v>52</v>
      </c>
      <c r="D1287" s="72" t="str">
        <f t="shared" si="23"/>
        <v>075_S_d</v>
      </c>
      <c r="E1287" s="72">
        <v>116</v>
      </c>
      <c r="F1287" s="72" t="s">
        <v>63</v>
      </c>
      <c r="G1287" s="72" t="s">
        <v>969</v>
      </c>
    </row>
    <row r="1288" spans="1:7" x14ac:dyDescent="0.2">
      <c r="A1288" s="5" t="s">
        <v>959</v>
      </c>
      <c r="B1288" s="6" t="s">
        <v>33</v>
      </c>
      <c r="C1288" s="6" t="s">
        <v>52</v>
      </c>
      <c r="D1288" s="72" t="str">
        <f t="shared" si="23"/>
        <v>075_V_d</v>
      </c>
      <c r="E1288" s="72">
        <v>119</v>
      </c>
      <c r="F1288" s="72" t="s">
        <v>82</v>
      </c>
      <c r="G1288" s="72" t="s">
        <v>970</v>
      </c>
    </row>
    <row r="1289" spans="1:7" x14ac:dyDescent="0.2">
      <c r="A1289" s="5" t="s">
        <v>972</v>
      </c>
      <c r="B1289" s="6" t="s">
        <v>36</v>
      </c>
      <c r="C1289" s="6" t="s">
        <v>52</v>
      </c>
      <c r="D1289" s="72" t="str">
        <f t="shared" si="23"/>
        <v>076_O_d</v>
      </c>
      <c r="E1289" s="72">
        <v>128</v>
      </c>
      <c r="F1289" s="72" t="s">
        <v>43</v>
      </c>
      <c r="G1289" s="72" t="s">
        <v>984</v>
      </c>
    </row>
    <row r="1290" spans="1:7" x14ac:dyDescent="0.2">
      <c r="A1290" s="5" t="s">
        <v>972</v>
      </c>
      <c r="B1290" s="6" t="s">
        <v>27</v>
      </c>
      <c r="C1290" s="6" t="s">
        <v>52</v>
      </c>
      <c r="D1290" s="72" t="str">
        <f t="shared" si="23"/>
        <v>076_S_d</v>
      </c>
      <c r="E1290" s="72">
        <v>109</v>
      </c>
      <c r="F1290" s="72" t="s">
        <v>70</v>
      </c>
      <c r="G1290" s="72" t="s">
        <v>982</v>
      </c>
    </row>
    <row r="1291" spans="1:7" x14ac:dyDescent="0.2">
      <c r="A1291" s="5" t="s">
        <v>972</v>
      </c>
      <c r="B1291" s="6" t="s">
        <v>33</v>
      </c>
      <c r="C1291" s="6" t="s">
        <v>52</v>
      </c>
      <c r="D1291" s="72" t="str">
        <f t="shared" si="23"/>
        <v>076_V_d</v>
      </c>
      <c r="E1291" s="72">
        <v>118</v>
      </c>
      <c r="F1291" s="72" t="s">
        <v>34</v>
      </c>
      <c r="G1291" s="72" t="s">
        <v>983</v>
      </c>
    </row>
    <row r="1292" spans="1:7" x14ac:dyDescent="0.2">
      <c r="A1292" s="5" t="s">
        <v>985</v>
      </c>
      <c r="B1292" s="6" t="s">
        <v>36</v>
      </c>
      <c r="C1292" s="6" t="s">
        <v>52</v>
      </c>
      <c r="D1292" s="72" t="str">
        <f t="shared" si="23"/>
        <v>077_O_d</v>
      </c>
      <c r="E1292" s="72">
        <v>119</v>
      </c>
      <c r="F1292" s="72" t="s">
        <v>39</v>
      </c>
      <c r="G1292" s="72" t="s">
        <v>996</v>
      </c>
    </row>
    <row r="1293" spans="1:7" x14ac:dyDescent="0.2">
      <c r="A1293" s="5" t="s">
        <v>985</v>
      </c>
      <c r="B1293" s="6" t="s">
        <v>27</v>
      </c>
      <c r="C1293" s="6" t="s">
        <v>52</v>
      </c>
      <c r="D1293" s="72" t="str">
        <f t="shared" si="23"/>
        <v>077_S_d</v>
      </c>
      <c r="E1293" s="72">
        <v>114</v>
      </c>
      <c r="F1293" s="72" t="s">
        <v>41</v>
      </c>
      <c r="G1293" s="72" t="s">
        <v>995</v>
      </c>
    </row>
    <row r="1294" spans="1:7" x14ac:dyDescent="0.2">
      <c r="A1294" s="5" t="s">
        <v>985</v>
      </c>
      <c r="B1294" s="6" t="s">
        <v>33</v>
      </c>
      <c r="C1294" s="6" t="s">
        <v>52</v>
      </c>
      <c r="D1294" s="72" t="str">
        <f t="shared" si="23"/>
        <v>077_V_d</v>
      </c>
      <c r="E1294" s="72">
        <v>124</v>
      </c>
      <c r="F1294" s="72" t="s">
        <v>63</v>
      </c>
      <c r="G1294" s="72" t="s">
        <v>997</v>
      </c>
    </row>
    <row r="1295" spans="1:7" x14ac:dyDescent="0.2">
      <c r="A1295" s="5" t="s">
        <v>998</v>
      </c>
      <c r="B1295" s="6" t="s">
        <v>36</v>
      </c>
      <c r="C1295" s="6" t="s">
        <v>52</v>
      </c>
      <c r="D1295" s="72" t="str">
        <f t="shared" si="23"/>
        <v>078_O_d</v>
      </c>
      <c r="E1295" s="72">
        <v>144</v>
      </c>
      <c r="F1295" s="72" t="s">
        <v>49</v>
      </c>
      <c r="G1295" s="72" t="s">
        <v>1012</v>
      </c>
    </row>
    <row r="1296" spans="1:7" x14ac:dyDescent="0.2">
      <c r="A1296" s="5" t="s">
        <v>998</v>
      </c>
      <c r="B1296" s="6" t="s">
        <v>27</v>
      </c>
      <c r="C1296" s="6" t="s">
        <v>52</v>
      </c>
      <c r="D1296" s="72" t="str">
        <f t="shared" si="23"/>
        <v>078_S_d</v>
      </c>
      <c r="E1296" s="72">
        <v>133</v>
      </c>
      <c r="F1296" s="72" t="s">
        <v>29</v>
      </c>
      <c r="G1296" s="72" t="s">
        <v>1011</v>
      </c>
    </row>
    <row r="1297" spans="1:7" x14ac:dyDescent="0.2">
      <c r="A1297" s="5" t="s">
        <v>998</v>
      </c>
      <c r="B1297" s="6" t="s">
        <v>33</v>
      </c>
      <c r="C1297" s="6" t="s">
        <v>52</v>
      </c>
      <c r="D1297" s="72" t="str">
        <f t="shared" si="23"/>
        <v>078_V_d</v>
      </c>
      <c r="E1297" s="72">
        <v>125</v>
      </c>
      <c r="F1297" s="72" t="s">
        <v>29</v>
      </c>
      <c r="G1297" s="72" t="s">
        <v>1010</v>
      </c>
    </row>
    <row r="1298" spans="1:7" x14ac:dyDescent="0.2">
      <c r="A1298" s="5" t="s">
        <v>1013</v>
      </c>
      <c r="B1298" s="6" t="s">
        <v>36</v>
      </c>
      <c r="C1298" s="6" t="s">
        <v>52</v>
      </c>
      <c r="D1298" s="72" t="str">
        <f t="shared" si="23"/>
        <v>079_O_d</v>
      </c>
      <c r="E1298" s="72">
        <v>122</v>
      </c>
      <c r="F1298" s="72" t="s">
        <v>68</v>
      </c>
      <c r="G1298" s="72" t="s">
        <v>1026</v>
      </c>
    </row>
    <row r="1299" spans="1:7" x14ac:dyDescent="0.2">
      <c r="A1299" s="5" t="s">
        <v>1013</v>
      </c>
      <c r="B1299" s="6" t="s">
        <v>27</v>
      </c>
      <c r="C1299" s="6" t="s">
        <v>52</v>
      </c>
      <c r="D1299" s="72" t="str">
        <f t="shared" si="23"/>
        <v>079_S_d</v>
      </c>
      <c r="E1299" s="72">
        <v>122</v>
      </c>
      <c r="F1299" s="72" t="s">
        <v>34</v>
      </c>
      <c r="G1299" s="72" t="s">
        <v>1025</v>
      </c>
    </row>
    <row r="1300" spans="1:7" x14ac:dyDescent="0.2">
      <c r="A1300" s="5" t="s">
        <v>1013</v>
      </c>
      <c r="B1300" s="6" t="s">
        <v>33</v>
      </c>
      <c r="C1300" s="6" t="s">
        <v>52</v>
      </c>
      <c r="D1300" s="72" t="str">
        <f t="shared" si="23"/>
        <v>079_V_d</v>
      </c>
      <c r="E1300" s="72">
        <v>119</v>
      </c>
      <c r="F1300" s="72" t="s">
        <v>41</v>
      </c>
      <c r="G1300" s="72" t="s">
        <v>1024</v>
      </c>
    </row>
    <row r="1301" spans="1:7" x14ac:dyDescent="0.2">
      <c r="A1301" s="5" t="s">
        <v>1027</v>
      </c>
      <c r="B1301" s="6" t="s">
        <v>36</v>
      </c>
      <c r="C1301" s="6" t="s">
        <v>52</v>
      </c>
      <c r="D1301" s="72" t="str">
        <f t="shared" si="23"/>
        <v>080_O_d</v>
      </c>
      <c r="E1301" s="72">
        <v>122</v>
      </c>
      <c r="F1301" s="72" t="s">
        <v>82</v>
      </c>
      <c r="G1301" s="72" t="s">
        <v>1039</v>
      </c>
    </row>
    <row r="1302" spans="1:7" x14ac:dyDescent="0.2">
      <c r="A1302" s="5" t="s">
        <v>1027</v>
      </c>
      <c r="B1302" s="6" t="s">
        <v>27</v>
      </c>
      <c r="C1302" s="6" t="s">
        <v>52</v>
      </c>
      <c r="D1302" s="72" t="str">
        <f t="shared" si="23"/>
        <v>080_S_d</v>
      </c>
      <c r="E1302" s="72">
        <v>122</v>
      </c>
      <c r="F1302" s="72" t="s">
        <v>43</v>
      </c>
      <c r="G1302" s="72" t="s">
        <v>1037</v>
      </c>
    </row>
    <row r="1303" spans="1:7" x14ac:dyDescent="0.2">
      <c r="A1303" s="5" t="s">
        <v>1027</v>
      </c>
      <c r="B1303" s="6" t="s">
        <v>33</v>
      </c>
      <c r="C1303" s="6" t="s">
        <v>52</v>
      </c>
      <c r="D1303" s="72" t="str">
        <f t="shared" si="23"/>
        <v>080_V_d</v>
      </c>
      <c r="E1303" s="72">
        <v>141</v>
      </c>
      <c r="F1303" s="72" t="s">
        <v>68</v>
      </c>
      <c r="G1303" s="72" t="s">
        <v>1041</v>
      </c>
    </row>
    <row r="1304" spans="1:7" x14ac:dyDescent="0.2">
      <c r="A1304" s="5" t="s">
        <v>1042</v>
      </c>
      <c r="B1304" s="6" t="s">
        <v>36</v>
      </c>
      <c r="C1304" s="6" t="s">
        <v>52</v>
      </c>
      <c r="D1304" s="72" t="str">
        <f t="shared" si="23"/>
        <v>081_O_d</v>
      </c>
      <c r="E1304" s="72">
        <v>139</v>
      </c>
      <c r="F1304" s="72" t="s">
        <v>29</v>
      </c>
      <c r="G1304" s="72" t="s">
        <v>1055</v>
      </c>
    </row>
    <row r="1305" spans="1:7" x14ac:dyDescent="0.2">
      <c r="A1305" s="5" t="s">
        <v>1042</v>
      </c>
      <c r="B1305" s="6" t="s">
        <v>27</v>
      </c>
      <c r="C1305" s="6" t="s">
        <v>52</v>
      </c>
      <c r="D1305" s="72" t="str">
        <f t="shared" si="23"/>
        <v>081_S_d</v>
      </c>
      <c r="E1305" s="72">
        <v>114</v>
      </c>
      <c r="F1305" s="72" t="s">
        <v>43</v>
      </c>
      <c r="G1305" s="72" t="s">
        <v>1052</v>
      </c>
    </row>
    <row r="1306" spans="1:7" x14ac:dyDescent="0.2">
      <c r="A1306" s="5" t="s">
        <v>1042</v>
      </c>
      <c r="B1306" s="6" t="s">
        <v>33</v>
      </c>
      <c r="C1306" s="6" t="s">
        <v>52</v>
      </c>
      <c r="D1306" s="72" t="str">
        <f t="shared" si="23"/>
        <v>081_V_d</v>
      </c>
      <c r="E1306" s="72">
        <v>114</v>
      </c>
      <c r="F1306" s="72" t="s">
        <v>82</v>
      </c>
      <c r="G1306" s="72" t="s">
        <v>1054</v>
      </c>
    </row>
    <row r="1307" spans="1:7" x14ac:dyDescent="0.2">
      <c r="A1307" s="5" t="s">
        <v>1056</v>
      </c>
      <c r="B1307" s="6" t="s">
        <v>36</v>
      </c>
      <c r="C1307" s="6" t="s">
        <v>52</v>
      </c>
      <c r="D1307" s="72" t="str">
        <f t="shared" si="23"/>
        <v>082_O_d</v>
      </c>
      <c r="E1307" s="72">
        <v>135</v>
      </c>
      <c r="F1307" s="72" t="s">
        <v>70</v>
      </c>
      <c r="G1307" s="72" t="s">
        <v>1067</v>
      </c>
    </row>
    <row r="1308" spans="1:7" x14ac:dyDescent="0.2">
      <c r="A1308" s="5" t="s">
        <v>1056</v>
      </c>
      <c r="B1308" s="6" t="s">
        <v>27</v>
      </c>
      <c r="C1308" s="6" t="s">
        <v>52</v>
      </c>
      <c r="D1308" s="72" t="str">
        <f t="shared" si="23"/>
        <v>082_S_d</v>
      </c>
      <c r="E1308" s="72">
        <v>140</v>
      </c>
      <c r="F1308" s="72" t="s">
        <v>34</v>
      </c>
      <c r="G1308" s="72" t="s">
        <v>1068</v>
      </c>
    </row>
    <row r="1309" spans="1:7" x14ac:dyDescent="0.2">
      <c r="A1309" s="5" t="s">
        <v>1056</v>
      </c>
      <c r="B1309" s="6" t="s">
        <v>33</v>
      </c>
      <c r="C1309" s="6" t="s">
        <v>52</v>
      </c>
      <c r="D1309" s="72" t="str">
        <f t="shared" si="23"/>
        <v>082_V_d</v>
      </c>
      <c r="E1309" s="72">
        <v>124</v>
      </c>
      <c r="F1309" s="72" t="s">
        <v>49</v>
      </c>
      <c r="G1309" s="72" t="s">
        <v>1066</v>
      </c>
    </row>
    <row r="1310" spans="1:7" x14ac:dyDescent="0.2">
      <c r="A1310" s="5" t="s">
        <v>1069</v>
      </c>
      <c r="B1310" s="6" t="s">
        <v>36</v>
      </c>
      <c r="C1310" s="6" t="s">
        <v>52</v>
      </c>
      <c r="D1310" s="72" t="str">
        <f t="shared" si="23"/>
        <v>083_O_d</v>
      </c>
      <c r="E1310" s="72">
        <v>129</v>
      </c>
      <c r="F1310" s="72" t="s">
        <v>49</v>
      </c>
      <c r="G1310" s="72" t="s">
        <v>1080</v>
      </c>
    </row>
    <row r="1311" spans="1:7" x14ac:dyDescent="0.2">
      <c r="A1311" s="5" t="s">
        <v>1069</v>
      </c>
      <c r="B1311" s="6" t="s">
        <v>27</v>
      </c>
      <c r="C1311" s="6" t="s">
        <v>52</v>
      </c>
      <c r="D1311" s="72" t="str">
        <f t="shared" si="23"/>
        <v>083_S_d</v>
      </c>
      <c r="E1311" s="72">
        <v>112</v>
      </c>
      <c r="F1311" s="72" t="s">
        <v>39</v>
      </c>
      <c r="G1311" s="72" t="s">
        <v>1079</v>
      </c>
    </row>
    <row r="1312" spans="1:7" x14ac:dyDescent="0.2">
      <c r="A1312" s="5" t="s">
        <v>1069</v>
      </c>
      <c r="B1312" s="6" t="s">
        <v>33</v>
      </c>
      <c r="C1312" s="6" t="s">
        <v>52</v>
      </c>
      <c r="D1312" s="72" t="str">
        <f t="shared" si="23"/>
        <v>083_V_d</v>
      </c>
      <c r="E1312" s="72">
        <v>130</v>
      </c>
      <c r="F1312" s="72" t="s">
        <v>63</v>
      </c>
      <c r="G1312" s="72" t="s">
        <v>1081</v>
      </c>
    </row>
    <row r="1313" spans="1:7" x14ac:dyDescent="0.2">
      <c r="A1313" s="5" t="s">
        <v>1082</v>
      </c>
      <c r="B1313" s="6" t="s">
        <v>36</v>
      </c>
      <c r="C1313" s="6" t="s">
        <v>52</v>
      </c>
      <c r="D1313" s="72" t="str">
        <f t="shared" si="23"/>
        <v>084_O_d</v>
      </c>
      <c r="E1313" s="72">
        <v>111</v>
      </c>
      <c r="F1313" s="72" t="s">
        <v>43</v>
      </c>
      <c r="G1313" s="72" t="s">
        <v>1092</v>
      </c>
    </row>
    <row r="1314" spans="1:7" x14ac:dyDescent="0.2">
      <c r="A1314" s="5" t="s">
        <v>1082</v>
      </c>
      <c r="B1314" s="6" t="s">
        <v>27</v>
      </c>
      <c r="C1314" s="6" t="s">
        <v>52</v>
      </c>
      <c r="D1314" s="72" t="str">
        <f t="shared" si="23"/>
        <v>084_S_d</v>
      </c>
      <c r="E1314" s="72">
        <v>136</v>
      </c>
      <c r="F1314" s="72" t="s">
        <v>34</v>
      </c>
      <c r="G1314" s="72" t="s">
        <v>1094</v>
      </c>
    </row>
    <row r="1315" spans="1:7" x14ac:dyDescent="0.2">
      <c r="A1315" s="5" t="s">
        <v>1082</v>
      </c>
      <c r="B1315" s="6" t="s">
        <v>33</v>
      </c>
      <c r="C1315" s="6" t="s">
        <v>52</v>
      </c>
      <c r="D1315" s="72" t="str">
        <f t="shared" si="23"/>
        <v>084_V_d</v>
      </c>
      <c r="E1315" s="72">
        <v>112</v>
      </c>
      <c r="F1315" s="72" t="s">
        <v>43</v>
      </c>
      <c r="G1315" s="72" t="s">
        <v>1093</v>
      </c>
    </row>
    <row r="1316" spans="1:7" x14ac:dyDescent="0.2">
      <c r="A1316" s="5" t="s">
        <v>1095</v>
      </c>
      <c r="B1316" s="6" t="s">
        <v>36</v>
      </c>
      <c r="C1316" s="6" t="s">
        <v>52</v>
      </c>
      <c r="D1316" s="72" t="str">
        <f t="shared" si="23"/>
        <v>085_O_d</v>
      </c>
      <c r="E1316" s="72">
        <v>126</v>
      </c>
      <c r="F1316" s="72" t="s">
        <v>68</v>
      </c>
      <c r="G1316" s="72" t="s">
        <v>1106</v>
      </c>
    </row>
    <row r="1317" spans="1:7" x14ac:dyDescent="0.2">
      <c r="A1317" s="5" t="s">
        <v>1095</v>
      </c>
      <c r="B1317" s="6" t="s">
        <v>27</v>
      </c>
      <c r="C1317" s="6" t="s">
        <v>52</v>
      </c>
      <c r="D1317" s="72" t="str">
        <f t="shared" si="23"/>
        <v>085_S_d</v>
      </c>
      <c r="E1317" s="72">
        <v>142</v>
      </c>
      <c r="F1317" s="72" t="s">
        <v>63</v>
      </c>
      <c r="G1317" s="72" t="s">
        <v>1107</v>
      </c>
    </row>
    <row r="1318" spans="1:7" x14ac:dyDescent="0.2">
      <c r="A1318" s="5" t="s">
        <v>1095</v>
      </c>
      <c r="B1318" s="6" t="s">
        <v>33</v>
      </c>
      <c r="C1318" s="6" t="s">
        <v>52</v>
      </c>
      <c r="D1318" s="72" t="str">
        <f t="shared" si="23"/>
        <v>085_V_d</v>
      </c>
      <c r="E1318" s="72">
        <v>117</v>
      </c>
      <c r="F1318" s="72" t="s">
        <v>68</v>
      </c>
      <c r="G1318" s="72" t="s">
        <v>1105</v>
      </c>
    </row>
    <row r="1319" spans="1:7" x14ac:dyDescent="0.2">
      <c r="A1319" s="5" t="s">
        <v>1108</v>
      </c>
      <c r="B1319" s="6" t="s">
        <v>36</v>
      </c>
      <c r="C1319" s="6" t="s">
        <v>52</v>
      </c>
      <c r="D1319" s="72" t="str">
        <f t="shared" si="23"/>
        <v>086_O_d</v>
      </c>
      <c r="E1319" s="72">
        <v>135</v>
      </c>
      <c r="F1319" s="72" t="s">
        <v>41</v>
      </c>
      <c r="G1319" s="72" t="s">
        <v>1120</v>
      </c>
    </row>
    <row r="1320" spans="1:7" x14ac:dyDescent="0.2">
      <c r="A1320" s="5" t="s">
        <v>1108</v>
      </c>
      <c r="B1320" s="6" t="s">
        <v>27</v>
      </c>
      <c r="C1320" s="6" t="s">
        <v>52</v>
      </c>
      <c r="D1320" s="72" t="str">
        <f t="shared" si="23"/>
        <v>086_S_d</v>
      </c>
      <c r="E1320" s="72">
        <v>115</v>
      </c>
      <c r="F1320" s="72" t="s">
        <v>29</v>
      </c>
      <c r="G1320" s="72" t="s">
        <v>1119</v>
      </c>
    </row>
    <row r="1321" spans="1:7" x14ac:dyDescent="0.2">
      <c r="A1321" s="5" t="s">
        <v>1108</v>
      </c>
      <c r="B1321" s="6" t="s">
        <v>33</v>
      </c>
      <c r="C1321" s="6" t="s">
        <v>52</v>
      </c>
      <c r="D1321" s="72" t="str">
        <f t="shared" si="23"/>
        <v>086_V_d</v>
      </c>
      <c r="E1321" s="72">
        <v>110</v>
      </c>
      <c r="F1321" s="72" t="s">
        <v>41</v>
      </c>
      <c r="G1321" s="72" t="s">
        <v>1118</v>
      </c>
    </row>
    <row r="1322" spans="1:7" x14ac:dyDescent="0.2">
      <c r="A1322" s="5" t="s">
        <v>1121</v>
      </c>
      <c r="B1322" s="6" t="s">
        <v>36</v>
      </c>
      <c r="C1322" s="6" t="s">
        <v>52</v>
      </c>
      <c r="D1322" s="72" t="str">
        <f t="shared" si="23"/>
        <v>087_O_d</v>
      </c>
      <c r="E1322" s="72">
        <v>114</v>
      </c>
      <c r="F1322" s="72" t="s">
        <v>68</v>
      </c>
      <c r="G1322" s="72" t="s">
        <v>1131</v>
      </c>
    </row>
    <row r="1323" spans="1:7" x14ac:dyDescent="0.2">
      <c r="A1323" s="5" t="s">
        <v>1121</v>
      </c>
      <c r="B1323" s="6" t="s">
        <v>27</v>
      </c>
      <c r="C1323" s="6" t="s">
        <v>52</v>
      </c>
      <c r="D1323" s="72" t="str">
        <f t="shared" si="23"/>
        <v>087_S_d</v>
      </c>
      <c r="E1323" s="72">
        <v>124</v>
      </c>
      <c r="F1323" s="72" t="s">
        <v>39</v>
      </c>
      <c r="G1323" s="72" t="s">
        <v>1133</v>
      </c>
    </row>
    <row r="1324" spans="1:7" x14ac:dyDescent="0.2">
      <c r="A1324" s="5" t="s">
        <v>1121</v>
      </c>
      <c r="B1324" s="6" t="s">
        <v>33</v>
      </c>
      <c r="C1324" s="6" t="s">
        <v>52</v>
      </c>
      <c r="D1324" s="72" t="str">
        <f t="shared" si="23"/>
        <v>087_V_d</v>
      </c>
      <c r="E1324" s="72">
        <v>142</v>
      </c>
      <c r="F1324" s="72" t="s">
        <v>68</v>
      </c>
      <c r="G1324" s="72" t="s">
        <v>1134</v>
      </c>
    </row>
    <row r="1325" spans="1:7" x14ac:dyDescent="0.2">
      <c r="A1325" s="5" t="s">
        <v>1135</v>
      </c>
      <c r="B1325" s="6" t="s">
        <v>36</v>
      </c>
      <c r="C1325" s="6" t="s">
        <v>52</v>
      </c>
      <c r="D1325" s="72" t="str">
        <f t="shared" si="23"/>
        <v>088_O_d</v>
      </c>
      <c r="E1325" s="72">
        <v>110</v>
      </c>
      <c r="F1325" s="72" t="s">
        <v>68</v>
      </c>
      <c r="G1325" s="72" t="s">
        <v>1145</v>
      </c>
    </row>
    <row r="1326" spans="1:7" x14ac:dyDescent="0.2">
      <c r="A1326" s="5" t="s">
        <v>1135</v>
      </c>
      <c r="B1326" s="6" t="s">
        <v>27</v>
      </c>
      <c r="C1326" s="6" t="s">
        <v>52</v>
      </c>
      <c r="D1326" s="72" t="str">
        <f t="shared" si="23"/>
        <v>088_S_d</v>
      </c>
      <c r="E1326" s="72">
        <v>114</v>
      </c>
      <c r="F1326" s="72" t="s">
        <v>39</v>
      </c>
      <c r="G1326" s="72" t="s">
        <v>1146</v>
      </c>
    </row>
    <row r="1327" spans="1:7" x14ac:dyDescent="0.2">
      <c r="A1327" s="5" t="s">
        <v>1135</v>
      </c>
      <c r="B1327" s="6" t="s">
        <v>33</v>
      </c>
      <c r="C1327" s="6" t="s">
        <v>52</v>
      </c>
      <c r="D1327" s="72" t="str">
        <f t="shared" si="23"/>
        <v>088_V_d</v>
      </c>
      <c r="E1327" s="72">
        <v>144</v>
      </c>
      <c r="F1327" s="72" t="s">
        <v>34</v>
      </c>
      <c r="G1327" s="72" t="s">
        <v>1147</v>
      </c>
    </row>
    <row r="1328" spans="1:7" x14ac:dyDescent="0.2">
      <c r="A1328" s="5" t="s">
        <v>1148</v>
      </c>
      <c r="B1328" s="6" t="s">
        <v>36</v>
      </c>
      <c r="C1328" s="6" t="s">
        <v>52</v>
      </c>
      <c r="D1328" s="72" t="str">
        <f t="shared" si="23"/>
        <v>089_O_d</v>
      </c>
      <c r="E1328" s="72">
        <v>127</v>
      </c>
      <c r="F1328" s="72" t="s">
        <v>63</v>
      </c>
      <c r="G1328" s="72" t="s">
        <v>1159</v>
      </c>
    </row>
    <row r="1329" spans="1:7" x14ac:dyDescent="0.2">
      <c r="A1329" s="5" t="s">
        <v>1148</v>
      </c>
      <c r="B1329" s="6" t="s">
        <v>27</v>
      </c>
      <c r="C1329" s="6" t="s">
        <v>52</v>
      </c>
      <c r="D1329" s="72" t="str">
        <f t="shared" si="23"/>
        <v>089_S_d</v>
      </c>
      <c r="E1329" s="72">
        <v>139</v>
      </c>
      <c r="F1329" s="72" t="s">
        <v>43</v>
      </c>
      <c r="G1329" s="72" t="s">
        <v>1160</v>
      </c>
    </row>
    <row r="1330" spans="1:7" x14ac:dyDescent="0.2">
      <c r="A1330" s="5" t="s">
        <v>1148</v>
      </c>
      <c r="B1330" s="6" t="s">
        <v>33</v>
      </c>
      <c r="C1330" s="6" t="s">
        <v>52</v>
      </c>
      <c r="D1330" s="72" t="str">
        <f t="shared" si="23"/>
        <v>089_V_d</v>
      </c>
      <c r="E1330" s="72">
        <v>112</v>
      </c>
      <c r="F1330" s="72" t="s">
        <v>68</v>
      </c>
      <c r="G1330" s="72" t="s">
        <v>1158</v>
      </c>
    </row>
    <row r="1331" spans="1:7" x14ac:dyDescent="0.2">
      <c r="A1331" s="5" t="s">
        <v>1161</v>
      </c>
      <c r="B1331" s="6" t="s">
        <v>36</v>
      </c>
      <c r="C1331" s="6" t="s">
        <v>52</v>
      </c>
      <c r="D1331" s="72" t="str">
        <f t="shared" si="23"/>
        <v>090_O_d</v>
      </c>
      <c r="E1331" s="72">
        <v>125</v>
      </c>
      <c r="F1331" s="72" t="s">
        <v>63</v>
      </c>
      <c r="G1331" s="72" t="s">
        <v>1171</v>
      </c>
    </row>
    <row r="1332" spans="1:7" x14ac:dyDescent="0.2">
      <c r="A1332" s="5" t="s">
        <v>1161</v>
      </c>
      <c r="B1332" s="6" t="s">
        <v>27</v>
      </c>
      <c r="C1332" s="6" t="s">
        <v>52</v>
      </c>
      <c r="D1332" s="72" t="str">
        <f t="shared" si="23"/>
        <v>090_S_d</v>
      </c>
      <c r="E1332" s="72">
        <v>143</v>
      </c>
      <c r="F1332" s="72" t="s">
        <v>43</v>
      </c>
      <c r="G1332" s="72" t="s">
        <v>1173</v>
      </c>
    </row>
    <row r="1333" spans="1:7" x14ac:dyDescent="0.2">
      <c r="A1333" s="5" t="s">
        <v>1161</v>
      </c>
      <c r="B1333" s="6" t="s">
        <v>33</v>
      </c>
      <c r="C1333" s="6" t="s">
        <v>52</v>
      </c>
      <c r="D1333" s="72" t="str">
        <f t="shared" si="23"/>
        <v>090_V_d</v>
      </c>
      <c r="E1333" s="72">
        <v>132</v>
      </c>
      <c r="F1333" s="72" t="s">
        <v>49</v>
      </c>
      <c r="G1333" s="72" t="s">
        <v>1172</v>
      </c>
    </row>
    <row r="1334" spans="1:7" x14ac:dyDescent="0.2">
      <c r="A1334" s="5" t="s">
        <v>1174</v>
      </c>
      <c r="B1334" s="6" t="s">
        <v>36</v>
      </c>
      <c r="C1334" s="6" t="s">
        <v>52</v>
      </c>
      <c r="D1334" s="72" t="str">
        <f t="shared" si="23"/>
        <v>091_O_d</v>
      </c>
      <c r="E1334" s="72">
        <v>135</v>
      </c>
      <c r="F1334" s="72" t="s">
        <v>43</v>
      </c>
      <c r="G1334" s="72" t="s">
        <v>1186</v>
      </c>
    </row>
    <row r="1335" spans="1:7" x14ac:dyDescent="0.2">
      <c r="A1335" s="5" t="s">
        <v>1174</v>
      </c>
      <c r="B1335" s="6" t="s">
        <v>27</v>
      </c>
      <c r="C1335" s="6" t="s">
        <v>52</v>
      </c>
      <c r="D1335" s="72" t="str">
        <f t="shared" si="23"/>
        <v>091_S_d</v>
      </c>
      <c r="E1335" s="72">
        <v>120</v>
      </c>
      <c r="F1335" s="72" t="s">
        <v>29</v>
      </c>
      <c r="G1335" s="72" t="s">
        <v>1185</v>
      </c>
    </row>
    <row r="1336" spans="1:7" x14ac:dyDescent="0.2">
      <c r="A1336" s="5" t="s">
        <v>1174</v>
      </c>
      <c r="B1336" s="6" t="s">
        <v>33</v>
      </c>
      <c r="C1336" s="6" t="s">
        <v>52</v>
      </c>
      <c r="D1336" s="72" t="str">
        <f t="shared" si="23"/>
        <v>091_V_d</v>
      </c>
      <c r="E1336" s="72">
        <v>118</v>
      </c>
      <c r="F1336" s="72" t="s">
        <v>63</v>
      </c>
      <c r="G1336" s="72" t="s">
        <v>1184</v>
      </c>
    </row>
    <row r="1337" spans="1:7" x14ac:dyDescent="0.2">
      <c r="A1337" s="5" t="s">
        <v>1187</v>
      </c>
      <c r="B1337" s="6" t="s">
        <v>36</v>
      </c>
      <c r="C1337" s="6" t="s">
        <v>52</v>
      </c>
      <c r="D1337" s="72" t="str">
        <f t="shared" si="23"/>
        <v>092_O_d</v>
      </c>
      <c r="E1337" s="72">
        <v>144</v>
      </c>
      <c r="F1337" s="72" t="s">
        <v>68</v>
      </c>
      <c r="G1337" s="72" t="s">
        <v>1199</v>
      </c>
    </row>
    <row r="1338" spans="1:7" x14ac:dyDescent="0.2">
      <c r="A1338" s="5" t="s">
        <v>1187</v>
      </c>
      <c r="B1338" s="6" t="s">
        <v>27</v>
      </c>
      <c r="C1338" s="6" t="s">
        <v>52</v>
      </c>
      <c r="D1338" s="72" t="str">
        <f t="shared" si="23"/>
        <v>092_S_d</v>
      </c>
      <c r="E1338" s="72">
        <v>118</v>
      </c>
      <c r="F1338" s="72" t="s">
        <v>39</v>
      </c>
      <c r="G1338" s="72" t="s">
        <v>1197</v>
      </c>
    </row>
    <row r="1339" spans="1:7" x14ac:dyDescent="0.2">
      <c r="A1339" s="5" t="s">
        <v>1187</v>
      </c>
      <c r="B1339" s="6" t="s">
        <v>33</v>
      </c>
      <c r="C1339" s="6" t="s">
        <v>52</v>
      </c>
      <c r="D1339" s="72" t="str">
        <f t="shared" si="23"/>
        <v>092_V_d</v>
      </c>
      <c r="E1339" s="72">
        <v>132</v>
      </c>
      <c r="F1339" s="72" t="s">
        <v>82</v>
      </c>
      <c r="G1339" s="72" t="s">
        <v>1198</v>
      </c>
    </row>
    <row r="1340" spans="1:7" x14ac:dyDescent="0.2">
      <c r="A1340" s="5" t="s">
        <v>1200</v>
      </c>
      <c r="B1340" s="6" t="s">
        <v>36</v>
      </c>
      <c r="C1340" s="6" t="s">
        <v>52</v>
      </c>
      <c r="D1340" s="72" t="str">
        <f t="shared" si="23"/>
        <v>093_O_d</v>
      </c>
      <c r="E1340" s="72">
        <v>144</v>
      </c>
      <c r="F1340" s="72" t="s">
        <v>39</v>
      </c>
      <c r="G1340" s="72" t="s">
        <v>1212</v>
      </c>
    </row>
    <row r="1341" spans="1:7" x14ac:dyDescent="0.2">
      <c r="A1341" s="5" t="s">
        <v>1200</v>
      </c>
      <c r="B1341" s="6" t="s">
        <v>27</v>
      </c>
      <c r="C1341" s="6" t="s">
        <v>52</v>
      </c>
      <c r="D1341" s="72" t="str">
        <f t="shared" si="23"/>
        <v>093_S_d</v>
      </c>
      <c r="E1341" s="72">
        <v>136</v>
      </c>
      <c r="F1341" s="72" t="s">
        <v>82</v>
      </c>
      <c r="G1341" s="72" t="s">
        <v>1211</v>
      </c>
    </row>
    <row r="1342" spans="1:7" x14ac:dyDescent="0.2">
      <c r="A1342" s="5" t="s">
        <v>1200</v>
      </c>
      <c r="B1342" s="6" t="s">
        <v>33</v>
      </c>
      <c r="C1342" s="6" t="s">
        <v>52</v>
      </c>
      <c r="D1342" s="72" t="str">
        <f t="shared" si="23"/>
        <v>093_V_d</v>
      </c>
      <c r="E1342" s="72">
        <v>123</v>
      </c>
      <c r="F1342" s="72" t="s">
        <v>49</v>
      </c>
      <c r="G1342" s="72" t="s">
        <v>1210</v>
      </c>
    </row>
    <row r="1343" spans="1:7" x14ac:dyDescent="0.2">
      <c r="A1343" s="5" t="s">
        <v>1213</v>
      </c>
      <c r="B1343" s="6" t="s">
        <v>36</v>
      </c>
      <c r="C1343" s="6" t="s">
        <v>52</v>
      </c>
      <c r="D1343" s="72" t="str">
        <f t="shared" si="23"/>
        <v>094_O_d</v>
      </c>
      <c r="E1343" s="72">
        <v>113</v>
      </c>
      <c r="F1343" s="72" t="s">
        <v>29</v>
      </c>
      <c r="G1343" s="72" t="s">
        <v>1223</v>
      </c>
    </row>
    <row r="1344" spans="1:7" x14ac:dyDescent="0.2">
      <c r="A1344" s="5" t="s">
        <v>1213</v>
      </c>
      <c r="B1344" s="6" t="s">
        <v>27</v>
      </c>
      <c r="C1344" s="6" t="s">
        <v>52</v>
      </c>
      <c r="D1344" s="72" t="str">
        <f t="shared" si="23"/>
        <v>094_S_d</v>
      </c>
      <c r="E1344" s="72">
        <v>121</v>
      </c>
      <c r="F1344" s="72" t="s">
        <v>70</v>
      </c>
      <c r="G1344" s="72" t="s">
        <v>1224</v>
      </c>
    </row>
    <row r="1345" spans="1:7" x14ac:dyDescent="0.2">
      <c r="A1345" s="5" t="s">
        <v>1213</v>
      </c>
      <c r="B1345" s="6" t="s">
        <v>33</v>
      </c>
      <c r="C1345" s="6" t="s">
        <v>52</v>
      </c>
      <c r="D1345" s="72" t="str">
        <f t="shared" si="23"/>
        <v>094_V_d</v>
      </c>
      <c r="E1345" s="72">
        <v>133</v>
      </c>
      <c r="F1345" s="72" t="s">
        <v>49</v>
      </c>
      <c r="G1345" s="72" t="s">
        <v>1225</v>
      </c>
    </row>
    <row r="1346" spans="1:7" x14ac:dyDescent="0.2">
      <c r="A1346" s="5" t="s">
        <v>1226</v>
      </c>
      <c r="B1346" s="6" t="s">
        <v>36</v>
      </c>
      <c r="C1346" s="6" t="s">
        <v>52</v>
      </c>
      <c r="D1346" s="72" t="str">
        <f t="shared" ref="D1346:D1409" si="24">A1346&amp;"_"&amp;B1346&amp;"_"&amp;C1346</f>
        <v>095_O_d</v>
      </c>
      <c r="E1346" s="72">
        <v>136</v>
      </c>
      <c r="F1346" s="72" t="s">
        <v>39</v>
      </c>
      <c r="G1346" s="72" t="s">
        <v>1236</v>
      </c>
    </row>
    <row r="1347" spans="1:7" x14ac:dyDescent="0.2">
      <c r="A1347" s="5" t="s">
        <v>1226</v>
      </c>
      <c r="B1347" s="6" t="s">
        <v>27</v>
      </c>
      <c r="C1347" s="6" t="s">
        <v>52</v>
      </c>
      <c r="D1347" s="72" t="str">
        <f t="shared" si="24"/>
        <v>095_S_d</v>
      </c>
      <c r="E1347" s="72">
        <v>138</v>
      </c>
      <c r="F1347" s="72" t="s">
        <v>70</v>
      </c>
      <c r="G1347" s="72" t="s">
        <v>1237</v>
      </c>
    </row>
    <row r="1348" spans="1:7" x14ac:dyDescent="0.2">
      <c r="A1348" s="5" t="s">
        <v>1226</v>
      </c>
      <c r="B1348" s="6" t="s">
        <v>33</v>
      </c>
      <c r="C1348" s="6" t="s">
        <v>52</v>
      </c>
      <c r="D1348" s="72" t="str">
        <f t="shared" si="24"/>
        <v>095_V_d</v>
      </c>
      <c r="E1348" s="72">
        <v>139</v>
      </c>
      <c r="F1348" s="72" t="s">
        <v>68</v>
      </c>
      <c r="G1348" s="72" t="s">
        <v>1238</v>
      </c>
    </row>
    <row r="1349" spans="1:7" x14ac:dyDescent="0.2">
      <c r="A1349" s="5" t="s">
        <v>1239</v>
      </c>
      <c r="B1349" s="6" t="s">
        <v>36</v>
      </c>
      <c r="C1349" s="6" t="s">
        <v>52</v>
      </c>
      <c r="D1349" s="72" t="str">
        <f t="shared" si="24"/>
        <v>096_O_d</v>
      </c>
      <c r="E1349" s="72">
        <v>136</v>
      </c>
      <c r="F1349" s="72" t="s">
        <v>29</v>
      </c>
      <c r="G1349" s="72" t="s">
        <v>1251</v>
      </c>
    </row>
    <row r="1350" spans="1:7" x14ac:dyDescent="0.2">
      <c r="A1350" s="5" t="s">
        <v>1239</v>
      </c>
      <c r="B1350" s="6" t="s">
        <v>27</v>
      </c>
      <c r="C1350" s="6" t="s">
        <v>52</v>
      </c>
      <c r="D1350" s="72" t="str">
        <f t="shared" si="24"/>
        <v>096_S_d</v>
      </c>
      <c r="E1350" s="72">
        <v>123</v>
      </c>
      <c r="F1350" s="72" t="s">
        <v>29</v>
      </c>
      <c r="G1350" s="72" t="s">
        <v>1249</v>
      </c>
    </row>
    <row r="1351" spans="1:7" x14ac:dyDescent="0.2">
      <c r="A1351" s="5" t="s">
        <v>1239</v>
      </c>
      <c r="B1351" s="6" t="s">
        <v>33</v>
      </c>
      <c r="C1351" s="6" t="s">
        <v>52</v>
      </c>
      <c r="D1351" s="72" t="str">
        <f t="shared" si="24"/>
        <v>096_V_d</v>
      </c>
      <c r="E1351" s="72">
        <v>128</v>
      </c>
      <c r="F1351" s="72" t="s">
        <v>63</v>
      </c>
      <c r="G1351" s="72" t="s">
        <v>1250</v>
      </c>
    </row>
    <row r="1352" spans="1:7" x14ac:dyDescent="0.2">
      <c r="A1352" s="5" t="s">
        <v>1252</v>
      </c>
      <c r="B1352" s="6" t="s">
        <v>36</v>
      </c>
      <c r="C1352" s="6" t="s">
        <v>52</v>
      </c>
      <c r="D1352" s="72" t="str">
        <f t="shared" si="24"/>
        <v>097_O_d</v>
      </c>
      <c r="E1352" s="72">
        <v>115</v>
      </c>
      <c r="F1352" s="72" t="s">
        <v>43</v>
      </c>
      <c r="G1352" s="72" t="s">
        <v>1263</v>
      </c>
    </row>
    <row r="1353" spans="1:7" x14ac:dyDescent="0.2">
      <c r="A1353" s="5" t="s">
        <v>1252</v>
      </c>
      <c r="B1353" s="6" t="s">
        <v>27</v>
      </c>
      <c r="C1353" s="6" t="s">
        <v>52</v>
      </c>
      <c r="D1353" s="72" t="str">
        <f t="shared" si="24"/>
        <v>097_S_d</v>
      </c>
      <c r="E1353" s="72">
        <v>139</v>
      </c>
      <c r="F1353" s="72" t="s">
        <v>41</v>
      </c>
      <c r="G1353" s="72" t="s">
        <v>1265</v>
      </c>
    </row>
    <row r="1354" spans="1:7" x14ac:dyDescent="0.2">
      <c r="A1354" s="5" t="s">
        <v>1252</v>
      </c>
      <c r="B1354" s="6" t="s">
        <v>33</v>
      </c>
      <c r="C1354" s="6" t="s">
        <v>52</v>
      </c>
      <c r="D1354" s="72" t="str">
        <f t="shared" si="24"/>
        <v>097_V_d</v>
      </c>
      <c r="E1354" s="72">
        <v>131</v>
      </c>
      <c r="F1354" s="72" t="s">
        <v>29</v>
      </c>
      <c r="G1354" s="72" t="s">
        <v>1264</v>
      </c>
    </row>
    <row r="1355" spans="1:7" x14ac:dyDescent="0.2">
      <c r="A1355" s="5" t="s">
        <v>1266</v>
      </c>
      <c r="B1355" s="6" t="s">
        <v>36</v>
      </c>
      <c r="C1355" s="6" t="s">
        <v>52</v>
      </c>
      <c r="D1355" s="72" t="str">
        <f t="shared" si="24"/>
        <v>098_O_d</v>
      </c>
      <c r="E1355" s="72">
        <v>119</v>
      </c>
      <c r="F1355" s="72" t="s">
        <v>29</v>
      </c>
      <c r="G1355" s="72" t="s">
        <v>1277</v>
      </c>
    </row>
    <row r="1356" spans="1:7" x14ac:dyDescent="0.2">
      <c r="A1356" s="5" t="s">
        <v>1266</v>
      </c>
      <c r="B1356" s="6" t="s">
        <v>27</v>
      </c>
      <c r="C1356" s="6" t="s">
        <v>52</v>
      </c>
      <c r="D1356" s="72" t="str">
        <f t="shared" si="24"/>
        <v>098_S_d</v>
      </c>
      <c r="E1356" s="72">
        <v>121</v>
      </c>
      <c r="F1356" s="72" t="s">
        <v>43</v>
      </c>
      <c r="G1356" s="72" t="s">
        <v>1278</v>
      </c>
    </row>
    <row r="1357" spans="1:7" x14ac:dyDescent="0.2">
      <c r="A1357" s="5" t="s">
        <v>1266</v>
      </c>
      <c r="B1357" s="6" t="s">
        <v>33</v>
      </c>
      <c r="C1357" s="6" t="s">
        <v>52</v>
      </c>
      <c r="D1357" s="72" t="str">
        <f t="shared" si="24"/>
        <v>098_V_d</v>
      </c>
      <c r="E1357" s="72">
        <v>111</v>
      </c>
      <c r="F1357" s="72" t="s">
        <v>82</v>
      </c>
      <c r="G1357" s="72" t="s">
        <v>1276</v>
      </c>
    </row>
    <row r="1358" spans="1:7" x14ac:dyDescent="0.2">
      <c r="A1358" s="5" t="s">
        <v>1279</v>
      </c>
      <c r="B1358" s="6" t="s">
        <v>36</v>
      </c>
      <c r="C1358" s="6" t="s">
        <v>52</v>
      </c>
      <c r="D1358" s="72" t="str">
        <f t="shared" si="24"/>
        <v>099_O_d</v>
      </c>
      <c r="E1358" s="72">
        <v>109</v>
      </c>
      <c r="F1358" s="72" t="s">
        <v>63</v>
      </c>
      <c r="G1358" s="72" t="s">
        <v>1289</v>
      </c>
    </row>
    <row r="1359" spans="1:7" x14ac:dyDescent="0.2">
      <c r="A1359" s="5" t="s">
        <v>1279</v>
      </c>
      <c r="B1359" s="6" t="s">
        <v>27</v>
      </c>
      <c r="C1359" s="6" t="s">
        <v>52</v>
      </c>
      <c r="D1359" s="72" t="str">
        <f t="shared" si="24"/>
        <v>099_S_d</v>
      </c>
      <c r="E1359" s="72">
        <v>136</v>
      </c>
      <c r="F1359" s="72" t="s">
        <v>68</v>
      </c>
      <c r="G1359" s="72" t="s">
        <v>1291</v>
      </c>
    </row>
    <row r="1360" spans="1:7" x14ac:dyDescent="0.2">
      <c r="A1360" s="5" t="s">
        <v>1279</v>
      </c>
      <c r="B1360" s="6" t="s">
        <v>33</v>
      </c>
      <c r="C1360" s="6" t="s">
        <v>52</v>
      </c>
      <c r="D1360" s="72" t="str">
        <f t="shared" si="24"/>
        <v>099_V_d</v>
      </c>
      <c r="E1360" s="72">
        <v>134</v>
      </c>
      <c r="F1360" s="72" t="s">
        <v>49</v>
      </c>
      <c r="G1360" s="72" t="s">
        <v>1290</v>
      </c>
    </row>
    <row r="1361" spans="1:7" x14ac:dyDescent="0.2">
      <c r="A1361" s="7" t="s">
        <v>1292</v>
      </c>
      <c r="B1361" s="6" t="s">
        <v>36</v>
      </c>
      <c r="C1361" s="6" t="s">
        <v>52</v>
      </c>
      <c r="D1361" s="72" t="str">
        <f t="shared" si="24"/>
        <v>100_O_d</v>
      </c>
      <c r="E1361" s="72">
        <v>121</v>
      </c>
      <c r="F1361" s="72" t="s">
        <v>39</v>
      </c>
      <c r="G1361" s="72" t="s">
        <v>1303</v>
      </c>
    </row>
    <row r="1362" spans="1:7" x14ac:dyDescent="0.2">
      <c r="A1362" s="7" t="s">
        <v>1292</v>
      </c>
      <c r="B1362" s="6" t="s">
        <v>27</v>
      </c>
      <c r="C1362" s="6" t="s">
        <v>52</v>
      </c>
      <c r="D1362" s="72" t="str">
        <f t="shared" si="24"/>
        <v>100_S_d</v>
      </c>
      <c r="E1362" s="72">
        <v>133</v>
      </c>
      <c r="F1362" s="72" t="s">
        <v>43</v>
      </c>
      <c r="G1362" s="72" t="s">
        <v>1304</v>
      </c>
    </row>
    <row r="1363" spans="1:7" x14ac:dyDescent="0.2">
      <c r="A1363" s="7" t="s">
        <v>1292</v>
      </c>
      <c r="B1363" s="6" t="s">
        <v>33</v>
      </c>
      <c r="C1363" s="6" t="s">
        <v>52</v>
      </c>
      <c r="D1363" s="72" t="str">
        <f t="shared" si="24"/>
        <v>100_V_d</v>
      </c>
      <c r="E1363" s="72">
        <v>111</v>
      </c>
      <c r="F1363" s="72" t="s">
        <v>63</v>
      </c>
      <c r="G1363" s="72" t="s">
        <v>1302</v>
      </c>
    </row>
    <row r="1364" spans="1:7" x14ac:dyDescent="0.2">
      <c r="A1364" s="7" t="s">
        <v>1305</v>
      </c>
      <c r="B1364" s="6" t="s">
        <v>36</v>
      </c>
      <c r="C1364" s="6" t="s">
        <v>52</v>
      </c>
      <c r="D1364" s="72" t="str">
        <f t="shared" si="24"/>
        <v>101_O_d</v>
      </c>
      <c r="E1364" s="72">
        <v>117</v>
      </c>
      <c r="F1364" s="72" t="s">
        <v>29</v>
      </c>
      <c r="G1364" s="72" t="s">
        <v>1316</v>
      </c>
    </row>
    <row r="1365" spans="1:7" x14ac:dyDescent="0.2">
      <c r="A1365" s="7" t="s">
        <v>1305</v>
      </c>
      <c r="B1365" s="6" t="s">
        <v>27</v>
      </c>
      <c r="C1365" s="6" t="s">
        <v>52</v>
      </c>
      <c r="D1365" s="72" t="str">
        <f t="shared" si="24"/>
        <v>101_S_d</v>
      </c>
      <c r="E1365" s="72">
        <v>115</v>
      </c>
      <c r="F1365" s="72" t="s">
        <v>68</v>
      </c>
      <c r="G1365" s="72" t="s">
        <v>1315</v>
      </c>
    </row>
    <row r="1366" spans="1:7" x14ac:dyDescent="0.2">
      <c r="A1366" s="7" t="s">
        <v>1305</v>
      </c>
      <c r="B1366" s="6" t="s">
        <v>33</v>
      </c>
      <c r="C1366" s="6" t="s">
        <v>52</v>
      </c>
      <c r="D1366" s="72" t="str">
        <f t="shared" si="24"/>
        <v>101_V_d</v>
      </c>
      <c r="E1366" s="72">
        <v>135</v>
      </c>
      <c r="F1366" s="72" t="s">
        <v>29</v>
      </c>
      <c r="G1366" s="72" t="s">
        <v>1317</v>
      </c>
    </row>
    <row r="1367" spans="1:7" x14ac:dyDescent="0.2">
      <c r="A1367" s="4" t="s">
        <v>1318</v>
      </c>
      <c r="B1367" s="6" t="s">
        <v>36</v>
      </c>
      <c r="C1367" s="6" t="s">
        <v>52</v>
      </c>
      <c r="D1367" s="72" t="str">
        <f t="shared" si="24"/>
        <v>102_O_d</v>
      </c>
      <c r="E1367" s="72">
        <v>110</v>
      </c>
      <c r="F1367" s="72" t="s">
        <v>70</v>
      </c>
      <c r="G1367" s="72" t="s">
        <v>1329</v>
      </c>
    </row>
    <row r="1368" spans="1:7" x14ac:dyDescent="0.2">
      <c r="A1368" s="4" t="s">
        <v>1318</v>
      </c>
      <c r="B1368" s="6" t="s">
        <v>27</v>
      </c>
      <c r="C1368" s="6" t="s">
        <v>52</v>
      </c>
      <c r="D1368" s="72" t="str">
        <f t="shared" si="24"/>
        <v>102_S_d</v>
      </c>
      <c r="E1368" s="72">
        <v>117</v>
      </c>
      <c r="F1368" s="72" t="s">
        <v>82</v>
      </c>
      <c r="G1368" s="72" t="s">
        <v>1330</v>
      </c>
    </row>
    <row r="1369" spans="1:7" x14ac:dyDescent="0.2">
      <c r="A1369" s="4" t="s">
        <v>1318</v>
      </c>
      <c r="B1369" s="6" t="s">
        <v>33</v>
      </c>
      <c r="C1369" s="6" t="s">
        <v>52</v>
      </c>
      <c r="D1369" s="72" t="str">
        <f t="shared" si="24"/>
        <v>102_V_d</v>
      </c>
      <c r="E1369" s="72">
        <v>128</v>
      </c>
      <c r="F1369" s="72" t="s">
        <v>29</v>
      </c>
      <c r="G1369" s="72" t="s">
        <v>1331</v>
      </c>
    </row>
    <row r="1370" spans="1:7" x14ac:dyDescent="0.2">
      <c r="A1370" s="7" t="s">
        <v>1332</v>
      </c>
      <c r="B1370" s="6" t="s">
        <v>36</v>
      </c>
      <c r="C1370" s="6" t="s">
        <v>52</v>
      </c>
      <c r="D1370" s="72" t="str">
        <f t="shared" si="24"/>
        <v>103_O_d</v>
      </c>
      <c r="E1370" s="72">
        <v>142</v>
      </c>
      <c r="F1370" s="72" t="s">
        <v>82</v>
      </c>
      <c r="G1370" s="72" t="s">
        <v>1344</v>
      </c>
    </row>
    <row r="1371" spans="1:7" x14ac:dyDescent="0.2">
      <c r="A1371" s="7" t="s">
        <v>1332</v>
      </c>
      <c r="B1371" s="6" t="s">
        <v>27</v>
      </c>
      <c r="C1371" s="6" t="s">
        <v>52</v>
      </c>
      <c r="D1371" s="72" t="str">
        <f t="shared" si="24"/>
        <v>103_S_d</v>
      </c>
      <c r="E1371" s="72">
        <v>111</v>
      </c>
      <c r="F1371" s="72" t="s">
        <v>34</v>
      </c>
      <c r="G1371" s="72" t="s">
        <v>1342</v>
      </c>
    </row>
    <row r="1372" spans="1:7" x14ac:dyDescent="0.2">
      <c r="A1372" s="7" t="s">
        <v>1332</v>
      </c>
      <c r="B1372" s="6" t="s">
        <v>33</v>
      </c>
      <c r="C1372" s="6" t="s">
        <v>52</v>
      </c>
      <c r="D1372" s="72" t="str">
        <f t="shared" si="24"/>
        <v>103_V_d</v>
      </c>
      <c r="E1372" s="72">
        <v>112</v>
      </c>
      <c r="F1372" s="72" t="s">
        <v>82</v>
      </c>
      <c r="G1372" s="72" t="s">
        <v>1343</v>
      </c>
    </row>
    <row r="1373" spans="1:7" x14ac:dyDescent="0.2">
      <c r="A1373" s="4" t="s">
        <v>1345</v>
      </c>
      <c r="B1373" s="6" t="s">
        <v>36</v>
      </c>
      <c r="C1373" s="6" t="s">
        <v>52</v>
      </c>
      <c r="D1373" s="72" t="str">
        <f t="shared" si="24"/>
        <v>104_O_d</v>
      </c>
      <c r="E1373" s="72">
        <v>129</v>
      </c>
      <c r="F1373" s="72" t="s">
        <v>29</v>
      </c>
      <c r="G1373" s="72" t="s">
        <v>1357</v>
      </c>
    </row>
    <row r="1374" spans="1:7" x14ac:dyDescent="0.2">
      <c r="A1374" s="4" t="s">
        <v>1345</v>
      </c>
      <c r="B1374" s="6" t="s">
        <v>27</v>
      </c>
      <c r="C1374" s="6" t="s">
        <v>52</v>
      </c>
      <c r="D1374" s="72" t="str">
        <f t="shared" si="24"/>
        <v>104_S_d</v>
      </c>
      <c r="E1374" s="72">
        <v>112</v>
      </c>
      <c r="F1374" s="72" t="s">
        <v>70</v>
      </c>
      <c r="G1374" s="72" t="s">
        <v>1355</v>
      </c>
    </row>
    <row r="1375" spans="1:7" x14ac:dyDescent="0.2">
      <c r="A1375" s="4" t="s">
        <v>1345</v>
      </c>
      <c r="B1375" s="6" t="s">
        <v>33</v>
      </c>
      <c r="C1375" s="6" t="s">
        <v>52</v>
      </c>
      <c r="D1375" s="72" t="str">
        <f t="shared" si="24"/>
        <v>104_V_d</v>
      </c>
      <c r="E1375" s="72">
        <v>113</v>
      </c>
      <c r="F1375" s="72" t="s">
        <v>49</v>
      </c>
      <c r="G1375" s="72" t="s">
        <v>1356</v>
      </c>
    </row>
    <row r="1376" spans="1:7" x14ac:dyDescent="0.2">
      <c r="A1376" s="7" t="s">
        <v>1358</v>
      </c>
      <c r="B1376" s="6" t="s">
        <v>36</v>
      </c>
      <c r="C1376" s="6" t="s">
        <v>52</v>
      </c>
      <c r="D1376" s="72" t="str">
        <f t="shared" si="24"/>
        <v>105_O_d</v>
      </c>
      <c r="E1376" s="72">
        <v>127</v>
      </c>
      <c r="F1376" s="72" t="s">
        <v>70</v>
      </c>
      <c r="G1376" s="72" t="s">
        <v>1369</v>
      </c>
    </row>
    <row r="1377" spans="1:7" x14ac:dyDescent="0.2">
      <c r="A1377" s="7" t="s">
        <v>1358</v>
      </c>
      <c r="B1377" s="6" t="s">
        <v>27</v>
      </c>
      <c r="C1377" s="6" t="s">
        <v>52</v>
      </c>
      <c r="D1377" s="72" t="str">
        <f t="shared" si="24"/>
        <v>105_S_d</v>
      </c>
      <c r="E1377" s="72">
        <v>126</v>
      </c>
      <c r="F1377" s="72" t="s">
        <v>34</v>
      </c>
      <c r="G1377" s="72" t="s">
        <v>1368</v>
      </c>
    </row>
    <row r="1378" spans="1:7" x14ac:dyDescent="0.2">
      <c r="A1378" s="7" t="s">
        <v>1358</v>
      </c>
      <c r="B1378" s="6" t="s">
        <v>33</v>
      </c>
      <c r="C1378" s="6" t="s">
        <v>52</v>
      </c>
      <c r="D1378" s="72" t="str">
        <f t="shared" si="24"/>
        <v>105_V_d</v>
      </c>
      <c r="E1378" s="72">
        <v>140</v>
      </c>
      <c r="F1378" s="72" t="s">
        <v>70</v>
      </c>
      <c r="G1378" s="72" t="s">
        <v>1370</v>
      </c>
    </row>
    <row r="1379" spans="1:7" x14ac:dyDescent="0.2">
      <c r="A1379" s="5" t="s">
        <v>1371</v>
      </c>
      <c r="B1379" s="6" t="s">
        <v>36</v>
      </c>
      <c r="C1379" s="6" t="s">
        <v>52</v>
      </c>
      <c r="D1379" s="72" t="str">
        <f t="shared" si="24"/>
        <v>106_O_d</v>
      </c>
      <c r="E1379" s="72">
        <v>124</v>
      </c>
      <c r="F1379" s="72" t="s">
        <v>82</v>
      </c>
      <c r="G1379" s="72" t="s">
        <v>1381</v>
      </c>
    </row>
    <row r="1380" spans="1:7" x14ac:dyDescent="0.2">
      <c r="A1380" s="5" t="s">
        <v>1371</v>
      </c>
      <c r="B1380" s="6" t="s">
        <v>27</v>
      </c>
      <c r="C1380" s="6" t="s">
        <v>52</v>
      </c>
      <c r="D1380" s="72" t="str">
        <f t="shared" si="24"/>
        <v>106_S_d</v>
      </c>
      <c r="E1380" s="72">
        <v>140</v>
      </c>
      <c r="F1380" s="72" t="s">
        <v>68</v>
      </c>
      <c r="G1380" s="72" t="s">
        <v>1383</v>
      </c>
    </row>
    <row r="1381" spans="1:7" x14ac:dyDescent="0.2">
      <c r="A1381" s="5" t="s">
        <v>1371</v>
      </c>
      <c r="B1381" s="6" t="s">
        <v>33</v>
      </c>
      <c r="C1381" s="6" t="s">
        <v>52</v>
      </c>
      <c r="D1381" s="72" t="str">
        <f t="shared" si="24"/>
        <v>106_V_d</v>
      </c>
      <c r="E1381" s="72">
        <v>126</v>
      </c>
      <c r="F1381" s="72" t="s">
        <v>70</v>
      </c>
      <c r="G1381" s="72" t="s">
        <v>1382</v>
      </c>
    </row>
    <row r="1382" spans="1:7" x14ac:dyDescent="0.2">
      <c r="A1382" s="5" t="s">
        <v>1384</v>
      </c>
      <c r="B1382" s="6" t="s">
        <v>36</v>
      </c>
      <c r="C1382" s="6" t="s">
        <v>52</v>
      </c>
      <c r="D1382" s="72" t="str">
        <f t="shared" si="24"/>
        <v>107_O_d</v>
      </c>
      <c r="E1382" s="72">
        <v>138</v>
      </c>
      <c r="F1382" s="72" t="s">
        <v>29</v>
      </c>
      <c r="G1382" s="72" t="s">
        <v>1396</v>
      </c>
    </row>
    <row r="1383" spans="1:7" x14ac:dyDescent="0.2">
      <c r="A1383" s="5" t="s">
        <v>1384</v>
      </c>
      <c r="B1383" s="6" t="s">
        <v>27</v>
      </c>
      <c r="C1383" s="6" t="s">
        <v>52</v>
      </c>
      <c r="D1383" s="72" t="str">
        <f t="shared" si="24"/>
        <v>107_S_d</v>
      </c>
      <c r="E1383" s="72">
        <v>141</v>
      </c>
      <c r="F1383" s="72" t="s">
        <v>41</v>
      </c>
      <c r="G1383" s="72" t="s">
        <v>1397</v>
      </c>
    </row>
    <row r="1384" spans="1:7" x14ac:dyDescent="0.2">
      <c r="A1384" s="5" t="s">
        <v>1384</v>
      </c>
      <c r="B1384" s="6" t="s">
        <v>33</v>
      </c>
      <c r="C1384" s="6" t="s">
        <v>52</v>
      </c>
      <c r="D1384" s="72" t="str">
        <f t="shared" si="24"/>
        <v>107_V_d</v>
      </c>
      <c r="E1384" s="72">
        <v>136</v>
      </c>
      <c r="F1384" s="72" t="s">
        <v>41</v>
      </c>
      <c r="G1384" s="72" t="s">
        <v>1395</v>
      </c>
    </row>
    <row r="1385" spans="1:7" x14ac:dyDescent="0.2">
      <c r="A1385" s="5" t="s">
        <v>1398</v>
      </c>
      <c r="B1385" s="6" t="s">
        <v>36</v>
      </c>
      <c r="C1385" s="6" t="s">
        <v>52</v>
      </c>
      <c r="D1385" s="72" t="str">
        <f t="shared" si="24"/>
        <v>108_O_d</v>
      </c>
      <c r="E1385" s="72">
        <v>143</v>
      </c>
      <c r="F1385" s="72" t="s">
        <v>34</v>
      </c>
      <c r="G1385" s="72" t="s">
        <v>1410</v>
      </c>
    </row>
    <row r="1386" spans="1:7" x14ac:dyDescent="0.2">
      <c r="A1386" s="5" t="s">
        <v>1398</v>
      </c>
      <c r="B1386" s="6" t="s">
        <v>27</v>
      </c>
      <c r="C1386" s="6" t="s">
        <v>52</v>
      </c>
      <c r="D1386" s="72" t="str">
        <f t="shared" si="24"/>
        <v>108_S_d</v>
      </c>
      <c r="E1386" s="72">
        <v>128</v>
      </c>
      <c r="F1386" s="72" t="s">
        <v>41</v>
      </c>
      <c r="G1386" s="72" t="s">
        <v>1409</v>
      </c>
    </row>
    <row r="1387" spans="1:7" x14ac:dyDescent="0.2">
      <c r="A1387" s="5" t="s">
        <v>1398</v>
      </c>
      <c r="B1387" s="6" t="s">
        <v>33</v>
      </c>
      <c r="C1387" s="6" t="s">
        <v>52</v>
      </c>
      <c r="D1387" s="72" t="str">
        <f t="shared" si="24"/>
        <v>108_V_d</v>
      </c>
      <c r="E1387" s="72">
        <v>122</v>
      </c>
      <c r="F1387" s="72" t="s">
        <v>29</v>
      </c>
      <c r="G1387" s="72" t="s">
        <v>1408</v>
      </c>
    </row>
    <row r="1388" spans="1:7" x14ac:dyDescent="0.2">
      <c r="A1388" s="5" t="s">
        <v>1411</v>
      </c>
      <c r="B1388" s="6" t="s">
        <v>36</v>
      </c>
      <c r="C1388" s="6" t="s">
        <v>52</v>
      </c>
      <c r="D1388" s="72" t="str">
        <f t="shared" si="24"/>
        <v>109_O_d</v>
      </c>
      <c r="E1388" s="72">
        <v>133</v>
      </c>
      <c r="F1388" s="72" t="s">
        <v>34</v>
      </c>
      <c r="G1388" s="72" t="s">
        <v>1422</v>
      </c>
    </row>
    <row r="1389" spans="1:7" x14ac:dyDescent="0.2">
      <c r="A1389" s="5" t="s">
        <v>1411</v>
      </c>
      <c r="B1389" s="6" t="s">
        <v>27</v>
      </c>
      <c r="C1389" s="6" t="s">
        <v>52</v>
      </c>
      <c r="D1389" s="72" t="str">
        <f t="shared" si="24"/>
        <v>109_S_d</v>
      </c>
      <c r="E1389" s="72">
        <v>117</v>
      </c>
      <c r="F1389" s="72" t="s">
        <v>34</v>
      </c>
      <c r="G1389" s="72" t="s">
        <v>1421</v>
      </c>
    </row>
    <row r="1390" spans="1:7" x14ac:dyDescent="0.2">
      <c r="A1390" s="5" t="s">
        <v>1411</v>
      </c>
      <c r="B1390" s="6" t="s">
        <v>33</v>
      </c>
      <c r="C1390" s="6" t="s">
        <v>52</v>
      </c>
      <c r="D1390" s="72" t="str">
        <f t="shared" si="24"/>
        <v>109_V_d</v>
      </c>
      <c r="E1390" s="72">
        <v>144</v>
      </c>
      <c r="F1390" s="72" t="s">
        <v>43</v>
      </c>
      <c r="G1390" s="72" t="s">
        <v>1423</v>
      </c>
    </row>
    <row r="1391" spans="1:7" x14ac:dyDescent="0.2">
      <c r="A1391" s="5" t="s">
        <v>1424</v>
      </c>
      <c r="B1391" s="6" t="s">
        <v>36</v>
      </c>
      <c r="C1391" s="6" t="s">
        <v>52</v>
      </c>
      <c r="D1391" s="72" t="str">
        <f t="shared" si="24"/>
        <v>110_O_d</v>
      </c>
      <c r="E1391" s="72">
        <v>129</v>
      </c>
      <c r="F1391" s="72" t="s">
        <v>39</v>
      </c>
      <c r="G1391" s="72" t="s">
        <v>1436</v>
      </c>
    </row>
    <row r="1392" spans="1:7" x14ac:dyDescent="0.2">
      <c r="A1392" s="5" t="s">
        <v>1424</v>
      </c>
      <c r="B1392" s="6" t="s">
        <v>27</v>
      </c>
      <c r="C1392" s="6" t="s">
        <v>52</v>
      </c>
      <c r="D1392" s="72" t="str">
        <f t="shared" si="24"/>
        <v>110_S_d</v>
      </c>
      <c r="E1392" s="72">
        <v>130</v>
      </c>
      <c r="F1392" s="72" t="s">
        <v>70</v>
      </c>
      <c r="G1392" s="72" t="s">
        <v>1438</v>
      </c>
    </row>
    <row r="1393" spans="1:7" x14ac:dyDescent="0.2">
      <c r="A1393" s="5" t="s">
        <v>1424</v>
      </c>
      <c r="B1393" s="6" t="s">
        <v>33</v>
      </c>
      <c r="C1393" s="6" t="s">
        <v>52</v>
      </c>
      <c r="D1393" s="72" t="str">
        <f t="shared" si="24"/>
        <v>110_V_d</v>
      </c>
      <c r="E1393" s="72">
        <v>121</v>
      </c>
      <c r="F1393" s="72" t="s">
        <v>68</v>
      </c>
      <c r="G1393" s="72" t="s">
        <v>1435</v>
      </c>
    </row>
    <row r="1394" spans="1:7" x14ac:dyDescent="0.2">
      <c r="A1394" s="5" t="s">
        <v>1439</v>
      </c>
      <c r="B1394" s="6" t="s">
        <v>36</v>
      </c>
      <c r="C1394" s="6" t="s">
        <v>52</v>
      </c>
      <c r="D1394" s="72" t="str">
        <f t="shared" si="24"/>
        <v>111_O_d</v>
      </c>
      <c r="E1394" s="72">
        <v>135</v>
      </c>
      <c r="F1394" s="72" t="s">
        <v>68</v>
      </c>
      <c r="G1394" s="72" t="s">
        <v>1450</v>
      </c>
    </row>
    <row r="1395" spans="1:7" x14ac:dyDescent="0.2">
      <c r="A1395" s="5" t="s">
        <v>1439</v>
      </c>
      <c r="B1395" s="6" t="s">
        <v>27</v>
      </c>
      <c r="C1395" s="6" t="s">
        <v>52</v>
      </c>
      <c r="D1395" s="72" t="str">
        <f t="shared" si="24"/>
        <v>111_S_d</v>
      </c>
      <c r="E1395" s="72">
        <v>126</v>
      </c>
      <c r="F1395" s="72" t="s">
        <v>41</v>
      </c>
      <c r="G1395" s="72" t="s">
        <v>1449</v>
      </c>
    </row>
    <row r="1396" spans="1:7" x14ac:dyDescent="0.2">
      <c r="A1396" s="5" t="s">
        <v>1439</v>
      </c>
      <c r="B1396" s="6" t="s">
        <v>33</v>
      </c>
      <c r="C1396" s="6" t="s">
        <v>52</v>
      </c>
      <c r="D1396" s="72" t="str">
        <f t="shared" si="24"/>
        <v>111_V_d</v>
      </c>
      <c r="E1396" s="72">
        <v>140</v>
      </c>
      <c r="F1396" s="72" t="s">
        <v>29</v>
      </c>
      <c r="G1396" s="72" t="s">
        <v>1451</v>
      </c>
    </row>
    <row r="1397" spans="1:7" x14ac:dyDescent="0.2">
      <c r="A1397" s="5" t="s">
        <v>1452</v>
      </c>
      <c r="B1397" s="6" t="s">
        <v>36</v>
      </c>
      <c r="C1397" s="6" t="s">
        <v>52</v>
      </c>
      <c r="D1397" s="72" t="str">
        <f t="shared" si="24"/>
        <v>112_O_d</v>
      </c>
      <c r="E1397" s="72">
        <v>116</v>
      </c>
      <c r="F1397" s="72" t="s">
        <v>29</v>
      </c>
      <c r="G1397" s="72" t="s">
        <v>1463</v>
      </c>
    </row>
    <row r="1398" spans="1:7" x14ac:dyDescent="0.2">
      <c r="A1398" s="5" t="s">
        <v>1452</v>
      </c>
      <c r="B1398" s="6" t="s">
        <v>27</v>
      </c>
      <c r="C1398" s="6" t="s">
        <v>52</v>
      </c>
      <c r="D1398" s="72" t="str">
        <f t="shared" si="24"/>
        <v>112_S_d</v>
      </c>
      <c r="E1398" s="72">
        <v>111</v>
      </c>
      <c r="F1398" s="72" t="s">
        <v>41</v>
      </c>
      <c r="G1398" s="72" t="s">
        <v>1462</v>
      </c>
    </row>
    <row r="1399" spans="1:7" x14ac:dyDescent="0.2">
      <c r="A1399" s="5" t="s">
        <v>1452</v>
      </c>
      <c r="B1399" s="6" t="s">
        <v>33</v>
      </c>
      <c r="C1399" s="6" t="s">
        <v>52</v>
      </c>
      <c r="D1399" s="72" t="str">
        <f t="shared" si="24"/>
        <v>112_V_d</v>
      </c>
      <c r="E1399" s="72">
        <v>138</v>
      </c>
      <c r="F1399" s="72" t="s">
        <v>41</v>
      </c>
      <c r="G1399" s="72" t="s">
        <v>1464</v>
      </c>
    </row>
    <row r="1400" spans="1:7" x14ac:dyDescent="0.2">
      <c r="A1400" s="5" t="s">
        <v>1466</v>
      </c>
      <c r="B1400" s="6" t="s">
        <v>36</v>
      </c>
      <c r="C1400" s="6" t="s">
        <v>52</v>
      </c>
      <c r="D1400" s="72" t="str">
        <f t="shared" si="24"/>
        <v>113_O_d</v>
      </c>
      <c r="E1400" s="72">
        <v>120</v>
      </c>
      <c r="F1400" s="72" t="s">
        <v>63</v>
      </c>
      <c r="G1400" s="72" t="s">
        <v>1477</v>
      </c>
    </row>
    <row r="1401" spans="1:7" x14ac:dyDescent="0.2">
      <c r="A1401" s="5" t="s">
        <v>1466</v>
      </c>
      <c r="B1401" s="6" t="s">
        <v>27</v>
      </c>
      <c r="C1401" s="6" t="s">
        <v>52</v>
      </c>
      <c r="D1401" s="72" t="str">
        <f t="shared" si="24"/>
        <v>113_S_d</v>
      </c>
      <c r="E1401" s="72">
        <v>134</v>
      </c>
      <c r="F1401" s="72" t="s">
        <v>43</v>
      </c>
      <c r="G1401" s="72" t="s">
        <v>1478</v>
      </c>
    </row>
    <row r="1402" spans="1:7" x14ac:dyDescent="0.2">
      <c r="A1402" s="5" t="s">
        <v>1466</v>
      </c>
      <c r="B1402" s="6" t="s">
        <v>33</v>
      </c>
      <c r="C1402" s="6" t="s">
        <v>52</v>
      </c>
      <c r="D1402" s="72" t="str">
        <f t="shared" si="24"/>
        <v>113_V_d</v>
      </c>
      <c r="E1402" s="72">
        <v>119</v>
      </c>
      <c r="F1402" s="72" t="s">
        <v>43</v>
      </c>
      <c r="G1402" s="72" t="s">
        <v>1476</v>
      </c>
    </row>
    <row r="1403" spans="1:7" x14ac:dyDescent="0.2">
      <c r="A1403" s="5" t="s">
        <v>1479</v>
      </c>
      <c r="B1403" s="6" t="s">
        <v>36</v>
      </c>
      <c r="C1403" s="6" t="s">
        <v>52</v>
      </c>
      <c r="D1403" s="72" t="str">
        <f t="shared" si="24"/>
        <v>114_O_d</v>
      </c>
      <c r="E1403" s="72">
        <v>120</v>
      </c>
      <c r="F1403" s="72" t="s">
        <v>43</v>
      </c>
      <c r="G1403" s="72" t="s">
        <v>1490</v>
      </c>
    </row>
    <row r="1404" spans="1:7" x14ac:dyDescent="0.2">
      <c r="A1404" s="5" t="s">
        <v>1479</v>
      </c>
      <c r="B1404" s="6" t="s">
        <v>27</v>
      </c>
      <c r="C1404" s="6" t="s">
        <v>52</v>
      </c>
      <c r="D1404" s="72" t="str">
        <f t="shared" si="24"/>
        <v>114_S_d</v>
      </c>
      <c r="E1404" s="72">
        <v>141</v>
      </c>
      <c r="F1404" s="72" t="s">
        <v>43</v>
      </c>
      <c r="G1404" s="72" t="s">
        <v>1492</v>
      </c>
    </row>
    <row r="1405" spans="1:7" x14ac:dyDescent="0.2">
      <c r="A1405" s="5" t="s">
        <v>1479</v>
      </c>
      <c r="B1405" s="6" t="s">
        <v>33</v>
      </c>
      <c r="C1405" s="6" t="s">
        <v>52</v>
      </c>
      <c r="D1405" s="72" t="str">
        <f t="shared" si="24"/>
        <v>114_V_d</v>
      </c>
      <c r="E1405" s="72">
        <v>126</v>
      </c>
      <c r="F1405" s="72" t="s">
        <v>29</v>
      </c>
      <c r="G1405" s="72" t="s">
        <v>1491</v>
      </c>
    </row>
    <row r="1406" spans="1:7" x14ac:dyDescent="0.2">
      <c r="A1406" s="5" t="s">
        <v>1493</v>
      </c>
      <c r="B1406" s="6" t="s">
        <v>36</v>
      </c>
      <c r="C1406" s="6" t="s">
        <v>52</v>
      </c>
      <c r="D1406" s="72" t="str">
        <f t="shared" si="24"/>
        <v>115_O_d</v>
      </c>
      <c r="E1406" s="72">
        <v>141</v>
      </c>
      <c r="F1406" s="72" t="s">
        <v>63</v>
      </c>
      <c r="G1406" s="72" t="s">
        <v>1505</v>
      </c>
    </row>
    <row r="1407" spans="1:7" x14ac:dyDescent="0.2">
      <c r="A1407" s="5" t="s">
        <v>1493</v>
      </c>
      <c r="B1407" s="6" t="s">
        <v>27</v>
      </c>
      <c r="C1407" s="6" t="s">
        <v>52</v>
      </c>
      <c r="D1407" s="72" t="str">
        <f t="shared" si="24"/>
        <v>115_S_d</v>
      </c>
      <c r="E1407" s="72">
        <v>120</v>
      </c>
      <c r="F1407" s="72" t="s">
        <v>68</v>
      </c>
      <c r="G1407" s="72" t="s">
        <v>1504</v>
      </c>
    </row>
    <row r="1408" spans="1:7" x14ac:dyDescent="0.2">
      <c r="A1408" s="5" t="s">
        <v>1493</v>
      </c>
      <c r="B1408" s="6" t="s">
        <v>33</v>
      </c>
      <c r="C1408" s="6" t="s">
        <v>52</v>
      </c>
      <c r="D1408" s="72" t="str">
        <f t="shared" si="24"/>
        <v>115_V_d</v>
      </c>
      <c r="E1408" s="72">
        <v>113</v>
      </c>
      <c r="F1408" s="72" t="s">
        <v>39</v>
      </c>
      <c r="G1408" s="72" t="s">
        <v>1503</v>
      </c>
    </row>
    <row r="1409" spans="1:7" x14ac:dyDescent="0.2">
      <c r="A1409" s="5" t="s">
        <v>1506</v>
      </c>
      <c r="B1409" s="6" t="s">
        <v>36</v>
      </c>
      <c r="C1409" s="6" t="s">
        <v>52</v>
      </c>
      <c r="D1409" s="72" t="str">
        <f t="shared" si="24"/>
        <v>116_O_d</v>
      </c>
      <c r="E1409" s="72">
        <v>118</v>
      </c>
      <c r="F1409" s="72" t="s">
        <v>29</v>
      </c>
      <c r="G1409" s="72" t="s">
        <v>1516</v>
      </c>
    </row>
    <row r="1410" spans="1:7" x14ac:dyDescent="0.2">
      <c r="A1410" s="5" t="s">
        <v>1506</v>
      </c>
      <c r="B1410" s="6" t="s">
        <v>27</v>
      </c>
      <c r="C1410" s="6" t="s">
        <v>52</v>
      </c>
      <c r="D1410" s="72" t="str">
        <f t="shared" ref="D1410:D1441" si="25">A1410&amp;"_"&amp;B1410&amp;"_"&amp;C1410</f>
        <v>116_S_d</v>
      </c>
      <c r="E1410" s="72">
        <v>137</v>
      </c>
      <c r="F1410" s="72" t="s">
        <v>43</v>
      </c>
      <c r="G1410" s="72" t="s">
        <v>1518</v>
      </c>
    </row>
    <row r="1411" spans="1:7" x14ac:dyDescent="0.2">
      <c r="A1411" s="5" t="s">
        <v>1506</v>
      </c>
      <c r="B1411" s="6" t="s">
        <v>33</v>
      </c>
      <c r="C1411" s="6" t="s">
        <v>52</v>
      </c>
      <c r="D1411" s="72" t="str">
        <f t="shared" si="25"/>
        <v>116_V_d</v>
      </c>
      <c r="E1411" s="72">
        <v>118</v>
      </c>
      <c r="F1411" s="72" t="s">
        <v>49</v>
      </c>
      <c r="G1411" s="72" t="s">
        <v>1517</v>
      </c>
    </row>
    <row r="1412" spans="1:7" x14ac:dyDescent="0.2">
      <c r="A1412" s="5" t="s">
        <v>1519</v>
      </c>
      <c r="B1412" s="6" t="s">
        <v>36</v>
      </c>
      <c r="C1412" s="6" t="s">
        <v>52</v>
      </c>
      <c r="D1412" s="72" t="str">
        <f t="shared" si="25"/>
        <v>117_O_d</v>
      </c>
      <c r="E1412" s="72">
        <v>130</v>
      </c>
      <c r="F1412" s="72" t="s">
        <v>29</v>
      </c>
      <c r="G1412" s="72" t="s">
        <v>1530</v>
      </c>
    </row>
    <row r="1413" spans="1:7" x14ac:dyDescent="0.2">
      <c r="A1413" s="5" t="s">
        <v>1519</v>
      </c>
      <c r="B1413" s="6" t="s">
        <v>27</v>
      </c>
      <c r="C1413" s="6" t="s">
        <v>52</v>
      </c>
      <c r="D1413" s="72" t="str">
        <f t="shared" si="25"/>
        <v>117_S_d</v>
      </c>
      <c r="E1413" s="72">
        <v>138</v>
      </c>
      <c r="F1413" s="72" t="s">
        <v>63</v>
      </c>
      <c r="G1413" s="72" t="s">
        <v>1531</v>
      </c>
    </row>
    <row r="1414" spans="1:7" x14ac:dyDescent="0.2">
      <c r="A1414" s="5" t="s">
        <v>1519</v>
      </c>
      <c r="B1414" s="6" t="s">
        <v>33</v>
      </c>
      <c r="C1414" s="6" t="s">
        <v>52</v>
      </c>
      <c r="D1414" s="72" t="str">
        <f t="shared" si="25"/>
        <v>117_V_d</v>
      </c>
      <c r="E1414" s="72">
        <v>120</v>
      </c>
      <c r="F1414" s="72" t="s">
        <v>39</v>
      </c>
      <c r="G1414" s="72" t="s">
        <v>1529</v>
      </c>
    </row>
    <row r="1415" spans="1:7" x14ac:dyDescent="0.2">
      <c r="A1415" s="5" t="s">
        <v>1532</v>
      </c>
      <c r="B1415" s="6" t="s">
        <v>36</v>
      </c>
      <c r="C1415" s="6" t="s">
        <v>52</v>
      </c>
      <c r="D1415" s="72" t="str">
        <f t="shared" si="25"/>
        <v>118_O_d</v>
      </c>
      <c r="E1415" s="72">
        <v>136</v>
      </c>
      <c r="F1415" s="72" t="s">
        <v>49</v>
      </c>
      <c r="G1415" s="72" t="s">
        <v>1550</v>
      </c>
    </row>
    <row r="1416" spans="1:7" x14ac:dyDescent="0.2">
      <c r="A1416" s="5" t="s">
        <v>1532</v>
      </c>
      <c r="B1416" s="6" t="s">
        <v>27</v>
      </c>
      <c r="C1416" s="6" t="s">
        <v>52</v>
      </c>
      <c r="D1416" s="72" t="str">
        <f t="shared" si="25"/>
        <v>118_S_d</v>
      </c>
      <c r="E1416" s="72">
        <v>132</v>
      </c>
      <c r="F1416" s="72" t="s">
        <v>68</v>
      </c>
      <c r="G1416" s="72" t="s">
        <v>1548</v>
      </c>
    </row>
    <row r="1417" spans="1:7" x14ac:dyDescent="0.2">
      <c r="A1417" s="5" t="s">
        <v>1532</v>
      </c>
      <c r="B1417" s="6" t="s">
        <v>33</v>
      </c>
      <c r="C1417" s="6" t="s">
        <v>52</v>
      </c>
      <c r="D1417" s="72" t="str">
        <f t="shared" si="25"/>
        <v>118_V_d</v>
      </c>
      <c r="E1417" s="72">
        <v>112</v>
      </c>
      <c r="F1417" s="72" t="s">
        <v>63</v>
      </c>
      <c r="G1417" s="72" t="s">
        <v>1546</v>
      </c>
    </row>
    <row r="1418" spans="1:7" x14ac:dyDescent="0.2">
      <c r="A1418" s="5" t="s">
        <v>1551</v>
      </c>
      <c r="B1418" s="6" t="s">
        <v>36</v>
      </c>
      <c r="C1418" s="6" t="s">
        <v>52</v>
      </c>
      <c r="D1418" s="72" t="str">
        <f t="shared" si="25"/>
        <v>119_O_d</v>
      </c>
      <c r="E1418" s="72">
        <v>143</v>
      </c>
      <c r="F1418" s="72" t="s">
        <v>68</v>
      </c>
      <c r="G1418" s="72" t="s">
        <v>1563</v>
      </c>
    </row>
    <row r="1419" spans="1:7" x14ac:dyDescent="0.2">
      <c r="A1419" s="5" t="s">
        <v>1551</v>
      </c>
      <c r="B1419" s="6" t="s">
        <v>27</v>
      </c>
      <c r="C1419" s="6" t="s">
        <v>52</v>
      </c>
      <c r="D1419" s="72" t="str">
        <f t="shared" si="25"/>
        <v>119_S_d</v>
      </c>
      <c r="E1419" s="72">
        <v>113</v>
      </c>
      <c r="F1419" s="72" t="s">
        <v>34</v>
      </c>
      <c r="G1419" s="72" t="s">
        <v>1561</v>
      </c>
    </row>
    <row r="1420" spans="1:7" x14ac:dyDescent="0.2">
      <c r="A1420" s="5" t="s">
        <v>1551</v>
      </c>
      <c r="B1420" s="6" t="s">
        <v>33</v>
      </c>
      <c r="C1420" s="6" t="s">
        <v>52</v>
      </c>
      <c r="D1420" s="72" t="str">
        <f t="shared" si="25"/>
        <v>119_V_d</v>
      </c>
      <c r="E1420" s="72">
        <v>124</v>
      </c>
      <c r="F1420" s="72" t="s">
        <v>68</v>
      </c>
      <c r="G1420" s="72" t="s">
        <v>1562</v>
      </c>
    </row>
    <row r="1421" spans="1:7" x14ac:dyDescent="0.2">
      <c r="A1421" s="5" t="s">
        <v>1564</v>
      </c>
      <c r="B1421" s="6" t="s">
        <v>36</v>
      </c>
      <c r="C1421" s="6" t="s">
        <v>52</v>
      </c>
      <c r="D1421" s="72" t="str">
        <f t="shared" si="25"/>
        <v>120_O_d</v>
      </c>
      <c r="E1421" s="72">
        <v>139</v>
      </c>
      <c r="F1421" s="72" t="s">
        <v>49</v>
      </c>
      <c r="G1421" s="72" t="s">
        <v>1575</v>
      </c>
    </row>
    <row r="1422" spans="1:7" x14ac:dyDescent="0.2">
      <c r="A1422" s="5" t="s">
        <v>1564</v>
      </c>
      <c r="B1422" s="6" t="s">
        <v>27</v>
      </c>
      <c r="C1422" s="6" t="s">
        <v>52</v>
      </c>
      <c r="D1422" s="72" t="str">
        <f t="shared" si="25"/>
        <v>120_S_d</v>
      </c>
      <c r="E1422" s="72">
        <v>143</v>
      </c>
      <c r="F1422" s="72" t="s">
        <v>70</v>
      </c>
      <c r="G1422" s="72" t="s">
        <v>1576</v>
      </c>
    </row>
    <row r="1423" spans="1:7" x14ac:dyDescent="0.2">
      <c r="A1423" s="5" t="s">
        <v>1564</v>
      </c>
      <c r="B1423" s="6" t="s">
        <v>33</v>
      </c>
      <c r="C1423" s="6" t="s">
        <v>52</v>
      </c>
      <c r="D1423" s="72" t="str">
        <f t="shared" si="25"/>
        <v>120_V_d</v>
      </c>
      <c r="E1423" s="72">
        <v>134</v>
      </c>
      <c r="F1423" s="72" t="s">
        <v>70</v>
      </c>
      <c r="G1423" s="72" t="s">
        <v>1574</v>
      </c>
    </row>
    <row r="1424" spans="1:7" x14ac:dyDescent="0.2">
      <c r="A1424" s="5" t="s">
        <v>1577</v>
      </c>
      <c r="B1424" s="6" t="s">
        <v>36</v>
      </c>
      <c r="C1424" s="6" t="s">
        <v>52</v>
      </c>
      <c r="D1424" s="72" t="str">
        <f t="shared" si="25"/>
        <v>121_O_d</v>
      </c>
      <c r="E1424" s="72">
        <v>120</v>
      </c>
      <c r="F1424" s="72" t="s">
        <v>41</v>
      </c>
      <c r="G1424" s="72" t="s">
        <v>1590</v>
      </c>
    </row>
    <row r="1425" spans="1:7" x14ac:dyDescent="0.2">
      <c r="A1425" s="5" t="s">
        <v>1577</v>
      </c>
      <c r="B1425" s="6" t="s">
        <v>27</v>
      </c>
      <c r="C1425" s="6" t="s">
        <v>52</v>
      </c>
      <c r="D1425" s="72" t="str">
        <f t="shared" si="25"/>
        <v>121_S_d</v>
      </c>
      <c r="E1425" s="72">
        <v>129</v>
      </c>
      <c r="F1425" s="72" t="s">
        <v>43</v>
      </c>
      <c r="G1425" s="72" t="s">
        <v>1592</v>
      </c>
    </row>
    <row r="1426" spans="1:7" x14ac:dyDescent="0.2">
      <c r="A1426" s="5" t="s">
        <v>1577</v>
      </c>
      <c r="B1426" s="6" t="s">
        <v>33</v>
      </c>
      <c r="C1426" s="6" t="s">
        <v>52</v>
      </c>
      <c r="D1426" s="72" t="str">
        <f t="shared" si="25"/>
        <v>121_V_d</v>
      </c>
      <c r="E1426" s="72">
        <v>127</v>
      </c>
      <c r="F1426" s="72" t="s">
        <v>43</v>
      </c>
      <c r="G1426" s="72" t="s">
        <v>1591</v>
      </c>
    </row>
    <row r="1427" spans="1:7" x14ac:dyDescent="0.2">
      <c r="A1427" s="5" t="s">
        <v>1593</v>
      </c>
      <c r="B1427" s="6" t="s">
        <v>36</v>
      </c>
      <c r="C1427" s="6" t="s">
        <v>52</v>
      </c>
      <c r="D1427" s="72" t="str">
        <f t="shared" si="25"/>
        <v>122_O_d</v>
      </c>
      <c r="E1427" s="72">
        <v>117</v>
      </c>
      <c r="F1427" s="72" t="s">
        <v>63</v>
      </c>
      <c r="G1427" s="72" t="s">
        <v>1603</v>
      </c>
    </row>
    <row r="1428" spans="1:7" x14ac:dyDescent="0.2">
      <c r="A1428" s="5" t="s">
        <v>1593</v>
      </c>
      <c r="B1428" s="6" t="s">
        <v>27</v>
      </c>
      <c r="C1428" s="6" t="s">
        <v>52</v>
      </c>
      <c r="D1428" s="72" t="str">
        <f t="shared" si="25"/>
        <v>122_S_d</v>
      </c>
      <c r="E1428" s="72">
        <v>125</v>
      </c>
      <c r="F1428" s="72" t="s">
        <v>39</v>
      </c>
      <c r="G1428" s="72" t="s">
        <v>1604</v>
      </c>
    </row>
    <row r="1429" spans="1:7" x14ac:dyDescent="0.2">
      <c r="A1429" s="5" t="s">
        <v>1593</v>
      </c>
      <c r="B1429" s="6" t="s">
        <v>33</v>
      </c>
      <c r="C1429" s="6" t="s">
        <v>52</v>
      </c>
      <c r="D1429" s="72" t="str">
        <f t="shared" si="25"/>
        <v>122_V_d</v>
      </c>
      <c r="E1429" s="72">
        <v>140</v>
      </c>
      <c r="F1429" s="72" t="s">
        <v>43</v>
      </c>
      <c r="G1429" s="72" t="s">
        <v>1605</v>
      </c>
    </row>
    <row r="1430" spans="1:7" x14ac:dyDescent="0.2">
      <c r="A1430" s="5" t="s">
        <v>1606</v>
      </c>
      <c r="B1430" s="6" t="s">
        <v>36</v>
      </c>
      <c r="C1430" s="6" t="s">
        <v>52</v>
      </c>
      <c r="D1430" s="72" t="str">
        <f t="shared" si="25"/>
        <v>123_O_d</v>
      </c>
      <c r="E1430" s="72">
        <v>139</v>
      </c>
      <c r="F1430" s="72" t="s">
        <v>34</v>
      </c>
      <c r="G1430" s="72" t="s">
        <v>1617</v>
      </c>
    </row>
    <row r="1431" spans="1:7" x14ac:dyDescent="0.2">
      <c r="A1431" s="5" t="s">
        <v>1606</v>
      </c>
      <c r="B1431" s="6" t="s">
        <v>27</v>
      </c>
      <c r="C1431" s="6" t="s">
        <v>52</v>
      </c>
      <c r="D1431" s="72" t="str">
        <f t="shared" si="25"/>
        <v>123_S_d</v>
      </c>
      <c r="E1431" s="72">
        <v>129</v>
      </c>
      <c r="F1431" s="72" t="s">
        <v>82</v>
      </c>
      <c r="G1431" s="72" t="s">
        <v>1616</v>
      </c>
    </row>
    <row r="1432" spans="1:7" x14ac:dyDescent="0.2">
      <c r="A1432" s="5" t="s">
        <v>1606</v>
      </c>
      <c r="B1432" s="6" t="s">
        <v>33</v>
      </c>
      <c r="C1432" s="6" t="s">
        <v>52</v>
      </c>
      <c r="D1432" s="72" t="str">
        <f t="shared" si="25"/>
        <v>123_V_d</v>
      </c>
      <c r="E1432" s="72">
        <v>143</v>
      </c>
      <c r="F1432" s="72" t="s">
        <v>39</v>
      </c>
      <c r="G1432" s="72" t="s">
        <v>1618</v>
      </c>
    </row>
    <row r="1433" spans="1:7" x14ac:dyDescent="0.2">
      <c r="A1433" s="5" t="s">
        <v>1619</v>
      </c>
      <c r="B1433" s="6" t="s">
        <v>36</v>
      </c>
      <c r="C1433" s="6" t="s">
        <v>52</v>
      </c>
      <c r="D1433" s="72" t="str">
        <f t="shared" si="25"/>
        <v>EXC_O_d</v>
      </c>
      <c r="E1433" s="72">
        <v>127</v>
      </c>
      <c r="F1433" s="72" t="s">
        <v>41</v>
      </c>
      <c r="G1433" s="72" t="s">
        <v>1632</v>
      </c>
    </row>
    <row r="1434" spans="1:7" x14ac:dyDescent="0.2">
      <c r="A1434" s="5" t="s">
        <v>1619</v>
      </c>
      <c r="B1434" s="6" t="s">
        <v>27</v>
      </c>
      <c r="C1434" s="6" t="s">
        <v>52</v>
      </c>
      <c r="D1434" s="72" t="str">
        <f t="shared" si="25"/>
        <v>EXC_S_d</v>
      </c>
      <c r="E1434" s="72">
        <v>111</v>
      </c>
      <c r="F1434" s="72" t="s">
        <v>39</v>
      </c>
      <c r="G1434" s="72" t="s">
        <v>1630</v>
      </c>
    </row>
    <row r="1435" spans="1:7" x14ac:dyDescent="0.2">
      <c r="A1435" s="5" t="s">
        <v>1619</v>
      </c>
      <c r="B1435" s="6" t="s">
        <v>33</v>
      </c>
      <c r="C1435" s="6" t="s">
        <v>52</v>
      </c>
      <c r="D1435" s="72" t="str">
        <f t="shared" si="25"/>
        <v>EXC_V_d</v>
      </c>
      <c r="E1435" s="72">
        <v>118</v>
      </c>
      <c r="F1435" s="72" t="s">
        <v>82</v>
      </c>
      <c r="G1435" s="72" t="s">
        <v>1631</v>
      </c>
    </row>
    <row r="1436" spans="1:7" x14ac:dyDescent="0.2">
      <c r="A1436" s="5" t="s">
        <v>1675</v>
      </c>
      <c r="B1436" s="6" t="s">
        <v>36</v>
      </c>
      <c r="C1436" s="6" t="s">
        <v>52</v>
      </c>
      <c r="D1436" s="72" t="str">
        <f t="shared" si="25"/>
        <v>NIG_O_d</v>
      </c>
      <c r="E1436" s="72">
        <v>140</v>
      </c>
      <c r="F1436" s="72" t="s">
        <v>41</v>
      </c>
      <c r="G1436" s="72" t="s">
        <v>1686</v>
      </c>
    </row>
    <row r="1437" spans="1:7" x14ac:dyDescent="0.2">
      <c r="A1437" s="5" t="s">
        <v>1675</v>
      </c>
      <c r="B1437" s="6" t="s">
        <v>27</v>
      </c>
      <c r="C1437" s="6" t="s">
        <v>52</v>
      </c>
      <c r="D1437" s="72" t="str">
        <f t="shared" si="25"/>
        <v>NIG_S_d</v>
      </c>
      <c r="E1437" s="72">
        <v>143</v>
      </c>
      <c r="F1437" s="72" t="s">
        <v>49</v>
      </c>
      <c r="G1437" s="72" t="s">
        <v>1687</v>
      </c>
    </row>
    <row r="1438" spans="1:7" x14ac:dyDescent="0.2">
      <c r="A1438" s="5" t="s">
        <v>1675</v>
      </c>
      <c r="B1438" s="6" t="s">
        <v>33</v>
      </c>
      <c r="C1438" s="6" t="s">
        <v>52</v>
      </c>
      <c r="D1438" s="72" t="str">
        <f t="shared" si="25"/>
        <v>NIG_V_d</v>
      </c>
      <c r="E1438" s="72">
        <v>130</v>
      </c>
      <c r="F1438" s="72" t="s">
        <v>82</v>
      </c>
      <c r="G1438" s="72" t="s">
        <v>1685</v>
      </c>
    </row>
    <row r="1439" spans="1:7" x14ac:dyDescent="0.2">
      <c r="A1439" s="5" t="s">
        <v>1688</v>
      </c>
      <c r="B1439" s="6" t="s">
        <v>36</v>
      </c>
      <c r="C1439" s="6" t="s">
        <v>52</v>
      </c>
      <c r="D1439" s="72" t="str">
        <f t="shared" si="25"/>
        <v>UNI_O_d</v>
      </c>
      <c r="E1439" s="72">
        <v>115</v>
      </c>
      <c r="F1439" s="72" t="s">
        <v>82</v>
      </c>
      <c r="G1439" s="72" t="s">
        <v>1703</v>
      </c>
    </row>
    <row r="1440" spans="1:7" x14ac:dyDescent="0.2">
      <c r="A1440" s="5" t="s">
        <v>1688</v>
      </c>
      <c r="B1440" s="6" t="s">
        <v>27</v>
      </c>
      <c r="C1440" s="6" t="s">
        <v>52</v>
      </c>
      <c r="D1440" s="72" t="str">
        <f t="shared" si="25"/>
        <v>UNI_S_d</v>
      </c>
      <c r="E1440" s="72">
        <v>124</v>
      </c>
      <c r="F1440" s="72" t="s">
        <v>41</v>
      </c>
      <c r="G1440" s="72" t="s">
        <v>1705</v>
      </c>
    </row>
    <row r="1441" spans="1:7" x14ac:dyDescent="0.2">
      <c r="A1441" s="5" t="s">
        <v>1688</v>
      </c>
      <c r="B1441" s="6" t="s">
        <v>33</v>
      </c>
      <c r="C1441" s="6" t="s">
        <v>52</v>
      </c>
      <c r="D1441" s="72" t="str">
        <f t="shared" si="25"/>
        <v>UNI_V_d</v>
      </c>
      <c r="E1441" s="72">
        <v>118</v>
      </c>
      <c r="F1441" s="72" t="s">
        <v>70</v>
      </c>
      <c r="G1441" s="72" t="s">
        <v>1704</v>
      </c>
    </row>
    <row r="1442" spans="1:7" s="19" customFormat="1" x14ac:dyDescent="0.2">
      <c r="A1442" s="17" t="s">
        <v>1649</v>
      </c>
      <c r="B1442" s="18" t="s">
        <v>36</v>
      </c>
      <c r="C1442" s="18" t="s">
        <v>28</v>
      </c>
      <c r="D1442" s="72" t="str">
        <f t="shared" ref="D1442:D1477" si="26">A1442&amp;"_"&amp;B1442&amp;"_"&amp;C1442</f>
        <v>MIX_O_a</v>
      </c>
      <c r="E1442" s="72">
        <v>145</v>
      </c>
      <c r="F1442" s="72" t="s">
        <v>34</v>
      </c>
      <c r="G1442" s="72" t="s">
        <v>1650</v>
      </c>
    </row>
    <row r="1443" spans="1:7" x14ac:dyDescent="0.2">
      <c r="A1443" s="5" t="s">
        <v>1649</v>
      </c>
      <c r="B1443" s="6" t="s">
        <v>27</v>
      </c>
      <c r="C1443" s="6" t="s">
        <v>28</v>
      </c>
      <c r="D1443" s="72" t="str">
        <f t="shared" si="26"/>
        <v>MIX_S_a</v>
      </c>
      <c r="E1443" s="72">
        <v>145</v>
      </c>
      <c r="F1443" s="72" t="s">
        <v>82</v>
      </c>
      <c r="G1443" s="72" t="s">
        <v>1662</v>
      </c>
    </row>
    <row r="1444" spans="1:7" x14ac:dyDescent="0.2">
      <c r="A1444" s="1" t="s">
        <v>1649</v>
      </c>
      <c r="B1444" t="s">
        <v>33</v>
      </c>
      <c r="C1444" t="s">
        <v>28</v>
      </c>
      <c r="D1444" s="72" t="str">
        <f t="shared" si="26"/>
        <v>MIX_V_a</v>
      </c>
      <c r="E1444" s="72">
        <v>145</v>
      </c>
      <c r="F1444" s="72" t="s">
        <v>70</v>
      </c>
      <c r="G1444" s="72" t="s">
        <v>1651</v>
      </c>
    </row>
    <row r="1445" spans="1:7" x14ac:dyDescent="0.2">
      <c r="A1445" s="1" t="s">
        <v>1634</v>
      </c>
      <c r="B1445" s="6" t="s">
        <v>36</v>
      </c>
      <c r="C1445" s="6" t="s">
        <v>28</v>
      </c>
      <c r="D1445" s="72" t="str">
        <f t="shared" si="26"/>
        <v>MC2_O_a</v>
      </c>
      <c r="E1445" s="72">
        <v>145</v>
      </c>
      <c r="F1445" s="72" t="s">
        <v>29</v>
      </c>
      <c r="G1445" s="72" t="s">
        <v>1635</v>
      </c>
    </row>
    <row r="1446" spans="1:7" x14ac:dyDescent="0.2">
      <c r="A1446" s="1" t="s">
        <v>1634</v>
      </c>
      <c r="B1446" s="6" t="s">
        <v>27</v>
      </c>
      <c r="C1446" s="6" t="s">
        <v>28</v>
      </c>
      <c r="D1446" s="72" t="str">
        <f t="shared" si="26"/>
        <v>MC2_S_a</v>
      </c>
      <c r="E1446" s="72">
        <v>145</v>
      </c>
      <c r="F1446" s="72" t="s">
        <v>43</v>
      </c>
      <c r="G1446" s="72" t="s">
        <v>1708</v>
      </c>
    </row>
    <row r="1447" spans="1:7" x14ac:dyDescent="0.2">
      <c r="A1447" s="1" t="s">
        <v>1634</v>
      </c>
      <c r="B1447" s="6" t="s">
        <v>33</v>
      </c>
      <c r="C1447" s="6" t="s">
        <v>28</v>
      </c>
      <c r="D1447" s="72" t="str">
        <f t="shared" si="26"/>
        <v>MC2_V_a</v>
      </c>
      <c r="E1447" s="72">
        <v>145</v>
      </c>
      <c r="F1447" s="72" t="s">
        <v>41</v>
      </c>
      <c r="G1447" s="72" t="s">
        <v>1636</v>
      </c>
    </row>
    <row r="1448" spans="1:7" x14ac:dyDescent="0.2">
      <c r="A1448" s="5" t="s">
        <v>1649</v>
      </c>
      <c r="B1448" s="6" t="s">
        <v>36</v>
      </c>
      <c r="C1448" s="6" t="s">
        <v>52</v>
      </c>
      <c r="D1448" s="72" t="str">
        <f t="shared" si="26"/>
        <v>MIX_O_d</v>
      </c>
      <c r="E1448" s="72">
        <v>145</v>
      </c>
      <c r="F1448" s="72" t="s">
        <v>49</v>
      </c>
      <c r="G1448" s="72" t="s">
        <v>1661</v>
      </c>
    </row>
    <row r="1449" spans="1:7" x14ac:dyDescent="0.2">
      <c r="A1449" s="5" t="s">
        <v>1649</v>
      </c>
      <c r="B1449" s="6" t="s">
        <v>27</v>
      </c>
      <c r="C1449" s="6" t="s">
        <v>52</v>
      </c>
      <c r="D1449" s="72" t="str">
        <f t="shared" si="26"/>
        <v>MIX_S_d</v>
      </c>
      <c r="E1449" s="72">
        <v>145</v>
      </c>
      <c r="F1449" s="72" t="s">
        <v>39</v>
      </c>
      <c r="G1449" s="72" t="s">
        <v>1707</v>
      </c>
    </row>
    <row r="1450" spans="1:7" x14ac:dyDescent="0.2">
      <c r="A1450" s="1" t="s">
        <v>1649</v>
      </c>
      <c r="B1450" t="s">
        <v>33</v>
      </c>
      <c r="C1450" t="s">
        <v>1653</v>
      </c>
      <c r="D1450" s="72" t="str">
        <f t="shared" si="26"/>
        <v>MIX_V_e</v>
      </c>
      <c r="E1450" s="72">
        <v>145</v>
      </c>
      <c r="F1450" s="72" t="s">
        <v>63</v>
      </c>
      <c r="G1450" s="72" t="s">
        <v>1668</v>
      </c>
    </row>
    <row r="1451" spans="1:7" x14ac:dyDescent="0.2">
      <c r="A1451" s="5" t="s">
        <v>1649</v>
      </c>
      <c r="B1451" s="6" t="s">
        <v>27</v>
      </c>
      <c r="C1451" s="6" t="s">
        <v>28</v>
      </c>
      <c r="D1451" s="72" t="str">
        <f t="shared" si="26"/>
        <v>MIX_S_a</v>
      </c>
      <c r="E1451" s="72">
        <v>146</v>
      </c>
      <c r="F1451" s="72" t="s">
        <v>63</v>
      </c>
      <c r="G1451" s="72" t="s">
        <v>1664</v>
      </c>
    </row>
    <row r="1452" spans="1:7" x14ac:dyDescent="0.2">
      <c r="A1452" s="5" t="s">
        <v>1649</v>
      </c>
      <c r="B1452" s="6" t="s">
        <v>36</v>
      </c>
      <c r="C1452" s="6" t="s">
        <v>38</v>
      </c>
      <c r="D1452" s="72" t="str">
        <f t="shared" si="26"/>
        <v>MIX_O_b</v>
      </c>
      <c r="E1452" s="72">
        <v>146</v>
      </c>
      <c r="F1452" s="72" t="s">
        <v>82</v>
      </c>
      <c r="G1452" s="72" t="s">
        <v>1711</v>
      </c>
    </row>
    <row r="1453" spans="1:7" x14ac:dyDescent="0.2">
      <c r="A1453" s="1" t="s">
        <v>1649</v>
      </c>
      <c r="B1453" t="s">
        <v>33</v>
      </c>
      <c r="C1453" t="s">
        <v>38</v>
      </c>
      <c r="D1453" s="72" t="str">
        <f t="shared" si="26"/>
        <v>MIX_V_b</v>
      </c>
      <c r="E1453" s="72">
        <v>146</v>
      </c>
      <c r="F1453" s="72" t="s">
        <v>34</v>
      </c>
      <c r="G1453" s="72" t="s">
        <v>1663</v>
      </c>
    </row>
    <row r="1454" spans="1:7" x14ac:dyDescent="0.2">
      <c r="A1454" s="1" t="s">
        <v>1634</v>
      </c>
      <c r="B1454" s="6" t="s">
        <v>36</v>
      </c>
      <c r="C1454" s="6" t="s">
        <v>38</v>
      </c>
      <c r="D1454" s="72" t="str">
        <f t="shared" si="26"/>
        <v>MC2_O_b</v>
      </c>
      <c r="E1454" s="72">
        <v>146</v>
      </c>
      <c r="F1454" s="72" t="s">
        <v>29</v>
      </c>
      <c r="G1454" s="72" t="s">
        <v>1637</v>
      </c>
    </row>
    <row r="1455" spans="1:7" x14ac:dyDescent="0.2">
      <c r="A1455" s="1" t="s">
        <v>1634</v>
      </c>
      <c r="B1455" s="6" t="s">
        <v>27</v>
      </c>
      <c r="C1455" s="6" t="s">
        <v>38</v>
      </c>
      <c r="D1455" s="72" t="str">
        <f t="shared" si="26"/>
        <v>MC2_S_b</v>
      </c>
      <c r="E1455" s="72">
        <v>146</v>
      </c>
      <c r="F1455" s="72" t="s">
        <v>43</v>
      </c>
      <c r="G1455" s="72" t="s">
        <v>1709</v>
      </c>
    </row>
    <row r="1456" spans="1:7" x14ac:dyDescent="0.2">
      <c r="A1456" s="1" t="s">
        <v>1634</v>
      </c>
      <c r="B1456" s="6" t="s">
        <v>33</v>
      </c>
      <c r="C1456" s="6" t="s">
        <v>38</v>
      </c>
      <c r="D1456" s="72" t="str">
        <f t="shared" si="26"/>
        <v>MC2_V_b</v>
      </c>
      <c r="E1456" s="72">
        <v>146</v>
      </c>
      <c r="F1456" s="72" t="s">
        <v>41</v>
      </c>
      <c r="G1456" s="72" t="s">
        <v>1655</v>
      </c>
    </row>
    <row r="1457" spans="1:7" x14ac:dyDescent="0.2">
      <c r="A1457" s="5" t="s">
        <v>1649</v>
      </c>
      <c r="B1457" s="6" t="s">
        <v>36</v>
      </c>
      <c r="C1457" s="6" t="s">
        <v>1653</v>
      </c>
      <c r="D1457" s="72" t="str">
        <f t="shared" si="26"/>
        <v>MIX_O_e</v>
      </c>
      <c r="E1457" s="72">
        <v>146</v>
      </c>
      <c r="F1457" s="72" t="s">
        <v>49</v>
      </c>
      <c r="G1457" s="72" t="s">
        <v>1670</v>
      </c>
    </row>
    <row r="1458" spans="1:7" x14ac:dyDescent="0.2">
      <c r="A1458" s="5" t="s">
        <v>1649</v>
      </c>
      <c r="B1458" s="6" t="s">
        <v>27</v>
      </c>
      <c r="C1458" s="6" t="s">
        <v>1657</v>
      </c>
      <c r="D1458" s="72" t="str">
        <f t="shared" si="26"/>
        <v>MIX_S_f</v>
      </c>
      <c r="E1458" s="72">
        <v>146</v>
      </c>
      <c r="F1458" s="72" t="s">
        <v>70</v>
      </c>
      <c r="G1458" s="72" t="s">
        <v>1654</v>
      </c>
    </row>
    <row r="1459" spans="1:7" x14ac:dyDescent="0.2">
      <c r="A1459" s="1" t="s">
        <v>1649</v>
      </c>
      <c r="B1459" t="s">
        <v>33</v>
      </c>
      <c r="C1459" t="s">
        <v>1657</v>
      </c>
      <c r="D1459" s="72" t="str">
        <f t="shared" si="26"/>
        <v>MIX_V_f</v>
      </c>
      <c r="E1459" s="72">
        <v>146</v>
      </c>
      <c r="F1459" s="72" t="s">
        <v>39</v>
      </c>
      <c r="G1459" s="72" t="s">
        <v>1669</v>
      </c>
    </row>
    <row r="1460" spans="1:7" x14ac:dyDescent="0.2">
      <c r="A1460" s="5" t="s">
        <v>1649</v>
      </c>
      <c r="B1460" s="6" t="s">
        <v>27</v>
      </c>
      <c r="C1460" s="6" t="s">
        <v>38</v>
      </c>
      <c r="D1460" s="72" t="str">
        <f t="shared" si="26"/>
        <v>MIX_S_b</v>
      </c>
      <c r="E1460" s="72">
        <v>147</v>
      </c>
      <c r="F1460" s="72" t="s">
        <v>39</v>
      </c>
      <c r="G1460" s="72" t="s">
        <v>1656</v>
      </c>
    </row>
    <row r="1461" spans="1:7" x14ac:dyDescent="0.2">
      <c r="A1461" s="5" t="s">
        <v>1649</v>
      </c>
      <c r="B1461" s="6" t="s">
        <v>36</v>
      </c>
      <c r="C1461" s="6" t="s">
        <v>45</v>
      </c>
      <c r="D1461" s="72" t="str">
        <f t="shared" si="26"/>
        <v>MIX_O_c</v>
      </c>
      <c r="E1461" s="72">
        <v>147</v>
      </c>
      <c r="F1461" s="72" t="s">
        <v>49</v>
      </c>
      <c r="G1461" s="72" t="s">
        <v>1640</v>
      </c>
    </row>
    <row r="1462" spans="1:7" x14ac:dyDescent="0.2">
      <c r="A1462" s="5" t="s">
        <v>1649</v>
      </c>
      <c r="B1462" s="6" t="s">
        <v>33</v>
      </c>
      <c r="C1462" s="6" t="s">
        <v>45</v>
      </c>
      <c r="D1462" s="72" t="str">
        <f t="shared" si="26"/>
        <v>MIX_V_c</v>
      </c>
      <c r="E1462" s="72">
        <v>147</v>
      </c>
      <c r="F1462" s="72" t="s">
        <v>82</v>
      </c>
      <c r="G1462" s="72" t="s">
        <v>1665</v>
      </c>
    </row>
    <row r="1463" spans="1:7" x14ac:dyDescent="0.2">
      <c r="A1463" s="1" t="s">
        <v>1634</v>
      </c>
      <c r="B1463" s="6" t="s">
        <v>36</v>
      </c>
      <c r="C1463" s="6" t="s">
        <v>45</v>
      </c>
      <c r="D1463" s="72" t="str">
        <f t="shared" si="26"/>
        <v>MC2_O_c</v>
      </c>
      <c r="E1463" s="72">
        <v>147</v>
      </c>
      <c r="F1463" s="72" t="s">
        <v>29</v>
      </c>
      <c r="G1463" s="72" t="s">
        <v>1671</v>
      </c>
    </row>
    <row r="1464" spans="1:7" x14ac:dyDescent="0.2">
      <c r="A1464" s="1" t="s">
        <v>1634</v>
      </c>
      <c r="B1464" s="6" t="s">
        <v>27</v>
      </c>
      <c r="C1464" s="6" t="s">
        <v>45</v>
      </c>
      <c r="D1464" s="72" t="str">
        <f t="shared" si="26"/>
        <v>MC2_S_c</v>
      </c>
      <c r="E1464" s="72">
        <v>147</v>
      </c>
      <c r="F1464" s="72" t="s">
        <v>43</v>
      </c>
      <c r="G1464" s="72" t="s">
        <v>1715</v>
      </c>
    </row>
    <row r="1465" spans="1:7" x14ac:dyDescent="0.2">
      <c r="A1465" s="1" t="s">
        <v>1634</v>
      </c>
      <c r="B1465" s="6" t="s">
        <v>33</v>
      </c>
      <c r="C1465" s="6" t="s">
        <v>45</v>
      </c>
      <c r="D1465" s="72" t="str">
        <f t="shared" si="26"/>
        <v>MC2_V_c</v>
      </c>
      <c r="E1465" s="72">
        <v>147</v>
      </c>
      <c r="F1465" s="72" t="s">
        <v>41</v>
      </c>
      <c r="G1465" s="72" t="s">
        <v>1642</v>
      </c>
    </row>
    <row r="1466" spans="1:7" x14ac:dyDescent="0.2">
      <c r="A1466" s="5" t="s">
        <v>1649</v>
      </c>
      <c r="B1466" s="6" t="s">
        <v>36</v>
      </c>
      <c r="C1466" s="6" t="s">
        <v>1657</v>
      </c>
      <c r="D1466" s="72" t="str">
        <f t="shared" si="26"/>
        <v>MIX_O_f</v>
      </c>
      <c r="E1466" s="72">
        <v>147</v>
      </c>
      <c r="F1466" s="72" t="s">
        <v>34</v>
      </c>
      <c r="G1466" s="72" t="s">
        <v>1639</v>
      </c>
    </row>
    <row r="1467" spans="1:7" x14ac:dyDescent="0.2">
      <c r="A1467" s="5" t="s">
        <v>1649</v>
      </c>
      <c r="B1467" s="6" t="s">
        <v>27</v>
      </c>
      <c r="C1467" s="6" t="s">
        <v>1641</v>
      </c>
      <c r="D1467" s="72" t="str">
        <f t="shared" si="26"/>
        <v>MIX_S_g</v>
      </c>
      <c r="E1467" s="72">
        <v>147</v>
      </c>
      <c r="F1467" s="72" t="s">
        <v>63</v>
      </c>
      <c r="G1467" s="72" t="s">
        <v>1658</v>
      </c>
    </row>
    <row r="1468" spans="1:7" x14ac:dyDescent="0.2">
      <c r="A1468" s="5" t="s">
        <v>1649</v>
      </c>
      <c r="B1468" s="6" t="s">
        <v>33</v>
      </c>
      <c r="C1468" s="6" t="s">
        <v>1641</v>
      </c>
      <c r="D1468" s="72" t="str">
        <f t="shared" si="26"/>
        <v>MIX_V_g</v>
      </c>
      <c r="E1468" s="72">
        <v>147</v>
      </c>
      <c r="F1468" s="72" t="s">
        <v>70</v>
      </c>
      <c r="G1468" s="72" t="s">
        <v>1713</v>
      </c>
    </row>
    <row r="1469" spans="1:7" x14ac:dyDescent="0.2">
      <c r="A1469" s="5" t="s">
        <v>1649</v>
      </c>
      <c r="B1469" s="6" t="s">
        <v>36</v>
      </c>
      <c r="C1469" s="6" t="s">
        <v>45</v>
      </c>
      <c r="D1469" s="72" t="str">
        <f t="shared" si="26"/>
        <v>MIX_O_c</v>
      </c>
      <c r="E1469" s="72">
        <v>148</v>
      </c>
      <c r="F1469" s="72" t="s">
        <v>70</v>
      </c>
      <c r="G1469" s="72" t="s">
        <v>1717</v>
      </c>
    </row>
    <row r="1470" spans="1:7" x14ac:dyDescent="0.2">
      <c r="A1470" s="5" t="s">
        <v>1649</v>
      </c>
      <c r="B1470" s="6" t="s">
        <v>27</v>
      </c>
      <c r="C1470" s="6" t="s">
        <v>45</v>
      </c>
      <c r="D1470" s="72" t="str">
        <f t="shared" si="26"/>
        <v>MIX_S_c</v>
      </c>
      <c r="E1470" s="72">
        <v>148</v>
      </c>
      <c r="F1470" s="72" t="s">
        <v>49</v>
      </c>
      <c r="G1470" s="72" t="s">
        <v>1646</v>
      </c>
    </row>
    <row r="1471" spans="1:7" x14ac:dyDescent="0.2">
      <c r="A1471" s="5" t="s">
        <v>1649</v>
      </c>
      <c r="B1471" s="6" t="s">
        <v>33</v>
      </c>
      <c r="C1471" s="6" t="s">
        <v>52</v>
      </c>
      <c r="D1471" s="72" t="str">
        <f t="shared" si="26"/>
        <v>MIX_V_d</v>
      </c>
      <c r="E1471" s="72">
        <v>148</v>
      </c>
      <c r="F1471" s="72" t="s">
        <v>34</v>
      </c>
      <c r="G1471" s="72" t="s">
        <v>1644</v>
      </c>
    </row>
    <row r="1472" spans="1:7" x14ac:dyDescent="0.2">
      <c r="A1472" s="1" t="s">
        <v>1634</v>
      </c>
      <c r="B1472" s="6" t="s">
        <v>36</v>
      </c>
      <c r="C1472" s="6" t="s">
        <v>52</v>
      </c>
      <c r="D1472" s="72" t="str">
        <f t="shared" si="26"/>
        <v>MC2_O_d</v>
      </c>
      <c r="E1472" s="72">
        <v>148</v>
      </c>
      <c r="F1472" s="72" t="s">
        <v>29</v>
      </c>
      <c r="G1472" s="72" t="s">
        <v>1666</v>
      </c>
    </row>
    <row r="1473" spans="1:7" x14ac:dyDescent="0.2">
      <c r="A1473" s="1" t="s">
        <v>1634</v>
      </c>
      <c r="B1473" s="6" t="s">
        <v>27</v>
      </c>
      <c r="C1473" s="6" t="s">
        <v>52</v>
      </c>
      <c r="D1473" s="72" t="str">
        <f t="shared" si="26"/>
        <v>MC2_S_d</v>
      </c>
      <c r="E1473" s="72">
        <v>148</v>
      </c>
      <c r="F1473" s="72" t="s">
        <v>43</v>
      </c>
      <c r="G1473" s="72" t="s">
        <v>1660</v>
      </c>
    </row>
    <row r="1474" spans="1:7" x14ac:dyDescent="0.2">
      <c r="A1474" s="1" t="s">
        <v>1634</v>
      </c>
      <c r="B1474" s="6" t="s">
        <v>33</v>
      </c>
      <c r="C1474" s="6" t="s">
        <v>52</v>
      </c>
      <c r="D1474" s="72" t="str">
        <f t="shared" si="26"/>
        <v>MC2_V_d</v>
      </c>
      <c r="E1474" s="72">
        <v>148</v>
      </c>
      <c r="F1474" s="72" t="s">
        <v>41</v>
      </c>
      <c r="G1474" s="72" t="s">
        <v>1648</v>
      </c>
    </row>
    <row r="1475" spans="1:7" x14ac:dyDescent="0.2">
      <c r="A1475" s="5" t="s">
        <v>1649</v>
      </c>
      <c r="B1475" s="6" t="s">
        <v>36</v>
      </c>
      <c r="C1475" s="6" t="s">
        <v>1645</v>
      </c>
      <c r="D1475" s="72" t="str">
        <f t="shared" si="26"/>
        <v>MIX_O_h</v>
      </c>
      <c r="E1475" s="72">
        <v>148</v>
      </c>
      <c r="F1475" s="72" t="s">
        <v>82</v>
      </c>
      <c r="G1475" s="72" t="s">
        <v>1667</v>
      </c>
    </row>
    <row r="1476" spans="1:7" x14ac:dyDescent="0.2">
      <c r="A1476" s="5" t="s">
        <v>1649</v>
      </c>
      <c r="B1476" s="6" t="s">
        <v>27</v>
      </c>
      <c r="C1476" s="6" t="s">
        <v>1645</v>
      </c>
      <c r="D1476" s="72" t="str">
        <f t="shared" si="26"/>
        <v>MIX_S_h</v>
      </c>
      <c r="E1476" s="72">
        <v>148</v>
      </c>
      <c r="F1476" s="72" t="s">
        <v>63</v>
      </c>
      <c r="G1476" s="72" t="s">
        <v>1673</v>
      </c>
    </row>
    <row r="1477" spans="1:7" x14ac:dyDescent="0.2">
      <c r="A1477" s="5" t="s">
        <v>1649</v>
      </c>
      <c r="B1477" s="6" t="s">
        <v>33</v>
      </c>
      <c r="C1477" s="6" t="s">
        <v>1645</v>
      </c>
      <c r="D1477" s="72" t="str">
        <f t="shared" si="26"/>
        <v>MIX_V_h</v>
      </c>
      <c r="E1477" s="72">
        <v>148</v>
      </c>
      <c r="F1477" s="72" t="s">
        <v>39</v>
      </c>
      <c r="G1477" s="72" t="s">
        <v>1659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6D43-E403-6642-9B04-A2216D8529AF}">
  <dimension ref="A1:H397"/>
  <sheetViews>
    <sheetView workbookViewId="0"/>
  </sheetViews>
  <sheetFormatPr baseColWidth="10" defaultColWidth="10.83203125" defaultRowHeight="18" x14ac:dyDescent="0.2"/>
  <cols>
    <col min="1" max="1" width="10.83203125" style="21"/>
    <col min="2" max="2" width="9.6640625" style="22" customWidth="1"/>
    <col min="3" max="3" width="10.83203125" style="21" customWidth="1"/>
    <col min="4" max="4" width="10.83203125" style="22"/>
    <col min="5" max="5" width="10.83203125" style="21"/>
    <col min="6" max="6" width="10.83203125" style="22"/>
    <col min="7" max="7" width="10.83203125" style="21" customWidth="1"/>
    <col min="8" max="8" width="10.83203125" style="22" customWidth="1"/>
    <col min="9" max="16384" width="10.83203125" style="21"/>
  </cols>
  <sheetData>
    <row r="1" spans="1:8" x14ac:dyDescent="0.2">
      <c r="A1" s="21" t="s">
        <v>2301</v>
      </c>
      <c r="B1" s="22" t="s">
        <v>165</v>
      </c>
      <c r="C1" s="21" t="s">
        <v>3409</v>
      </c>
      <c r="D1" s="22" t="s">
        <v>1443</v>
      </c>
      <c r="E1" s="21" t="s">
        <v>3230</v>
      </c>
      <c r="F1" s="22" t="s">
        <v>1246</v>
      </c>
      <c r="G1" s="21" t="s">
        <v>2952</v>
      </c>
      <c r="H1" s="22" t="s">
        <v>930</v>
      </c>
    </row>
    <row r="2" spans="1:8" x14ac:dyDescent="0.2">
      <c r="A2" s="21" t="s">
        <v>3558</v>
      </c>
      <c r="B2" s="22" t="s">
        <v>1620</v>
      </c>
      <c r="C2" s="21" t="s">
        <v>2859</v>
      </c>
      <c r="D2" s="22" t="s">
        <v>805</v>
      </c>
      <c r="E2" s="21" t="s">
        <v>2259</v>
      </c>
      <c r="F2" s="22" t="s">
        <v>114</v>
      </c>
      <c r="G2" s="21" t="s">
        <v>2419</v>
      </c>
      <c r="H2" s="22" t="s">
        <v>310</v>
      </c>
    </row>
    <row r="3" spans="1:8" x14ac:dyDescent="0.2">
      <c r="A3" s="21" t="s">
        <v>2364</v>
      </c>
      <c r="B3" s="22" t="s">
        <v>246</v>
      </c>
      <c r="C3" s="21" t="s">
        <v>2286</v>
      </c>
      <c r="D3" s="22" t="s">
        <v>138</v>
      </c>
      <c r="E3" s="21" t="s">
        <v>3266</v>
      </c>
      <c r="F3" s="22" t="s">
        <v>1286</v>
      </c>
      <c r="G3" s="21" t="s">
        <v>2591</v>
      </c>
      <c r="H3" s="22" t="s">
        <v>492</v>
      </c>
    </row>
    <row r="4" spans="1:8" x14ac:dyDescent="0.2">
      <c r="A4" s="21" t="s">
        <v>3296</v>
      </c>
      <c r="B4" s="22" t="s">
        <v>1306</v>
      </c>
      <c r="C4" s="21" t="s">
        <v>2541</v>
      </c>
      <c r="D4" s="22" t="s">
        <v>434</v>
      </c>
      <c r="E4" s="21" t="s">
        <v>3054</v>
      </c>
      <c r="F4" s="22" t="s">
        <v>1049</v>
      </c>
      <c r="G4" s="21" t="s">
        <v>3004</v>
      </c>
      <c r="H4" s="22" t="s">
        <v>982</v>
      </c>
    </row>
    <row r="5" spans="1:8" x14ac:dyDescent="0.2">
      <c r="A5" s="21" t="s">
        <v>2866</v>
      </c>
      <c r="B5" s="22" t="s">
        <v>815</v>
      </c>
      <c r="C5" s="21" t="s">
        <v>3325</v>
      </c>
      <c r="D5" s="22" t="s">
        <v>1349</v>
      </c>
      <c r="E5" s="21" t="s">
        <v>2852</v>
      </c>
      <c r="F5" s="22" t="s">
        <v>808</v>
      </c>
      <c r="G5" s="21" t="s">
        <v>2929</v>
      </c>
      <c r="H5" s="22" t="s">
        <v>890</v>
      </c>
    </row>
    <row r="6" spans="1:8" x14ac:dyDescent="0.2">
      <c r="A6" s="21" t="s">
        <v>3352</v>
      </c>
      <c r="B6" s="22" t="s">
        <v>1372</v>
      </c>
      <c r="C6" s="21" t="s">
        <v>3487</v>
      </c>
      <c r="D6" s="22" t="s">
        <v>1555</v>
      </c>
      <c r="E6" s="21" t="s">
        <v>3162</v>
      </c>
      <c r="F6" s="22" t="s">
        <v>1168</v>
      </c>
      <c r="G6" s="21" t="s">
        <v>2599</v>
      </c>
      <c r="H6" s="22" t="s">
        <v>505</v>
      </c>
    </row>
    <row r="7" spans="1:8" x14ac:dyDescent="0.2">
      <c r="A7" s="21" t="s">
        <v>3494</v>
      </c>
      <c r="B7" s="22" t="s">
        <v>1552</v>
      </c>
      <c r="C7" s="21" t="s">
        <v>3149</v>
      </c>
      <c r="D7" s="22" t="s">
        <v>1152</v>
      </c>
      <c r="E7" s="21" t="s">
        <v>2920</v>
      </c>
      <c r="F7" s="22" t="s">
        <v>874</v>
      </c>
      <c r="G7" s="21" t="s">
        <v>2363</v>
      </c>
      <c r="H7" s="22" t="s">
        <v>242</v>
      </c>
    </row>
    <row r="8" spans="1:8" x14ac:dyDescent="0.2">
      <c r="A8" s="21" t="s">
        <v>2293</v>
      </c>
      <c r="B8" s="22" t="s">
        <v>151</v>
      </c>
      <c r="C8" s="21" t="s">
        <v>3401</v>
      </c>
      <c r="D8" s="22" t="s">
        <v>1428</v>
      </c>
      <c r="E8" s="21" t="s">
        <v>3007</v>
      </c>
      <c r="F8" s="22" t="s">
        <v>979</v>
      </c>
      <c r="G8" s="21" t="s">
        <v>3267</v>
      </c>
      <c r="H8" s="22" t="s">
        <v>1289</v>
      </c>
    </row>
    <row r="9" spans="1:8" x14ac:dyDescent="0.2">
      <c r="A9" s="21" t="s">
        <v>2890</v>
      </c>
      <c r="B9" s="22" t="s">
        <v>841</v>
      </c>
      <c r="C9" s="21" t="s">
        <v>2990</v>
      </c>
      <c r="D9" s="22" t="s">
        <v>963</v>
      </c>
      <c r="E9" s="21" t="s">
        <v>2442</v>
      </c>
      <c r="F9" s="22" t="s">
        <v>333</v>
      </c>
      <c r="G9" s="21" t="s">
        <v>2782</v>
      </c>
      <c r="H9" s="22" t="s">
        <v>719</v>
      </c>
    </row>
    <row r="10" spans="1:8" x14ac:dyDescent="0.2">
      <c r="A10" s="21" t="s">
        <v>2755</v>
      </c>
      <c r="B10" s="22" t="s">
        <v>682</v>
      </c>
      <c r="C10" s="21" t="s">
        <v>2736</v>
      </c>
      <c r="D10" s="22" t="s">
        <v>659</v>
      </c>
      <c r="E10" s="21" t="s">
        <v>3310</v>
      </c>
      <c r="F10" s="22" t="s">
        <v>1326</v>
      </c>
      <c r="G10" s="21" t="s">
        <v>2475</v>
      </c>
      <c r="H10" s="22" t="s">
        <v>375</v>
      </c>
    </row>
    <row r="11" spans="1:8" x14ac:dyDescent="0.2">
      <c r="A11" s="25"/>
      <c r="B11" s="26"/>
      <c r="C11" s="25"/>
      <c r="D11" s="26"/>
      <c r="E11" s="25"/>
      <c r="F11" s="26"/>
      <c r="G11" s="25"/>
      <c r="H11" s="26"/>
    </row>
    <row r="12" spans="1:8" x14ac:dyDescent="0.2">
      <c r="A12" s="21" t="s">
        <v>2886</v>
      </c>
      <c r="B12" s="22" t="s">
        <v>842</v>
      </c>
      <c r="C12" s="21" t="s">
        <v>2421</v>
      </c>
      <c r="D12" s="22" t="s">
        <v>304</v>
      </c>
      <c r="E12" s="21" t="s">
        <v>2769</v>
      </c>
      <c r="F12" s="22" t="s">
        <v>702</v>
      </c>
      <c r="G12" s="21" t="s">
        <v>2774</v>
      </c>
      <c r="H12" s="22" t="s">
        <v>706</v>
      </c>
    </row>
    <row r="13" spans="1:8" x14ac:dyDescent="0.2">
      <c r="A13" s="21" t="s">
        <v>2735</v>
      </c>
      <c r="B13" s="22" t="s">
        <v>656</v>
      </c>
      <c r="C13" s="21" t="s">
        <v>2174</v>
      </c>
      <c r="D13" s="22" t="s">
        <v>40</v>
      </c>
      <c r="E13" s="21" t="s">
        <v>2999</v>
      </c>
      <c r="F13" s="22" t="s">
        <v>980</v>
      </c>
      <c r="G13" s="21" t="s">
        <v>2320</v>
      </c>
      <c r="H13" s="22" t="s">
        <v>188</v>
      </c>
    </row>
    <row r="14" spans="1:8" x14ac:dyDescent="0.2">
      <c r="A14" s="21" t="s">
        <v>2580</v>
      </c>
      <c r="B14" s="22" t="s">
        <v>483</v>
      </c>
      <c r="C14" s="21" t="s">
        <v>2529</v>
      </c>
      <c r="D14" s="22" t="s">
        <v>421</v>
      </c>
      <c r="E14" s="21" t="s">
        <v>2658</v>
      </c>
      <c r="F14" s="22" t="s">
        <v>571</v>
      </c>
      <c r="G14" s="21" t="s">
        <v>2459</v>
      </c>
      <c r="H14" s="22" t="s">
        <v>349</v>
      </c>
    </row>
    <row r="15" spans="1:8" x14ac:dyDescent="0.2">
      <c r="A15" s="21" t="s">
        <v>2612</v>
      </c>
      <c r="B15" s="22" t="s">
        <v>509</v>
      </c>
      <c r="C15" s="21" t="s">
        <v>3353</v>
      </c>
      <c r="D15" s="22" t="s">
        <v>1375</v>
      </c>
      <c r="E15" s="21" t="s">
        <v>2514</v>
      </c>
      <c r="F15" s="22" t="s">
        <v>411</v>
      </c>
      <c r="G15" s="21" t="s">
        <v>3303</v>
      </c>
      <c r="H15" s="22" t="s">
        <v>1329</v>
      </c>
    </row>
    <row r="16" spans="1:8" x14ac:dyDescent="0.2">
      <c r="A16" s="21" t="s">
        <v>2652</v>
      </c>
      <c r="B16" s="22" t="s">
        <v>565</v>
      </c>
      <c r="C16" s="21" t="s">
        <v>2903</v>
      </c>
      <c r="D16" s="22" t="s">
        <v>857</v>
      </c>
      <c r="E16" s="21" t="s">
        <v>3472</v>
      </c>
      <c r="F16" s="22" t="s">
        <v>1526</v>
      </c>
      <c r="G16" s="21" t="s">
        <v>2531</v>
      </c>
      <c r="H16" s="22" t="s">
        <v>427</v>
      </c>
    </row>
    <row r="17" spans="1:8" x14ac:dyDescent="0.2">
      <c r="A17" s="21" t="s">
        <v>2544</v>
      </c>
      <c r="B17" s="22" t="s">
        <v>444</v>
      </c>
      <c r="C17" s="21" t="s">
        <v>3029</v>
      </c>
      <c r="D17" s="22" t="s">
        <v>1018</v>
      </c>
      <c r="E17" s="21" t="s">
        <v>2971</v>
      </c>
      <c r="F17" s="22" t="s">
        <v>940</v>
      </c>
      <c r="G17" s="21" t="s">
        <v>2527</v>
      </c>
      <c r="H17" s="22" t="s">
        <v>428</v>
      </c>
    </row>
    <row r="18" spans="1:8" x14ac:dyDescent="0.2">
      <c r="A18" s="21" t="s">
        <v>3164</v>
      </c>
      <c r="B18" s="22" t="s">
        <v>1162</v>
      </c>
      <c r="C18" s="21" t="s">
        <v>2649</v>
      </c>
      <c r="D18" s="22" t="s">
        <v>555</v>
      </c>
      <c r="E18" s="21" t="s">
        <v>2785</v>
      </c>
      <c r="F18" s="22" t="s">
        <v>716</v>
      </c>
      <c r="G18" s="21" t="s">
        <v>2909</v>
      </c>
      <c r="H18" s="22" t="s">
        <v>863</v>
      </c>
    </row>
    <row r="19" spans="1:8" x14ac:dyDescent="0.2">
      <c r="A19" s="21" t="s">
        <v>2906</v>
      </c>
      <c r="B19" s="22" t="s">
        <v>854</v>
      </c>
      <c r="C19" s="21" t="s">
        <v>3515</v>
      </c>
      <c r="D19" s="22" t="s">
        <v>1581</v>
      </c>
      <c r="E19" s="21" t="s">
        <v>3418</v>
      </c>
      <c r="F19" s="22" t="s">
        <v>1446</v>
      </c>
      <c r="G19" s="21" t="s">
        <v>2822</v>
      </c>
      <c r="H19" s="22" t="s">
        <v>759</v>
      </c>
    </row>
    <row r="20" spans="1:8" x14ac:dyDescent="0.2">
      <c r="A20" s="21" t="s">
        <v>2408</v>
      </c>
      <c r="B20" s="22" t="s">
        <v>288</v>
      </c>
      <c r="C20" s="21" t="s">
        <v>3273</v>
      </c>
      <c r="D20" s="22" t="s">
        <v>1283</v>
      </c>
      <c r="E20" s="21" t="s">
        <v>3461</v>
      </c>
      <c r="F20" s="22" t="s">
        <v>1513</v>
      </c>
      <c r="G20" s="21" t="s">
        <v>3119</v>
      </c>
      <c r="H20" s="22" t="s">
        <v>1118</v>
      </c>
    </row>
    <row r="21" spans="1:8" x14ac:dyDescent="0.2">
      <c r="A21" s="21" t="s">
        <v>2961</v>
      </c>
      <c r="B21" s="22" t="s">
        <v>934</v>
      </c>
      <c r="C21" s="21" t="s">
        <v>3201</v>
      </c>
      <c r="D21" s="22" t="s">
        <v>1204</v>
      </c>
      <c r="E21" s="21" t="s">
        <v>3134</v>
      </c>
      <c r="F21" s="22" t="s">
        <v>1142</v>
      </c>
      <c r="G21" s="21" t="s">
        <v>3135</v>
      </c>
      <c r="H21" s="22" t="s">
        <v>1145</v>
      </c>
    </row>
    <row r="22" spans="1:8" x14ac:dyDescent="0.2">
      <c r="A22" s="25"/>
      <c r="B22" s="26"/>
      <c r="C22" s="25"/>
      <c r="D22" s="26"/>
      <c r="E22" s="25"/>
      <c r="F22" s="26"/>
      <c r="G22" s="25"/>
      <c r="H22" s="26"/>
    </row>
    <row r="23" spans="1:8" x14ac:dyDescent="0.2">
      <c r="A23" s="21" t="s">
        <v>2922</v>
      </c>
      <c r="B23" s="22" t="s">
        <v>881</v>
      </c>
      <c r="C23" s="21" t="s">
        <v>2891</v>
      </c>
      <c r="D23" s="22" t="s">
        <v>844</v>
      </c>
      <c r="E23" s="21" t="s">
        <v>2267</v>
      </c>
      <c r="F23" s="22" t="s">
        <v>127</v>
      </c>
      <c r="G23" s="21" t="s">
        <v>2355</v>
      </c>
      <c r="H23" s="22" t="s">
        <v>243</v>
      </c>
    </row>
    <row r="24" spans="1:8" x14ac:dyDescent="0.2">
      <c r="A24" s="21" t="s">
        <v>2376</v>
      </c>
      <c r="B24" s="22" t="s">
        <v>259</v>
      </c>
      <c r="C24" s="21" t="s">
        <v>2445</v>
      </c>
      <c r="D24" s="22" t="s">
        <v>330</v>
      </c>
      <c r="E24" s="21" t="s">
        <v>3374</v>
      </c>
      <c r="F24" s="22" t="s">
        <v>1405</v>
      </c>
      <c r="G24" s="21" t="s">
        <v>3565</v>
      </c>
      <c r="H24" s="22" t="s">
        <v>1630</v>
      </c>
    </row>
    <row r="25" spans="1:8" x14ac:dyDescent="0.2">
      <c r="A25" s="21" t="s">
        <v>2548</v>
      </c>
      <c r="B25" s="22" t="s">
        <v>445</v>
      </c>
      <c r="C25" s="21" t="s">
        <v>2553</v>
      </c>
      <c r="D25" s="22" t="s">
        <v>447</v>
      </c>
      <c r="E25" s="21" t="s">
        <v>2482</v>
      </c>
      <c r="F25" s="22" t="s">
        <v>372</v>
      </c>
      <c r="G25" s="21" t="s">
        <v>3319</v>
      </c>
      <c r="H25" s="22" t="s">
        <v>1342</v>
      </c>
    </row>
    <row r="26" spans="1:8" x14ac:dyDescent="0.2">
      <c r="A26" s="21" t="s">
        <v>2644</v>
      </c>
      <c r="B26" s="22" t="s">
        <v>551</v>
      </c>
      <c r="C26" s="21" t="s">
        <v>3601</v>
      </c>
      <c r="D26" s="22" t="s">
        <v>1679</v>
      </c>
      <c r="E26" s="21" t="s">
        <v>2578</v>
      </c>
      <c r="F26" s="22" t="s">
        <v>476</v>
      </c>
      <c r="G26" s="21" t="s">
        <v>2220</v>
      </c>
      <c r="H26" s="22" t="s">
        <v>75</v>
      </c>
    </row>
    <row r="27" spans="1:8" x14ac:dyDescent="0.2">
      <c r="A27" s="21" t="s">
        <v>2412</v>
      </c>
      <c r="B27" s="22" t="s">
        <v>301</v>
      </c>
      <c r="C27" s="21" t="s">
        <v>3551</v>
      </c>
      <c r="D27" s="22" t="s">
        <v>1694</v>
      </c>
      <c r="E27" s="21" t="s">
        <v>3238</v>
      </c>
      <c r="F27" s="22" t="s">
        <v>1247</v>
      </c>
      <c r="G27" s="21" t="s">
        <v>3087</v>
      </c>
      <c r="H27" s="22" t="s">
        <v>1092</v>
      </c>
    </row>
    <row r="28" spans="1:8" x14ac:dyDescent="0.2">
      <c r="A28" s="21" t="s">
        <v>3328</v>
      </c>
      <c r="B28" s="22" t="s">
        <v>1346</v>
      </c>
      <c r="C28" s="21" t="s">
        <v>2533</v>
      </c>
      <c r="D28" s="22" t="s">
        <v>435</v>
      </c>
      <c r="E28" s="21" t="s">
        <v>2386</v>
      </c>
      <c r="F28" s="22" t="s">
        <v>266</v>
      </c>
      <c r="G28" s="21" t="s">
        <v>2256</v>
      </c>
      <c r="H28" s="22" t="s">
        <v>117</v>
      </c>
    </row>
    <row r="29" spans="1:8" x14ac:dyDescent="0.2">
      <c r="A29" s="21" t="s">
        <v>2894</v>
      </c>
      <c r="B29" s="22" t="s">
        <v>843</v>
      </c>
      <c r="C29" s="21" t="s">
        <v>2629</v>
      </c>
      <c r="D29" s="22" t="s">
        <v>540</v>
      </c>
      <c r="E29" s="21" t="s">
        <v>2924</v>
      </c>
      <c r="F29" s="22" t="s">
        <v>887</v>
      </c>
      <c r="G29" s="21" t="s">
        <v>3263</v>
      </c>
      <c r="H29" s="22" t="s">
        <v>1276</v>
      </c>
    </row>
    <row r="30" spans="1:8" x14ac:dyDescent="0.2">
      <c r="A30" s="21" t="s">
        <v>3040</v>
      </c>
      <c r="B30" s="22" t="s">
        <v>1028</v>
      </c>
      <c r="C30" s="21" t="s">
        <v>2226</v>
      </c>
      <c r="D30" s="22" t="s">
        <v>65</v>
      </c>
      <c r="E30" s="21" t="s">
        <v>2470</v>
      </c>
      <c r="F30" s="22" t="s">
        <v>359</v>
      </c>
      <c r="G30" s="21" t="s">
        <v>3287</v>
      </c>
      <c r="H30" s="22" t="s">
        <v>1302</v>
      </c>
    </row>
    <row r="31" spans="1:8" x14ac:dyDescent="0.2">
      <c r="A31" s="21" t="s">
        <v>2516</v>
      </c>
      <c r="B31" s="22" t="s">
        <v>405</v>
      </c>
      <c r="C31" s="21" t="s">
        <v>3389</v>
      </c>
      <c r="D31" s="22" t="s">
        <v>1415</v>
      </c>
      <c r="E31" s="21" t="s">
        <v>3082</v>
      </c>
      <c r="F31" s="22" t="s">
        <v>1076</v>
      </c>
      <c r="G31" s="21" t="s">
        <v>3421</v>
      </c>
      <c r="H31" s="22" t="s">
        <v>1462</v>
      </c>
    </row>
    <row r="32" spans="1:8" x14ac:dyDescent="0.2">
      <c r="A32" s="23" t="s">
        <v>3280</v>
      </c>
      <c r="B32" s="22" t="s">
        <v>1293</v>
      </c>
      <c r="C32" s="21" t="s">
        <v>3563</v>
      </c>
      <c r="D32" s="22" t="s">
        <v>1623</v>
      </c>
      <c r="E32" s="21" t="s">
        <v>2434</v>
      </c>
      <c r="F32" s="22" t="s">
        <v>320</v>
      </c>
      <c r="G32" s="21" t="s">
        <v>2798</v>
      </c>
      <c r="H32" s="22" t="s">
        <v>733</v>
      </c>
    </row>
    <row r="33" spans="1:8" x14ac:dyDescent="0.2">
      <c r="B33" s="26"/>
      <c r="C33" s="25"/>
      <c r="D33" s="26"/>
      <c r="E33" s="25"/>
      <c r="F33" s="26"/>
      <c r="G33" s="25"/>
      <c r="H33" s="26"/>
    </row>
    <row r="34" spans="1:8" x14ac:dyDescent="0.2">
      <c r="A34" s="21" t="s">
        <v>3300</v>
      </c>
      <c r="B34" s="22" t="s">
        <v>1319</v>
      </c>
      <c r="C34" s="21" t="s">
        <v>2175</v>
      </c>
      <c r="D34" s="22" t="s">
        <v>1456</v>
      </c>
      <c r="E34" s="21" t="s">
        <v>2422</v>
      </c>
      <c r="F34" s="22" t="s">
        <v>307</v>
      </c>
      <c r="G34" s="21" t="s">
        <v>2563</v>
      </c>
      <c r="H34" s="22" t="s">
        <v>466</v>
      </c>
    </row>
    <row r="35" spans="1:8" x14ac:dyDescent="0.2">
      <c r="A35" s="21" t="s">
        <v>3348</v>
      </c>
      <c r="B35" s="22" t="s">
        <v>1373</v>
      </c>
      <c r="C35" s="21" t="s">
        <v>3105</v>
      </c>
      <c r="D35" s="22" t="s">
        <v>1099</v>
      </c>
      <c r="E35" s="21" t="s">
        <v>3003</v>
      </c>
      <c r="F35" s="22" t="s">
        <v>981</v>
      </c>
      <c r="G35" s="21" t="s">
        <v>3079</v>
      </c>
      <c r="H35" s="22" t="s">
        <v>1079</v>
      </c>
    </row>
    <row r="36" spans="1:8" x14ac:dyDescent="0.2">
      <c r="A36" s="21" t="s">
        <v>3416</v>
      </c>
      <c r="B36" s="22" t="s">
        <v>1440</v>
      </c>
      <c r="C36" s="21" t="s">
        <v>3177</v>
      </c>
      <c r="D36" s="22" t="s">
        <v>1178</v>
      </c>
      <c r="E36" s="21" t="s">
        <v>2717</v>
      </c>
      <c r="F36" s="22" t="s">
        <v>649</v>
      </c>
      <c r="G36" s="21" t="s">
        <v>2407</v>
      </c>
      <c r="H36" s="22" t="s">
        <v>297</v>
      </c>
    </row>
    <row r="37" spans="1:8" x14ac:dyDescent="0.2">
      <c r="A37" s="21" t="s">
        <v>2953</v>
      </c>
      <c r="B37" s="22" t="s">
        <v>921</v>
      </c>
      <c r="C37" s="21" t="s">
        <v>3317</v>
      </c>
      <c r="D37" s="22" t="s">
        <v>1336</v>
      </c>
      <c r="E37" s="21" t="s">
        <v>3182</v>
      </c>
      <c r="F37" s="22" t="s">
        <v>1194</v>
      </c>
      <c r="G37" s="21" t="s">
        <v>3331</v>
      </c>
      <c r="H37" s="22" t="s">
        <v>1355</v>
      </c>
    </row>
    <row r="38" spans="1:8" x14ac:dyDescent="0.2">
      <c r="A38" s="21" t="s">
        <v>2576</v>
      </c>
      <c r="B38" s="22" t="s">
        <v>470</v>
      </c>
      <c r="C38" s="21" t="s">
        <v>3393</v>
      </c>
      <c r="D38" s="22" t="s">
        <v>1416</v>
      </c>
      <c r="E38" s="21" t="s">
        <v>3262</v>
      </c>
      <c r="F38" s="22" t="s">
        <v>1273</v>
      </c>
      <c r="G38" s="21" t="s">
        <v>3095</v>
      </c>
      <c r="H38" s="22" t="s">
        <v>1093</v>
      </c>
    </row>
    <row r="39" spans="1:8" x14ac:dyDescent="0.2">
      <c r="A39" s="21" t="s">
        <v>2221</v>
      </c>
      <c r="B39" s="22" t="s">
        <v>60</v>
      </c>
      <c r="C39" s="21" t="s">
        <v>2549</v>
      </c>
      <c r="D39" s="22" t="s">
        <v>448</v>
      </c>
      <c r="E39" s="21" t="s">
        <v>2697</v>
      </c>
      <c r="F39" s="22" t="s">
        <v>623</v>
      </c>
      <c r="G39" s="21" t="s">
        <v>2976</v>
      </c>
      <c r="H39" s="22" t="s">
        <v>956</v>
      </c>
    </row>
    <row r="40" spans="1:8" x14ac:dyDescent="0.2">
      <c r="A40" s="21" t="s">
        <v>3048</v>
      </c>
      <c r="B40" s="22" t="s">
        <v>1043</v>
      </c>
      <c r="C40" s="21" t="s">
        <v>3157</v>
      </c>
      <c r="D40" s="22" t="s">
        <v>1165</v>
      </c>
      <c r="E40" s="21" t="s">
        <v>2745</v>
      </c>
      <c r="F40" s="22" t="s">
        <v>675</v>
      </c>
      <c r="G40" s="21" t="s">
        <v>3323</v>
      </c>
      <c r="H40" s="22" t="s">
        <v>1343</v>
      </c>
    </row>
    <row r="41" spans="1:8" x14ac:dyDescent="0.2">
      <c r="A41" s="21" t="s">
        <v>3463</v>
      </c>
      <c r="B41" s="22" t="s">
        <v>1507</v>
      </c>
      <c r="C41" s="21" t="s">
        <v>3137</v>
      </c>
      <c r="D41" s="22" t="s">
        <v>1139</v>
      </c>
      <c r="E41" s="21" t="s">
        <v>2721</v>
      </c>
      <c r="F41" s="22" t="s">
        <v>650</v>
      </c>
      <c r="G41" s="21" t="s">
        <v>3485</v>
      </c>
      <c r="H41" s="22" t="s">
        <v>1546</v>
      </c>
    </row>
    <row r="42" spans="1:8" x14ac:dyDescent="0.2">
      <c r="A42" s="21" t="s">
        <v>2448</v>
      </c>
      <c r="B42" s="22" t="s">
        <v>340</v>
      </c>
      <c r="C42" s="21" t="s">
        <v>2788</v>
      </c>
      <c r="D42" s="22" t="s">
        <v>726</v>
      </c>
      <c r="E42" s="21" t="s">
        <v>2450</v>
      </c>
      <c r="F42" s="22" t="s">
        <v>346</v>
      </c>
      <c r="G42" s="21" t="s">
        <v>2885</v>
      </c>
      <c r="H42" s="22" t="s">
        <v>837</v>
      </c>
    </row>
    <row r="43" spans="1:8" x14ac:dyDescent="0.2">
      <c r="A43" s="23" t="s">
        <v>3304</v>
      </c>
      <c r="B43" s="24" t="s">
        <v>1320</v>
      </c>
      <c r="C43" s="23" t="s">
        <v>2680</v>
      </c>
      <c r="D43" s="24" t="s">
        <v>607</v>
      </c>
      <c r="E43" s="23" t="s">
        <v>3457</v>
      </c>
      <c r="F43" s="24" t="s">
        <v>1500</v>
      </c>
      <c r="G43" s="23" t="s">
        <v>3155</v>
      </c>
      <c r="H43" s="24" t="s">
        <v>1158</v>
      </c>
    </row>
    <row r="44" spans="1:8" x14ac:dyDescent="0.2">
      <c r="A44" s="21" t="s">
        <v>3467</v>
      </c>
      <c r="B44" s="22" t="s">
        <v>1508</v>
      </c>
      <c r="C44" s="21" t="s">
        <v>3337</v>
      </c>
      <c r="D44" s="22" t="s">
        <v>1362</v>
      </c>
      <c r="E44" s="21" t="s">
        <v>3366</v>
      </c>
      <c r="F44" s="22" t="s">
        <v>1391</v>
      </c>
      <c r="G44" s="21" t="s">
        <v>3207</v>
      </c>
      <c r="H44" s="22" t="s">
        <v>1223</v>
      </c>
    </row>
    <row r="45" spans="1:8" x14ac:dyDescent="0.2">
      <c r="A45" s="21" t="s">
        <v>3012</v>
      </c>
      <c r="B45" s="22" t="s">
        <v>999</v>
      </c>
      <c r="C45" s="21" t="s">
        <v>3305</v>
      </c>
      <c r="D45" s="22" t="s">
        <v>1322</v>
      </c>
      <c r="E45" s="21" t="s">
        <v>3544</v>
      </c>
      <c r="F45" s="22" t="s">
        <v>1613</v>
      </c>
      <c r="G45" s="21" t="s">
        <v>3458</v>
      </c>
      <c r="H45" s="22" t="s">
        <v>1503</v>
      </c>
    </row>
    <row r="46" spans="1:8" x14ac:dyDescent="0.2">
      <c r="A46" s="21" t="s">
        <v>2870</v>
      </c>
      <c r="B46" s="22" t="s">
        <v>816</v>
      </c>
      <c r="C46" s="21" t="s">
        <v>3241</v>
      </c>
      <c r="D46" s="22" t="s">
        <v>1257</v>
      </c>
      <c r="E46" s="21" t="s">
        <v>3246</v>
      </c>
      <c r="F46" s="22" t="s">
        <v>1260</v>
      </c>
      <c r="G46" s="21" t="s">
        <v>3493</v>
      </c>
      <c r="H46" s="22" t="s">
        <v>1561</v>
      </c>
    </row>
    <row r="47" spans="1:8" x14ac:dyDescent="0.2">
      <c r="A47" s="21" t="s">
        <v>3600</v>
      </c>
      <c r="B47" s="22" t="s">
        <v>1676</v>
      </c>
      <c r="C47" s="21" t="s">
        <v>3417</v>
      </c>
      <c r="D47" s="22" t="s">
        <v>1444</v>
      </c>
      <c r="E47" s="21" t="s">
        <v>2888</v>
      </c>
      <c r="F47" s="22" t="s">
        <v>847</v>
      </c>
      <c r="G47" s="21" t="s">
        <v>2583</v>
      </c>
      <c r="H47" s="22" t="s">
        <v>493</v>
      </c>
    </row>
    <row r="48" spans="1:8" x14ac:dyDescent="0.2">
      <c r="A48" s="21" t="s">
        <v>2436</v>
      </c>
      <c r="B48" s="22" t="s">
        <v>327</v>
      </c>
      <c r="C48" s="21" t="s">
        <v>3245</v>
      </c>
      <c r="D48" s="22" t="s">
        <v>1258</v>
      </c>
      <c r="E48" s="21" t="s">
        <v>2502</v>
      </c>
      <c r="F48" s="22" t="s">
        <v>398</v>
      </c>
      <c r="G48" s="21" t="s">
        <v>2248</v>
      </c>
      <c r="H48" s="22" t="s">
        <v>104</v>
      </c>
    </row>
    <row r="49" spans="1:8" x14ac:dyDescent="0.2">
      <c r="A49" s="21" t="s">
        <v>2309</v>
      </c>
      <c r="B49" s="22" t="s">
        <v>166</v>
      </c>
      <c r="C49" s="21" t="s">
        <v>2176</v>
      </c>
      <c r="D49" s="22" t="s">
        <v>594</v>
      </c>
      <c r="E49" s="21" t="s">
        <v>2410</v>
      </c>
      <c r="F49" s="22" t="s">
        <v>294</v>
      </c>
      <c r="G49" s="21" t="s">
        <v>3335</v>
      </c>
      <c r="H49" s="22" t="s">
        <v>1356</v>
      </c>
    </row>
    <row r="50" spans="1:8" x14ac:dyDescent="0.2">
      <c r="A50" s="21" t="s">
        <v>2636</v>
      </c>
      <c r="B50" s="22" t="s">
        <v>537</v>
      </c>
      <c r="C50" s="21" t="s">
        <v>2609</v>
      </c>
      <c r="D50" s="22" t="s">
        <v>512</v>
      </c>
      <c r="E50" s="21" t="s">
        <v>2908</v>
      </c>
      <c r="F50" s="22" t="s">
        <v>860</v>
      </c>
      <c r="G50" s="21" t="s">
        <v>2663</v>
      </c>
      <c r="H50" s="22" t="s">
        <v>574</v>
      </c>
    </row>
    <row r="51" spans="1:8" x14ac:dyDescent="0.2">
      <c r="A51" s="21" t="s">
        <v>3332</v>
      </c>
      <c r="B51" s="22" t="s">
        <v>1347</v>
      </c>
      <c r="C51" s="21" t="s">
        <v>3277</v>
      </c>
      <c r="D51" s="22" t="s">
        <v>1296</v>
      </c>
      <c r="E51" s="21" t="s">
        <v>2959</v>
      </c>
      <c r="F51" s="22" t="s">
        <v>927</v>
      </c>
      <c r="G51" s="21" t="s">
        <v>2682</v>
      </c>
      <c r="H51" s="22" t="s">
        <v>613</v>
      </c>
    </row>
    <row r="52" spans="1:8" x14ac:dyDescent="0.2">
      <c r="A52" s="21" t="s">
        <v>2819</v>
      </c>
      <c r="B52" s="22" t="s">
        <v>750</v>
      </c>
      <c r="C52" s="21" t="s">
        <v>2696</v>
      </c>
      <c r="D52" s="22" t="s">
        <v>620</v>
      </c>
      <c r="E52" s="21" t="s">
        <v>2466</v>
      </c>
      <c r="F52" s="22" t="s">
        <v>360</v>
      </c>
      <c r="G52" s="21" t="s">
        <v>2873</v>
      </c>
      <c r="H52" s="22" t="s">
        <v>824</v>
      </c>
    </row>
    <row r="53" spans="1:8" x14ac:dyDescent="0.2">
      <c r="A53" s="21" t="s">
        <v>2624</v>
      </c>
      <c r="B53" s="22" t="s">
        <v>524</v>
      </c>
      <c r="C53" s="21" t="s">
        <v>2597</v>
      </c>
      <c r="D53" s="22" t="s">
        <v>499</v>
      </c>
      <c r="E53" s="21" t="s">
        <v>2199</v>
      </c>
      <c r="F53" s="22" t="s">
        <v>782</v>
      </c>
      <c r="G53" s="21" t="s">
        <v>2830</v>
      </c>
      <c r="H53" s="22" t="s">
        <v>772</v>
      </c>
    </row>
    <row r="54" spans="1:8" x14ac:dyDescent="0.2">
      <c r="A54" s="25"/>
      <c r="B54" s="26"/>
      <c r="C54" s="25"/>
      <c r="D54" s="26"/>
      <c r="E54" s="25"/>
      <c r="F54" s="26"/>
      <c r="G54" s="25"/>
      <c r="H54" s="26"/>
    </row>
    <row r="55" spans="1:8" x14ac:dyDescent="0.2">
      <c r="A55" s="21" t="s">
        <v>2731</v>
      </c>
      <c r="B55" s="22" t="s">
        <v>657</v>
      </c>
      <c r="C55" s="21" t="s">
        <v>2465</v>
      </c>
      <c r="D55" s="22" t="s">
        <v>356</v>
      </c>
      <c r="E55" s="21" t="s">
        <v>3298</v>
      </c>
      <c r="F55" s="22" t="s">
        <v>1312</v>
      </c>
      <c r="G55" s="21" t="s">
        <v>2841</v>
      </c>
      <c r="H55" s="22" t="s">
        <v>798</v>
      </c>
    </row>
    <row r="56" spans="1:8" x14ac:dyDescent="0.2">
      <c r="A56" s="21" t="s">
        <v>3016</v>
      </c>
      <c r="B56" s="22" t="s">
        <v>1000</v>
      </c>
      <c r="C56" s="21" t="s">
        <v>2457</v>
      </c>
      <c r="D56" s="22" t="s">
        <v>343</v>
      </c>
      <c r="E56" s="21" t="s">
        <v>2749</v>
      </c>
      <c r="F56" s="22" t="s">
        <v>676</v>
      </c>
      <c r="G56" s="21" t="s">
        <v>3139</v>
      </c>
      <c r="H56" s="22" t="s">
        <v>1146</v>
      </c>
    </row>
    <row r="57" spans="1:8" x14ac:dyDescent="0.2">
      <c r="A57" s="21" t="s">
        <v>2560</v>
      </c>
      <c r="B57" s="22" t="s">
        <v>457</v>
      </c>
      <c r="C57" s="21" t="s">
        <v>2601</v>
      </c>
      <c r="D57" s="22" t="s">
        <v>500</v>
      </c>
      <c r="E57" s="21" t="s">
        <v>2602</v>
      </c>
      <c r="F57" s="22" t="s">
        <v>502</v>
      </c>
      <c r="G57" s="21" t="s">
        <v>2690</v>
      </c>
      <c r="H57" s="22" t="s">
        <v>614</v>
      </c>
    </row>
    <row r="58" spans="1:8" x14ac:dyDescent="0.2">
      <c r="A58" s="21" t="s">
        <v>3526</v>
      </c>
      <c r="B58" s="22" t="s">
        <v>1594</v>
      </c>
      <c r="C58" s="21" t="s">
        <v>2832</v>
      </c>
      <c r="D58" s="22" t="s">
        <v>766</v>
      </c>
      <c r="E58" s="21" t="s">
        <v>2983</v>
      </c>
      <c r="F58" s="22" t="s">
        <v>953</v>
      </c>
      <c r="G58" s="21" t="s">
        <v>2455</v>
      </c>
      <c r="H58" s="22" t="s">
        <v>350</v>
      </c>
    </row>
    <row r="59" spans="1:8" x14ac:dyDescent="0.2">
      <c r="A59" s="21" t="s">
        <v>3252</v>
      </c>
      <c r="B59" s="22" t="s">
        <v>1267</v>
      </c>
      <c r="C59" s="21" t="s">
        <v>2851</v>
      </c>
      <c r="D59" s="22" t="s">
        <v>806</v>
      </c>
      <c r="E59" s="21" t="s">
        <v>2951</v>
      </c>
      <c r="F59" s="22" t="s">
        <v>928</v>
      </c>
      <c r="G59" s="21" t="s">
        <v>3055</v>
      </c>
      <c r="H59" s="22" t="s">
        <v>1052</v>
      </c>
    </row>
    <row r="60" spans="1:8" x14ac:dyDescent="0.2">
      <c r="A60" s="21" t="s">
        <v>2496</v>
      </c>
      <c r="B60" s="22" t="s">
        <v>392</v>
      </c>
      <c r="C60" s="21" t="s">
        <v>2302</v>
      </c>
      <c r="D60" s="22" t="s">
        <v>169</v>
      </c>
      <c r="E60" s="21" t="s">
        <v>2884</v>
      </c>
      <c r="F60" s="22" t="s">
        <v>834</v>
      </c>
      <c r="G60" s="21" t="s">
        <v>2835</v>
      </c>
      <c r="H60" s="22" t="s">
        <v>785</v>
      </c>
    </row>
    <row r="61" spans="1:8" x14ac:dyDescent="0.2">
      <c r="A61" s="21" t="s">
        <v>3160</v>
      </c>
      <c r="B61" s="22" t="s">
        <v>1163</v>
      </c>
      <c r="C61" s="21" t="s">
        <v>2326</v>
      </c>
      <c r="D61" s="22" t="s">
        <v>195</v>
      </c>
      <c r="E61" s="21" t="s">
        <v>2462</v>
      </c>
      <c r="F61" s="22" t="s">
        <v>361</v>
      </c>
      <c r="G61" s="21" t="s">
        <v>3059</v>
      </c>
      <c r="H61" s="22" t="s">
        <v>1054</v>
      </c>
    </row>
    <row r="62" spans="1:8" x14ac:dyDescent="0.2">
      <c r="A62" s="21" t="s">
        <v>3020</v>
      </c>
      <c r="B62" s="22" t="s">
        <v>1001</v>
      </c>
      <c r="C62" s="21" t="s">
        <v>2525</v>
      </c>
      <c r="D62" s="22" t="s">
        <v>422</v>
      </c>
      <c r="E62" s="21" t="s">
        <v>2331</v>
      </c>
      <c r="F62" s="22" t="s">
        <v>198</v>
      </c>
      <c r="G62" s="21" t="s">
        <v>2627</v>
      </c>
      <c r="H62" s="22" t="s">
        <v>533</v>
      </c>
    </row>
    <row r="63" spans="1:8" x14ac:dyDescent="0.2">
      <c r="A63" s="21" t="s">
        <v>2937</v>
      </c>
      <c r="B63" s="22" t="s">
        <v>908</v>
      </c>
      <c r="C63" s="21" t="s">
        <v>2744</v>
      </c>
      <c r="D63" s="22" t="s">
        <v>672</v>
      </c>
      <c r="E63" s="21" t="s">
        <v>2757</v>
      </c>
      <c r="F63" s="22" t="s">
        <v>688</v>
      </c>
      <c r="G63" s="21" t="s">
        <v>3010</v>
      </c>
      <c r="H63" s="22" t="s">
        <v>995</v>
      </c>
    </row>
    <row r="64" spans="1:8" x14ac:dyDescent="0.2">
      <c r="A64" s="23" t="s">
        <v>3510</v>
      </c>
      <c r="B64" s="22" t="s">
        <v>1578</v>
      </c>
      <c r="C64" s="21" t="s">
        <v>2724</v>
      </c>
      <c r="D64" s="22" t="s">
        <v>646</v>
      </c>
      <c r="E64" s="21" t="s">
        <v>3254</v>
      </c>
      <c r="F64" s="22" t="s">
        <v>1274</v>
      </c>
      <c r="G64" s="21" t="s">
        <v>3123</v>
      </c>
      <c r="H64" s="22" t="s">
        <v>1131</v>
      </c>
    </row>
    <row r="65" spans="1:8" x14ac:dyDescent="0.2">
      <c r="B65" s="26"/>
      <c r="C65" s="25"/>
      <c r="D65" s="26"/>
      <c r="E65" s="25"/>
      <c r="F65" s="26"/>
      <c r="G65" s="25"/>
      <c r="H65" s="26"/>
    </row>
    <row r="66" spans="1:8" x14ac:dyDescent="0.2">
      <c r="A66" s="21" t="s">
        <v>2795</v>
      </c>
      <c r="B66" s="22" t="s">
        <v>723</v>
      </c>
      <c r="C66" s="21" t="s">
        <v>2998</v>
      </c>
      <c r="D66" s="22" t="s">
        <v>976</v>
      </c>
      <c r="E66" s="21" t="s">
        <v>2741</v>
      </c>
      <c r="F66" s="22" t="s">
        <v>677</v>
      </c>
      <c r="G66" s="21" t="s">
        <v>3115</v>
      </c>
      <c r="H66" s="22" t="s">
        <v>1119</v>
      </c>
    </row>
    <row r="67" spans="1:8" x14ac:dyDescent="0.2">
      <c r="A67" s="21" t="s">
        <v>2556</v>
      </c>
      <c r="B67" s="22" t="s">
        <v>458</v>
      </c>
      <c r="C67" s="21" t="s">
        <v>3413</v>
      </c>
      <c r="D67" s="22" t="s">
        <v>1445</v>
      </c>
      <c r="E67" s="21" t="s">
        <v>3186</v>
      </c>
      <c r="F67" s="22" t="s">
        <v>1195</v>
      </c>
      <c r="G67" s="21" t="s">
        <v>2328</v>
      </c>
      <c r="H67" s="22" t="s">
        <v>201</v>
      </c>
    </row>
    <row r="68" spans="1:8" x14ac:dyDescent="0.2">
      <c r="A68" s="21" t="s">
        <v>2460</v>
      </c>
      <c r="B68" s="22" t="s">
        <v>353</v>
      </c>
      <c r="C68" s="21" t="s">
        <v>2429</v>
      </c>
      <c r="D68" s="22" t="s">
        <v>317</v>
      </c>
      <c r="E68" s="21" t="s">
        <v>2200</v>
      </c>
      <c r="F68" s="22" t="s">
        <v>783</v>
      </c>
      <c r="G68" s="21" t="s">
        <v>2214</v>
      </c>
      <c r="H68" s="22" t="s">
        <v>53</v>
      </c>
    </row>
    <row r="69" spans="1:8" x14ac:dyDescent="0.2">
      <c r="A69" s="21" t="s">
        <v>3478</v>
      </c>
      <c r="B69" s="22" t="s">
        <v>1533</v>
      </c>
      <c r="C69" s="21" t="s">
        <v>3341</v>
      </c>
      <c r="D69" s="22" t="s">
        <v>1363</v>
      </c>
      <c r="E69" s="21" t="s">
        <v>2402</v>
      </c>
      <c r="F69" s="22" t="s">
        <v>295</v>
      </c>
      <c r="G69" s="21" t="s">
        <v>2893</v>
      </c>
      <c r="H69" s="22" t="s">
        <v>850</v>
      </c>
    </row>
    <row r="70" spans="1:8" x14ac:dyDescent="0.2">
      <c r="A70" s="21" t="s">
        <v>2592</v>
      </c>
      <c r="B70" s="22" t="s">
        <v>496</v>
      </c>
      <c r="C70" s="21" t="s">
        <v>3061</v>
      </c>
      <c r="D70" s="22" t="s">
        <v>1060</v>
      </c>
      <c r="E70" s="21" t="s">
        <v>3286</v>
      </c>
      <c r="F70" s="22" t="s">
        <v>1299</v>
      </c>
      <c r="G70" s="21" t="s">
        <v>3243</v>
      </c>
      <c r="H70" s="22" t="s">
        <v>1263</v>
      </c>
    </row>
    <row r="71" spans="1:8" x14ac:dyDescent="0.2">
      <c r="A71" s="21" t="s">
        <v>3116</v>
      </c>
      <c r="B71" s="22" t="s">
        <v>1109</v>
      </c>
      <c r="C71" s="21" t="s">
        <v>3133</v>
      </c>
      <c r="D71" s="22" t="s">
        <v>1140</v>
      </c>
      <c r="E71" s="21" t="s">
        <v>3441</v>
      </c>
      <c r="F71" s="22" t="s">
        <v>1487</v>
      </c>
      <c r="G71" s="21" t="s">
        <v>2427</v>
      </c>
      <c r="H71" s="22" t="s">
        <v>323</v>
      </c>
    </row>
    <row r="72" spans="1:8" x14ac:dyDescent="0.2">
      <c r="A72" s="21" t="s">
        <v>2779</v>
      </c>
      <c r="B72" s="22" t="s">
        <v>710</v>
      </c>
      <c r="C72" s="21" t="s">
        <v>2867</v>
      </c>
      <c r="D72" s="22" t="s">
        <v>818</v>
      </c>
      <c r="E72" s="21" t="s">
        <v>3484</v>
      </c>
      <c r="F72" s="22" t="s">
        <v>1541</v>
      </c>
      <c r="G72" s="21" t="s">
        <v>3549</v>
      </c>
      <c r="H72" s="22" t="s">
        <v>1703</v>
      </c>
    </row>
    <row r="73" spans="1:8" x14ac:dyDescent="0.2">
      <c r="A73" s="21" t="s">
        <v>3408</v>
      </c>
      <c r="B73" s="22" t="s">
        <v>1441</v>
      </c>
      <c r="C73" s="21" t="s">
        <v>3125</v>
      </c>
      <c r="D73" s="22" t="s">
        <v>1125</v>
      </c>
      <c r="E73" s="21" t="s">
        <v>3504</v>
      </c>
      <c r="F73" s="22" t="s">
        <v>1571</v>
      </c>
      <c r="G73" s="21" t="s">
        <v>2567</v>
      </c>
      <c r="H73" s="22" t="s">
        <v>467</v>
      </c>
    </row>
    <row r="74" spans="1:8" x14ac:dyDescent="0.2">
      <c r="A74" s="21" t="s">
        <v>2197</v>
      </c>
      <c r="B74" s="22" t="s">
        <v>776</v>
      </c>
      <c r="C74" s="21" t="s">
        <v>2177</v>
      </c>
      <c r="D74" s="22" t="s">
        <v>595</v>
      </c>
      <c r="E74" s="21" t="s">
        <v>3274</v>
      </c>
      <c r="F74" s="22" t="s">
        <v>1287</v>
      </c>
      <c r="G74" s="21" t="s">
        <v>2236</v>
      </c>
      <c r="H74" s="22" t="s">
        <v>91</v>
      </c>
    </row>
    <row r="75" spans="1:8" x14ac:dyDescent="0.2">
      <c r="A75" s="21" t="s">
        <v>2508</v>
      </c>
      <c r="B75" s="22" t="s">
        <v>406</v>
      </c>
      <c r="C75" s="21" t="s">
        <v>2911</v>
      </c>
      <c r="D75" s="22" t="s">
        <v>871</v>
      </c>
      <c r="E75" s="21" t="s">
        <v>2295</v>
      </c>
      <c r="F75" s="22" t="s">
        <v>157</v>
      </c>
      <c r="G75" s="21" t="s">
        <v>3295</v>
      </c>
      <c r="H75" s="22" t="s">
        <v>1315</v>
      </c>
    </row>
    <row r="76" spans="1:8" x14ac:dyDescent="0.2">
      <c r="A76" s="25"/>
      <c r="B76" s="26"/>
      <c r="C76" s="25"/>
      <c r="D76" s="26"/>
      <c r="E76" s="25"/>
      <c r="F76" s="26"/>
      <c r="G76" s="25"/>
      <c r="H76" s="26"/>
    </row>
    <row r="77" spans="1:8" x14ac:dyDescent="0.2">
      <c r="A77" s="21" t="s">
        <v>3554</v>
      </c>
      <c r="B77" s="22" t="s">
        <v>1689</v>
      </c>
      <c r="C77" s="21" t="s">
        <v>2839</v>
      </c>
      <c r="D77" s="22" t="s">
        <v>792</v>
      </c>
      <c r="E77" s="21" t="s">
        <v>2805</v>
      </c>
      <c r="F77" s="22" t="s">
        <v>743</v>
      </c>
      <c r="G77" s="21" t="s">
        <v>3420</v>
      </c>
      <c r="H77" s="22" t="s">
        <v>1463</v>
      </c>
    </row>
    <row r="78" spans="1:8" x14ac:dyDescent="0.2">
      <c r="A78" s="21" t="s">
        <v>2608</v>
      </c>
      <c r="B78" s="22" t="s">
        <v>510</v>
      </c>
      <c r="C78" s="21" t="s">
        <v>2306</v>
      </c>
      <c r="D78" s="22" t="s">
        <v>170</v>
      </c>
      <c r="E78" s="21" t="s">
        <v>2275</v>
      </c>
      <c r="F78" s="22" t="s">
        <v>129</v>
      </c>
      <c r="G78" s="21" t="s">
        <v>2667</v>
      </c>
      <c r="H78" s="22" t="s">
        <v>587</v>
      </c>
    </row>
    <row r="79" spans="1:8" x14ac:dyDescent="0.2">
      <c r="A79" s="21" t="s">
        <v>3344</v>
      </c>
      <c r="B79" s="22" t="s">
        <v>1359</v>
      </c>
      <c r="C79" s="21" t="s">
        <v>2497</v>
      </c>
      <c r="D79" s="22" t="s">
        <v>395</v>
      </c>
      <c r="E79" s="21" t="s">
        <v>3014</v>
      </c>
      <c r="F79" s="22" t="s">
        <v>1006</v>
      </c>
      <c r="G79" s="21" t="s">
        <v>2215</v>
      </c>
      <c r="H79" s="22" t="s">
        <v>55</v>
      </c>
    </row>
    <row r="80" spans="1:8" x14ac:dyDescent="0.2">
      <c r="A80" s="21" t="s">
        <v>3596</v>
      </c>
      <c r="B80" s="22" t="s">
        <v>1677</v>
      </c>
      <c r="C80" s="21" t="s">
        <v>2254</v>
      </c>
      <c r="D80" s="22" t="s">
        <v>111</v>
      </c>
      <c r="E80" s="21" t="s">
        <v>2594</v>
      </c>
      <c r="F80" s="22" t="s">
        <v>503</v>
      </c>
      <c r="G80" s="21" t="s">
        <v>2857</v>
      </c>
      <c r="H80" s="22" t="s">
        <v>811</v>
      </c>
    </row>
    <row r="81" spans="1:8" x14ac:dyDescent="0.2">
      <c r="A81" s="21" t="s">
        <v>2396</v>
      </c>
      <c r="B81" s="22" t="s">
        <v>273</v>
      </c>
      <c r="C81" s="21" t="s">
        <v>2919</v>
      </c>
      <c r="D81" s="22" t="s">
        <v>872</v>
      </c>
      <c r="E81" s="21" t="s">
        <v>3469</v>
      </c>
      <c r="F81" s="22" t="s">
        <v>1514</v>
      </c>
      <c r="G81" s="21" t="s">
        <v>2968</v>
      </c>
      <c r="H81" s="22" t="s">
        <v>943</v>
      </c>
    </row>
    <row r="82" spans="1:8" x14ac:dyDescent="0.2">
      <c r="A82" s="21" t="s">
        <v>2257</v>
      </c>
      <c r="B82" s="22" t="s">
        <v>108</v>
      </c>
      <c r="C82" s="21" t="s">
        <v>2593</v>
      </c>
      <c r="D82" s="22" t="s">
        <v>501</v>
      </c>
      <c r="E82" s="21" t="s">
        <v>2991</v>
      </c>
      <c r="F82" s="22" t="s">
        <v>966</v>
      </c>
      <c r="G82" s="21" t="s">
        <v>2499</v>
      </c>
      <c r="H82" s="22" t="s">
        <v>401</v>
      </c>
    </row>
    <row r="83" spans="1:8" x14ac:dyDescent="0.2">
      <c r="A83" s="21" t="s">
        <v>2918</v>
      </c>
      <c r="B83" s="22" t="s">
        <v>867</v>
      </c>
      <c r="C83" s="21" t="s">
        <v>3041</v>
      </c>
      <c r="D83" s="22" t="s">
        <v>1031</v>
      </c>
      <c r="E83" s="21" t="s">
        <v>2979</v>
      </c>
      <c r="F83" s="22" t="s">
        <v>954</v>
      </c>
      <c r="G83" s="21" t="s">
        <v>2411</v>
      </c>
      <c r="H83" s="22" t="s">
        <v>298</v>
      </c>
    </row>
    <row r="84" spans="1:8" x14ac:dyDescent="0.2">
      <c r="A84" s="21" t="s">
        <v>2317</v>
      </c>
      <c r="B84" s="22" t="s">
        <v>179</v>
      </c>
      <c r="C84" s="21" t="s">
        <v>3249</v>
      </c>
      <c r="D84" s="22" t="s">
        <v>1259</v>
      </c>
      <c r="E84" s="21" t="s">
        <v>2201</v>
      </c>
      <c r="F84" s="22" t="s">
        <v>212</v>
      </c>
      <c r="G84" s="21" t="s">
        <v>2992</v>
      </c>
      <c r="H84" s="22" t="s">
        <v>969</v>
      </c>
    </row>
    <row r="85" spans="1:8" x14ac:dyDescent="0.2">
      <c r="A85" s="21" t="s">
        <v>3001</v>
      </c>
      <c r="B85" s="22" t="s">
        <v>973</v>
      </c>
      <c r="C85" s="21" t="s">
        <v>3049</v>
      </c>
      <c r="D85" s="22" t="s">
        <v>1046</v>
      </c>
      <c r="E85" s="21" t="s">
        <v>2622</v>
      </c>
      <c r="F85" s="22" t="s">
        <v>530</v>
      </c>
      <c r="G85" s="21" t="s">
        <v>2300</v>
      </c>
      <c r="H85" s="22" t="s">
        <v>160</v>
      </c>
    </row>
    <row r="86" spans="1:8" x14ac:dyDescent="0.2">
      <c r="A86" s="23" t="s">
        <v>2949</v>
      </c>
      <c r="B86" s="24" t="s">
        <v>922</v>
      </c>
      <c r="C86" s="23" t="s">
        <v>2772</v>
      </c>
      <c r="D86" s="24" t="s">
        <v>698</v>
      </c>
      <c r="E86" s="23" t="s">
        <v>3318</v>
      </c>
      <c r="F86" s="24" t="s">
        <v>1339</v>
      </c>
      <c r="G86" s="23" t="s">
        <v>2264</v>
      </c>
      <c r="H86" s="24" t="s">
        <v>118</v>
      </c>
    </row>
    <row r="87" spans="1:8" x14ac:dyDescent="0.2">
      <c r="A87" s="21" t="s">
        <v>3546</v>
      </c>
      <c r="B87" s="22" t="s">
        <v>1690</v>
      </c>
      <c r="C87" s="21" t="s">
        <v>2453</v>
      </c>
      <c r="D87" s="22" t="s">
        <v>344</v>
      </c>
      <c r="E87" s="21" t="s">
        <v>2817</v>
      </c>
      <c r="F87" s="22" t="s">
        <v>756</v>
      </c>
      <c r="G87" s="21" t="s">
        <v>3291</v>
      </c>
      <c r="H87" s="22" t="s">
        <v>1316</v>
      </c>
    </row>
    <row r="88" spans="1:8" x14ac:dyDescent="0.2">
      <c r="A88" s="21" t="s">
        <v>3474</v>
      </c>
      <c r="B88" s="22" t="s">
        <v>1535</v>
      </c>
      <c r="C88" s="21" t="s">
        <v>2469</v>
      </c>
      <c r="D88" s="22" t="s">
        <v>357</v>
      </c>
      <c r="E88" s="21" t="s">
        <v>3402</v>
      </c>
      <c r="F88" s="22" t="s">
        <v>1432</v>
      </c>
      <c r="G88" s="21" t="s">
        <v>2635</v>
      </c>
      <c r="H88" s="22" t="s">
        <v>547</v>
      </c>
    </row>
    <row r="89" spans="1:8" x14ac:dyDescent="0.2">
      <c r="A89" s="21" t="s">
        <v>3180</v>
      </c>
      <c r="B89" s="22" t="s">
        <v>1188</v>
      </c>
      <c r="C89" s="21" t="s">
        <v>2234</v>
      </c>
      <c r="D89" s="22" t="s">
        <v>84</v>
      </c>
      <c r="E89" s="21" t="s">
        <v>2478</v>
      </c>
      <c r="F89" s="22" t="s">
        <v>373</v>
      </c>
      <c r="G89" s="21" t="s">
        <v>3391</v>
      </c>
      <c r="H89" s="22" t="s">
        <v>1421</v>
      </c>
    </row>
    <row r="90" spans="1:8" x14ac:dyDescent="0.2">
      <c r="A90" s="21" t="s">
        <v>3088</v>
      </c>
      <c r="B90" s="22" t="s">
        <v>1083</v>
      </c>
      <c r="C90" s="21" t="s">
        <v>2178</v>
      </c>
      <c r="D90" s="22" t="s">
        <v>596</v>
      </c>
      <c r="E90" s="21" t="s">
        <v>3414</v>
      </c>
      <c r="F90" s="22" t="s">
        <v>1447</v>
      </c>
      <c r="G90" s="21" t="s">
        <v>2351</v>
      </c>
      <c r="H90" s="22" t="s">
        <v>229</v>
      </c>
    </row>
    <row r="91" spans="1:8" x14ac:dyDescent="0.2">
      <c r="A91" s="21" t="s">
        <v>3005</v>
      </c>
      <c r="B91" s="22" t="s">
        <v>974</v>
      </c>
      <c r="C91" s="21" t="s">
        <v>3213</v>
      </c>
      <c r="D91" s="22" t="s">
        <v>1217</v>
      </c>
      <c r="E91" s="21" t="s">
        <v>2634</v>
      </c>
      <c r="F91" s="22" t="s">
        <v>543</v>
      </c>
      <c r="G91" s="21" t="s">
        <v>2639</v>
      </c>
      <c r="H91" s="22" t="s">
        <v>548</v>
      </c>
    </row>
    <row r="92" spans="1:8" x14ac:dyDescent="0.2">
      <c r="A92" s="21" t="s">
        <v>3220</v>
      </c>
      <c r="B92" s="22" t="s">
        <v>1227</v>
      </c>
      <c r="C92" s="21" t="s">
        <v>3543</v>
      </c>
      <c r="D92" s="22" t="s">
        <v>1610</v>
      </c>
      <c r="E92" s="21" t="s">
        <v>3210</v>
      </c>
      <c r="F92" s="22" t="s">
        <v>1220</v>
      </c>
      <c r="G92" s="21" t="s">
        <v>2734</v>
      </c>
      <c r="H92" s="22" t="s">
        <v>665</v>
      </c>
    </row>
    <row r="93" spans="1:8" x14ac:dyDescent="0.2">
      <c r="A93" s="21" t="s">
        <v>2842</v>
      </c>
      <c r="B93" s="22" t="s">
        <v>789</v>
      </c>
      <c r="C93" s="21" t="s">
        <v>2871</v>
      </c>
      <c r="D93" s="22" t="s">
        <v>819</v>
      </c>
      <c r="E93" s="21" t="s">
        <v>2662</v>
      </c>
      <c r="F93" s="22" t="s">
        <v>572</v>
      </c>
      <c r="G93" s="21" t="s">
        <v>3307</v>
      </c>
      <c r="H93" s="22" t="s">
        <v>1330</v>
      </c>
    </row>
    <row r="94" spans="1:8" x14ac:dyDescent="0.2">
      <c r="A94" s="21" t="s">
        <v>2204</v>
      </c>
      <c r="B94" s="22" t="s">
        <v>205</v>
      </c>
      <c r="C94" s="21" t="s">
        <v>2179</v>
      </c>
      <c r="D94" s="22" t="s">
        <v>209</v>
      </c>
      <c r="E94" s="21" t="s">
        <v>2202</v>
      </c>
      <c r="F94" s="22" t="s">
        <v>597</v>
      </c>
      <c r="G94" s="21" t="s">
        <v>3525</v>
      </c>
      <c r="H94" s="22" t="s">
        <v>1603</v>
      </c>
    </row>
    <row r="95" spans="1:8" x14ac:dyDescent="0.2">
      <c r="A95" s="21" t="s">
        <v>3172</v>
      </c>
      <c r="B95" s="22" t="s">
        <v>1175</v>
      </c>
      <c r="C95" s="21" t="s">
        <v>2692</v>
      </c>
      <c r="D95" s="22" t="s">
        <v>621</v>
      </c>
      <c r="E95" s="21" t="s">
        <v>3290</v>
      </c>
      <c r="F95" s="22" t="s">
        <v>1313</v>
      </c>
      <c r="G95" s="21" t="s">
        <v>2623</v>
      </c>
      <c r="H95" s="22" t="s">
        <v>534</v>
      </c>
    </row>
    <row r="96" spans="1:8" x14ac:dyDescent="0.2">
      <c r="A96" s="21" t="s">
        <v>2874</v>
      </c>
      <c r="B96" s="22" t="s">
        <v>828</v>
      </c>
      <c r="C96" s="21" t="s">
        <v>3089</v>
      </c>
      <c r="D96" s="22" t="s">
        <v>1086</v>
      </c>
      <c r="E96" s="21" t="s">
        <v>2458</v>
      </c>
      <c r="F96" s="22" t="s">
        <v>347</v>
      </c>
      <c r="G96" s="21" t="s">
        <v>3107</v>
      </c>
      <c r="H96" s="22" t="s">
        <v>1105</v>
      </c>
    </row>
    <row r="97" spans="1:8" x14ac:dyDescent="0.2">
      <c r="A97" s="25"/>
      <c r="B97" s="26"/>
      <c r="C97" s="25"/>
      <c r="D97" s="26"/>
      <c r="E97" s="25"/>
      <c r="F97" s="26"/>
      <c r="G97" s="25"/>
      <c r="H97" s="26"/>
    </row>
    <row r="98" spans="1:8" x14ac:dyDescent="0.2">
      <c r="A98" s="21" t="s">
        <v>2628</v>
      </c>
      <c r="B98" s="22" t="s">
        <v>538</v>
      </c>
      <c r="C98" s="21" t="s">
        <v>2357</v>
      </c>
      <c r="D98" s="22" t="s">
        <v>236</v>
      </c>
      <c r="E98" s="21" t="s">
        <v>2538</v>
      </c>
      <c r="F98" s="22" t="s">
        <v>437</v>
      </c>
      <c r="G98" s="21" t="s">
        <v>3462</v>
      </c>
      <c r="H98" s="22" t="s">
        <v>1516</v>
      </c>
    </row>
    <row r="99" spans="1:8" x14ac:dyDescent="0.2">
      <c r="A99" s="21" t="s">
        <v>3212</v>
      </c>
      <c r="B99" s="22" t="s">
        <v>1214</v>
      </c>
      <c r="C99" s="21" t="s">
        <v>2728</v>
      </c>
      <c r="D99" s="22" t="s">
        <v>660</v>
      </c>
      <c r="E99" s="21" t="s">
        <v>3130</v>
      </c>
      <c r="F99" s="22" t="s">
        <v>1128</v>
      </c>
      <c r="G99" s="21" t="s">
        <v>3187</v>
      </c>
      <c r="H99" s="22" t="s">
        <v>1197</v>
      </c>
    </row>
    <row r="100" spans="1:8" x14ac:dyDescent="0.2">
      <c r="A100" s="21" t="s">
        <v>3096</v>
      </c>
      <c r="B100" s="22" t="s">
        <v>1096</v>
      </c>
      <c r="C100" s="21" t="s">
        <v>3269</v>
      </c>
      <c r="D100" s="22" t="s">
        <v>1284</v>
      </c>
      <c r="E100" s="21" t="s">
        <v>2299</v>
      </c>
      <c r="F100" s="22" t="s">
        <v>158</v>
      </c>
      <c r="G100" s="21" t="s">
        <v>3008</v>
      </c>
      <c r="H100" s="22" t="s">
        <v>983</v>
      </c>
    </row>
    <row r="101" spans="1:8" x14ac:dyDescent="0.2">
      <c r="A101" s="21" t="s">
        <v>2771</v>
      </c>
      <c r="B101" s="22" t="s">
        <v>695</v>
      </c>
      <c r="C101" s="21" t="s">
        <v>2461</v>
      </c>
      <c r="D101" s="22" t="s">
        <v>358</v>
      </c>
      <c r="E101" s="21" t="s">
        <v>3476</v>
      </c>
      <c r="F101" s="22" t="s">
        <v>1542</v>
      </c>
      <c r="G101" s="21" t="s">
        <v>3557</v>
      </c>
      <c r="H101" s="22" t="s">
        <v>1704</v>
      </c>
    </row>
    <row r="102" spans="1:8" x14ac:dyDescent="0.2">
      <c r="A102" s="21" t="s">
        <v>3104</v>
      </c>
      <c r="B102" s="22" t="s">
        <v>1097</v>
      </c>
      <c r="C102" s="21" t="s">
        <v>3265</v>
      </c>
      <c r="D102" s="22" t="s">
        <v>1285</v>
      </c>
      <c r="E102" s="21" t="s">
        <v>2761</v>
      </c>
      <c r="F102" s="22" t="s">
        <v>689</v>
      </c>
      <c r="G102" s="21" t="s">
        <v>2849</v>
      </c>
      <c r="H102" s="22" t="s">
        <v>799</v>
      </c>
    </row>
    <row r="103" spans="1:8" x14ac:dyDescent="0.2">
      <c r="A103" s="21" t="s">
        <v>2930</v>
      </c>
      <c r="B103" s="22" t="s">
        <v>882</v>
      </c>
      <c r="C103" s="21" t="s">
        <v>2796</v>
      </c>
      <c r="D103" s="22" t="s">
        <v>727</v>
      </c>
      <c r="E103" s="21" t="s">
        <v>3294</v>
      </c>
      <c r="F103" s="22" t="s">
        <v>1314</v>
      </c>
      <c r="G103" s="21" t="s">
        <v>3470</v>
      </c>
      <c r="H103" s="22" t="s">
        <v>1517</v>
      </c>
    </row>
    <row r="104" spans="1:8" x14ac:dyDescent="0.2">
      <c r="A104" s="21" t="s">
        <v>2850</v>
      </c>
      <c r="B104" s="22" t="s">
        <v>802</v>
      </c>
      <c r="C104" s="21" t="s">
        <v>3113</v>
      </c>
      <c r="D104" s="22" t="s">
        <v>1112</v>
      </c>
      <c r="E104" s="21" t="s">
        <v>2574</v>
      </c>
      <c r="F104" s="22" t="s">
        <v>477</v>
      </c>
      <c r="G104" s="21" t="s">
        <v>3569</v>
      </c>
      <c r="H104" s="22" t="s">
        <v>1631</v>
      </c>
    </row>
    <row r="105" spans="1:8" x14ac:dyDescent="0.2">
      <c r="A105" s="21" t="s">
        <v>2568</v>
      </c>
      <c r="B105" s="22" t="s">
        <v>471</v>
      </c>
      <c r="C105" s="21" t="s">
        <v>2581</v>
      </c>
      <c r="D105" s="22" t="s">
        <v>486</v>
      </c>
      <c r="E105" s="21" t="s">
        <v>3528</v>
      </c>
      <c r="F105" s="22" t="s">
        <v>1600</v>
      </c>
      <c r="G105" s="21" t="s">
        <v>3179</v>
      </c>
      <c r="H105" s="22" t="s">
        <v>1184</v>
      </c>
    </row>
    <row r="106" spans="1:8" x14ac:dyDescent="0.2">
      <c r="A106" s="21" t="s">
        <v>2616</v>
      </c>
      <c r="B106" s="22" t="s">
        <v>525</v>
      </c>
      <c r="C106" s="21" t="s">
        <v>2334</v>
      </c>
      <c r="D106" s="22" t="s">
        <v>196</v>
      </c>
      <c r="E106" s="21" t="s">
        <v>2896</v>
      </c>
      <c r="F106" s="22" t="s">
        <v>848</v>
      </c>
      <c r="G106" s="21" t="s">
        <v>2339</v>
      </c>
      <c r="H106" s="22" t="s">
        <v>215</v>
      </c>
    </row>
    <row r="107" spans="1:8" x14ac:dyDescent="0.2">
      <c r="A107" s="21" t="s">
        <v>3268</v>
      </c>
      <c r="B107" s="22" t="s">
        <v>1280</v>
      </c>
      <c r="C107" s="21" t="s">
        <v>2820</v>
      </c>
      <c r="D107" s="22" t="s">
        <v>753</v>
      </c>
      <c r="E107" s="21" t="s">
        <v>2916</v>
      </c>
      <c r="F107" s="22" t="s">
        <v>875</v>
      </c>
      <c r="G107" s="21" t="s">
        <v>2228</v>
      </c>
      <c r="H107" s="22" t="s">
        <v>76</v>
      </c>
    </row>
    <row r="108" spans="1:8" x14ac:dyDescent="0.2">
      <c r="A108" s="25"/>
      <c r="B108" s="26"/>
      <c r="C108" s="25"/>
      <c r="D108" s="26"/>
      <c r="E108" s="25"/>
      <c r="F108" s="26"/>
      <c r="G108" s="25"/>
      <c r="H108" s="26"/>
    </row>
    <row r="109" spans="1:8" x14ac:dyDescent="0.2">
      <c r="A109" s="21" t="s">
        <v>2281</v>
      </c>
      <c r="B109" s="22" t="s">
        <v>135</v>
      </c>
      <c r="C109" s="21" t="s">
        <v>2605</v>
      </c>
      <c r="D109" s="22" t="s">
        <v>514</v>
      </c>
      <c r="E109" s="21" t="s">
        <v>2287</v>
      </c>
      <c r="F109" s="22" t="s">
        <v>142</v>
      </c>
      <c r="G109" s="21" t="s">
        <v>3255</v>
      </c>
      <c r="H109" s="22" t="s">
        <v>1277</v>
      </c>
    </row>
    <row r="110" spans="1:8" x14ac:dyDescent="0.2">
      <c r="A110" s="21" t="s">
        <v>2973</v>
      </c>
      <c r="B110" s="22" t="s">
        <v>947</v>
      </c>
      <c r="C110" s="21" t="s">
        <v>2752</v>
      </c>
      <c r="D110" s="22" t="s">
        <v>685</v>
      </c>
      <c r="E110" s="21" t="s">
        <v>2777</v>
      </c>
      <c r="F110" s="22" t="s">
        <v>717</v>
      </c>
      <c r="G110" s="21" t="s">
        <v>3009</v>
      </c>
      <c r="H110" s="22" t="s">
        <v>996</v>
      </c>
    </row>
    <row r="111" spans="1:8" x14ac:dyDescent="0.2">
      <c r="A111" s="21" t="s">
        <v>3184</v>
      </c>
      <c r="B111" s="22" t="s">
        <v>1189</v>
      </c>
      <c r="C111" s="21" t="s">
        <v>2804</v>
      </c>
      <c r="D111" s="22" t="s">
        <v>740</v>
      </c>
      <c r="E111" s="21" t="s">
        <v>3362</v>
      </c>
      <c r="F111" s="22" t="s">
        <v>1392</v>
      </c>
      <c r="G111" s="21" t="s">
        <v>2677</v>
      </c>
      <c r="H111" s="22" t="s">
        <v>600</v>
      </c>
    </row>
    <row r="112" spans="1:8" x14ac:dyDescent="0.2">
      <c r="A112" s="21" t="s">
        <v>2759</v>
      </c>
      <c r="B112" s="22" t="s">
        <v>683</v>
      </c>
      <c r="C112" s="21" t="s">
        <v>3085</v>
      </c>
      <c r="D112" s="22" t="s">
        <v>1087</v>
      </c>
      <c r="E112" s="21" t="s">
        <v>3338</v>
      </c>
      <c r="F112" s="22" t="s">
        <v>1365</v>
      </c>
      <c r="G112" s="21" t="s">
        <v>2746</v>
      </c>
      <c r="H112" s="22" t="s">
        <v>678</v>
      </c>
    </row>
    <row r="113" spans="1:8" x14ac:dyDescent="0.2">
      <c r="A113" s="21" t="s">
        <v>3316</v>
      </c>
      <c r="B113" s="22" t="s">
        <v>1333</v>
      </c>
      <c r="C113" s="21" t="s">
        <v>2353</v>
      </c>
      <c r="D113" s="22" t="s">
        <v>237</v>
      </c>
      <c r="E113" s="21" t="s">
        <v>3346</v>
      </c>
      <c r="F113" s="22" t="s">
        <v>1366</v>
      </c>
      <c r="G113" s="21" t="s">
        <v>3434</v>
      </c>
      <c r="H113" s="22" t="s">
        <v>1476</v>
      </c>
    </row>
    <row r="114" spans="1:8" x14ac:dyDescent="0.2">
      <c r="A114" s="21" t="s">
        <v>3396</v>
      </c>
      <c r="B114" s="22" t="s">
        <v>1425</v>
      </c>
      <c r="C114" s="21" t="s">
        <v>3237</v>
      </c>
      <c r="D114" s="22" t="s">
        <v>1243</v>
      </c>
      <c r="E114" s="21" t="s">
        <v>3234</v>
      </c>
      <c r="F114" s="22" t="s">
        <v>1248</v>
      </c>
      <c r="G114" s="21" t="s">
        <v>2467</v>
      </c>
      <c r="H114" s="22" t="s">
        <v>362</v>
      </c>
    </row>
    <row r="115" spans="1:8" x14ac:dyDescent="0.2">
      <c r="A115" s="21" t="s">
        <v>2600</v>
      </c>
      <c r="B115" s="22" t="s">
        <v>497</v>
      </c>
      <c r="C115" s="21" t="s">
        <v>2800</v>
      </c>
      <c r="D115" s="22" t="s">
        <v>741</v>
      </c>
      <c r="E115" s="21" t="s">
        <v>2813</v>
      </c>
      <c r="F115" s="22" t="s">
        <v>757</v>
      </c>
      <c r="G115" s="21" t="s">
        <v>2996</v>
      </c>
      <c r="H115" s="22" t="s">
        <v>970</v>
      </c>
    </row>
    <row r="116" spans="1:8" x14ac:dyDescent="0.2">
      <c r="A116" s="21" t="s">
        <v>2767</v>
      </c>
      <c r="B116" s="22" t="s">
        <v>696</v>
      </c>
      <c r="C116" s="21" t="s">
        <v>2970</v>
      </c>
      <c r="D116" s="22" t="s">
        <v>937</v>
      </c>
      <c r="E116" s="21" t="s">
        <v>2366</v>
      </c>
      <c r="F116" s="22" t="s">
        <v>252</v>
      </c>
      <c r="G116" s="21" t="s">
        <v>2940</v>
      </c>
      <c r="H116" s="22" t="s">
        <v>917</v>
      </c>
    </row>
    <row r="117" spans="1:8" x14ac:dyDescent="0.2">
      <c r="A117" s="21" t="s">
        <v>2536</v>
      </c>
      <c r="B117" s="22" t="s">
        <v>431</v>
      </c>
      <c r="C117" s="21" t="s">
        <v>2974</v>
      </c>
      <c r="D117" s="22" t="s">
        <v>950</v>
      </c>
      <c r="E117" s="21" t="s">
        <v>2307</v>
      </c>
      <c r="F117" s="22" t="s">
        <v>172</v>
      </c>
      <c r="G117" s="21" t="s">
        <v>3035</v>
      </c>
      <c r="H117" s="22" t="s">
        <v>1024</v>
      </c>
    </row>
    <row r="118" spans="1:8" x14ac:dyDescent="0.2">
      <c r="A118" s="21" t="s">
        <v>2858</v>
      </c>
      <c r="B118" s="22" t="s">
        <v>803</v>
      </c>
      <c r="C118" s="21" t="s">
        <v>2927</v>
      </c>
      <c r="D118" s="22" t="s">
        <v>884</v>
      </c>
      <c r="E118" s="21" t="s">
        <v>2725</v>
      </c>
      <c r="F118" s="22" t="s">
        <v>651</v>
      </c>
      <c r="G118" s="21" t="s">
        <v>2676</v>
      </c>
      <c r="H118" s="22" t="s">
        <v>601</v>
      </c>
    </row>
    <row r="119" spans="1:8" x14ac:dyDescent="0.2">
      <c r="A119" s="25"/>
      <c r="B119" s="26"/>
      <c r="C119" s="25"/>
      <c r="D119" s="26"/>
      <c r="E119" s="25"/>
      <c r="F119" s="26"/>
      <c r="G119" s="25"/>
      <c r="H119" s="26"/>
    </row>
    <row r="120" spans="1:8" x14ac:dyDescent="0.2">
      <c r="A120" s="21" t="s">
        <v>2149</v>
      </c>
      <c r="B120" s="22" t="s">
        <v>1453</v>
      </c>
      <c r="C120" s="21" t="s">
        <v>2847</v>
      </c>
      <c r="D120" s="22" t="s">
        <v>793</v>
      </c>
      <c r="E120" s="21" t="s">
        <v>3142</v>
      </c>
      <c r="F120" s="22" t="s">
        <v>1143</v>
      </c>
      <c r="G120" s="21" t="s">
        <v>3175</v>
      </c>
      <c r="H120" s="22" t="s">
        <v>1185</v>
      </c>
    </row>
    <row r="121" spans="1:8" x14ac:dyDescent="0.2">
      <c r="A121" s="21" t="s">
        <v>2854</v>
      </c>
      <c r="B121" s="22" t="s">
        <v>804</v>
      </c>
      <c r="C121" s="21" t="s">
        <v>2322</v>
      </c>
      <c r="D121" s="22" t="s">
        <v>182</v>
      </c>
      <c r="E121" s="21" t="s">
        <v>2303</v>
      </c>
      <c r="F121" s="22" t="s">
        <v>173</v>
      </c>
      <c r="G121" s="21" t="s">
        <v>3473</v>
      </c>
      <c r="H121" s="22" t="s">
        <v>1529</v>
      </c>
    </row>
    <row r="122" spans="1:8" x14ac:dyDescent="0.2">
      <c r="A122" s="21" t="s">
        <v>3384</v>
      </c>
      <c r="B122" s="22" t="s">
        <v>1412</v>
      </c>
      <c r="C122" s="21" t="s">
        <v>3597</v>
      </c>
      <c r="D122" s="22" t="s">
        <v>1680</v>
      </c>
      <c r="E122" s="21" t="s">
        <v>3070</v>
      </c>
      <c r="F122" s="22" t="s">
        <v>1063</v>
      </c>
      <c r="G122" s="21" t="s">
        <v>2216</v>
      </c>
      <c r="H122" s="22" t="s">
        <v>58</v>
      </c>
    </row>
    <row r="123" spans="1:8" x14ac:dyDescent="0.2">
      <c r="A123" s="21" t="s">
        <v>2723</v>
      </c>
      <c r="B123" s="22" t="s">
        <v>643</v>
      </c>
      <c r="C123" s="21" t="s">
        <v>3101</v>
      </c>
      <c r="D123" s="22" t="s">
        <v>1100</v>
      </c>
      <c r="E123" s="21" t="s">
        <v>2219</v>
      </c>
      <c r="F123" s="22" t="s">
        <v>71</v>
      </c>
      <c r="G123" s="21" t="s">
        <v>2675</v>
      </c>
      <c r="H123" s="22" t="s">
        <v>588</v>
      </c>
    </row>
    <row r="124" spans="1:8" x14ac:dyDescent="0.2">
      <c r="A124" s="21" t="s">
        <v>3562</v>
      </c>
      <c r="B124" s="22" t="s">
        <v>1621</v>
      </c>
      <c r="C124" s="21" t="s">
        <v>2180</v>
      </c>
      <c r="D124" s="22" t="s">
        <v>1523</v>
      </c>
      <c r="E124" s="21" t="s">
        <v>3378</v>
      </c>
      <c r="F124" s="22" t="s">
        <v>1406</v>
      </c>
      <c r="G124" s="21" t="s">
        <v>3438</v>
      </c>
      <c r="H124" s="22" t="s">
        <v>1490</v>
      </c>
    </row>
    <row r="125" spans="1:8" x14ac:dyDescent="0.2">
      <c r="A125" s="21" t="s">
        <v>2217</v>
      </c>
      <c r="B125" s="22" t="s">
        <v>62</v>
      </c>
      <c r="C125" s="21" t="s">
        <v>3321</v>
      </c>
      <c r="D125" s="22" t="s">
        <v>1337</v>
      </c>
      <c r="E125" s="21" t="s">
        <v>2430</v>
      </c>
      <c r="F125" s="22" t="s">
        <v>321</v>
      </c>
      <c r="G125" s="21" t="s">
        <v>2913</v>
      </c>
      <c r="H125" s="22" t="s">
        <v>877</v>
      </c>
    </row>
    <row r="126" spans="1:8" x14ac:dyDescent="0.2">
      <c r="A126" s="21" t="s">
        <v>2695</v>
      </c>
      <c r="B126" s="22" t="s">
        <v>617</v>
      </c>
      <c r="C126" s="21" t="s">
        <v>3189</v>
      </c>
      <c r="D126" s="22" t="s">
        <v>1191</v>
      </c>
      <c r="E126" s="21" t="s">
        <v>2650</v>
      </c>
      <c r="F126" s="22" t="s">
        <v>558</v>
      </c>
      <c r="G126" s="21" t="s">
        <v>2415</v>
      </c>
      <c r="H126" s="22" t="s">
        <v>311</v>
      </c>
    </row>
    <row r="127" spans="1:8" x14ac:dyDescent="0.2">
      <c r="A127" s="21" t="s">
        <v>3068</v>
      </c>
      <c r="B127" s="22" t="s">
        <v>1057</v>
      </c>
      <c r="C127" s="21" t="s">
        <v>3507</v>
      </c>
      <c r="D127" s="22" t="s">
        <v>1568</v>
      </c>
      <c r="E127" s="21" t="s">
        <v>2335</v>
      </c>
      <c r="F127" s="22" t="s">
        <v>199</v>
      </c>
      <c r="G127" s="21" t="s">
        <v>3426</v>
      </c>
      <c r="H127" s="22" t="s">
        <v>1477</v>
      </c>
    </row>
    <row r="128" spans="1:8" x14ac:dyDescent="0.2">
      <c r="A128" s="21" t="s">
        <v>2289</v>
      </c>
      <c r="B128" s="22" t="s">
        <v>152</v>
      </c>
      <c r="C128" s="21" t="s">
        <v>3567</v>
      </c>
      <c r="D128" s="22" t="s">
        <v>1624</v>
      </c>
      <c r="E128" s="21" t="s">
        <v>2654</v>
      </c>
      <c r="F128" s="22" t="s">
        <v>573</v>
      </c>
      <c r="G128" s="21" t="s">
        <v>3513</v>
      </c>
      <c r="H128" s="22" t="s">
        <v>1590</v>
      </c>
    </row>
    <row r="129" spans="1:8" x14ac:dyDescent="0.2">
      <c r="A129" s="23" t="s">
        <v>2572</v>
      </c>
      <c r="B129" s="24" t="s">
        <v>472</v>
      </c>
      <c r="C129" s="23" t="s">
        <v>2425</v>
      </c>
      <c r="D129" s="24" t="s">
        <v>318</v>
      </c>
      <c r="E129" s="23" t="s">
        <v>2610</v>
      </c>
      <c r="F129" s="24" t="s">
        <v>516</v>
      </c>
      <c r="G129" s="23" t="s">
        <v>3454</v>
      </c>
      <c r="H129" s="24" t="s">
        <v>1504</v>
      </c>
    </row>
    <row r="130" spans="1:8" x14ac:dyDescent="0.2">
      <c r="A130" s="21" t="s">
        <v>3376</v>
      </c>
      <c r="B130" s="22" t="s">
        <v>1399</v>
      </c>
      <c r="C130" s="21" t="s">
        <v>3593</v>
      </c>
      <c r="D130" s="22" t="s">
        <v>1681</v>
      </c>
      <c r="E130" s="21" t="s">
        <v>3398</v>
      </c>
      <c r="F130" s="22" t="s">
        <v>1433</v>
      </c>
      <c r="G130" s="21" t="s">
        <v>2383</v>
      </c>
      <c r="H130" s="22" t="s">
        <v>269</v>
      </c>
    </row>
    <row r="131" spans="1:8" x14ac:dyDescent="0.2">
      <c r="A131" s="21" t="s">
        <v>2424</v>
      </c>
      <c r="B131" s="22" t="s">
        <v>314</v>
      </c>
      <c r="C131" s="21" t="s">
        <v>2756</v>
      </c>
      <c r="D131" s="22" t="s">
        <v>686</v>
      </c>
      <c r="E131" s="21" t="s">
        <v>3050</v>
      </c>
      <c r="F131" s="22" t="s">
        <v>1050</v>
      </c>
      <c r="G131" s="21" t="s">
        <v>3279</v>
      </c>
      <c r="H131" s="22" t="s">
        <v>1303</v>
      </c>
    </row>
    <row r="132" spans="1:8" x14ac:dyDescent="0.2">
      <c r="A132" s="21" t="s">
        <v>3518</v>
      </c>
      <c r="B132" s="22" t="s">
        <v>1579</v>
      </c>
      <c r="C132" s="21" t="s">
        <v>3309</v>
      </c>
      <c r="D132" s="22" t="s">
        <v>1323</v>
      </c>
      <c r="E132" s="21" t="s">
        <v>2518</v>
      </c>
      <c r="F132" s="22" t="s">
        <v>412</v>
      </c>
      <c r="G132" s="21" t="s">
        <v>2678</v>
      </c>
      <c r="H132" s="22" t="s">
        <v>602</v>
      </c>
    </row>
    <row r="133" spans="1:8" x14ac:dyDescent="0.2">
      <c r="A133" s="21" t="s">
        <v>3435</v>
      </c>
      <c r="B133" s="22" t="s">
        <v>1480</v>
      </c>
      <c r="C133" s="21" t="s">
        <v>2657</v>
      </c>
      <c r="D133" s="22" t="s">
        <v>568</v>
      </c>
      <c r="E133" s="21" t="s">
        <v>2701</v>
      </c>
      <c r="F133" s="22" t="s">
        <v>624</v>
      </c>
      <c r="G133" s="21" t="s">
        <v>3211</v>
      </c>
      <c r="H133" s="22" t="s">
        <v>1224</v>
      </c>
    </row>
    <row r="134" spans="1:8" x14ac:dyDescent="0.2">
      <c r="A134" s="21" t="s">
        <v>2838</v>
      </c>
      <c r="B134" s="22" t="s">
        <v>790</v>
      </c>
      <c r="C134" s="21" t="s">
        <v>2477</v>
      </c>
      <c r="D134" s="22" t="s">
        <v>369</v>
      </c>
      <c r="E134" s="21" t="s">
        <v>3106</v>
      </c>
      <c r="F134" s="22" t="s">
        <v>1102</v>
      </c>
      <c r="G134" s="21" t="s">
        <v>3259</v>
      </c>
      <c r="H134" s="22" t="s">
        <v>1278</v>
      </c>
    </row>
    <row r="135" spans="1:8" x14ac:dyDescent="0.2">
      <c r="A135" s="21" t="s">
        <v>3168</v>
      </c>
      <c r="B135" s="22" t="s">
        <v>1176</v>
      </c>
      <c r="C135" s="21" t="s">
        <v>2345</v>
      </c>
      <c r="D135" s="22" t="s">
        <v>223</v>
      </c>
      <c r="E135" s="21" t="s">
        <v>2729</v>
      </c>
      <c r="F135" s="22" t="s">
        <v>662</v>
      </c>
      <c r="G135" s="21" t="s">
        <v>2491</v>
      </c>
      <c r="H135" s="22" t="s">
        <v>388</v>
      </c>
    </row>
    <row r="136" spans="1:8" x14ac:dyDescent="0.2">
      <c r="A136" s="21" t="s">
        <v>2668</v>
      </c>
      <c r="B136" s="22" t="s">
        <v>578</v>
      </c>
      <c r="C136" s="21" t="s">
        <v>3503</v>
      </c>
      <c r="D136" s="22" t="s">
        <v>1569</v>
      </c>
      <c r="E136" s="21" t="s">
        <v>2900</v>
      </c>
      <c r="F136" s="22" t="s">
        <v>861</v>
      </c>
      <c r="G136" s="21" t="s">
        <v>2790</v>
      </c>
      <c r="H136" s="22" t="s">
        <v>734</v>
      </c>
    </row>
    <row r="137" spans="1:8" x14ac:dyDescent="0.2">
      <c r="A137" s="21" t="s">
        <v>2151</v>
      </c>
      <c r="B137" s="22" t="s">
        <v>894</v>
      </c>
      <c r="C137" s="21" t="s">
        <v>3045</v>
      </c>
      <c r="D137" s="22" t="s">
        <v>1032</v>
      </c>
      <c r="E137" s="21" t="s">
        <v>3078</v>
      </c>
      <c r="F137" s="22" t="s">
        <v>1077</v>
      </c>
      <c r="G137" s="21" t="s">
        <v>2555</v>
      </c>
      <c r="H137" s="22" t="s">
        <v>453</v>
      </c>
    </row>
    <row r="138" spans="1:8" x14ac:dyDescent="0.2">
      <c r="A138" s="21" t="s">
        <v>3427</v>
      </c>
      <c r="B138" s="22" t="s">
        <v>1467</v>
      </c>
      <c r="C138" s="21" t="s">
        <v>2230</v>
      </c>
      <c r="D138" s="22" t="s">
        <v>86</v>
      </c>
      <c r="E138" s="21" t="s">
        <v>3358</v>
      </c>
      <c r="F138" s="22" t="s">
        <v>1378</v>
      </c>
      <c r="G138" s="21" t="s">
        <v>2714</v>
      </c>
      <c r="H138" s="22" t="s">
        <v>639</v>
      </c>
    </row>
    <row r="139" spans="1:8" x14ac:dyDescent="0.2">
      <c r="A139" s="21" t="s">
        <v>3490</v>
      </c>
      <c r="B139" s="22" t="s">
        <v>1553</v>
      </c>
      <c r="C139" s="21" t="s">
        <v>3077</v>
      </c>
      <c r="D139" s="22" t="s">
        <v>1073</v>
      </c>
      <c r="E139" s="21" t="s">
        <v>2346</v>
      </c>
      <c r="F139" s="22" t="s">
        <v>226</v>
      </c>
      <c r="G139" s="21" t="s">
        <v>3407</v>
      </c>
      <c r="H139" s="22" t="s">
        <v>1435</v>
      </c>
    </row>
    <row r="140" spans="1:8" x14ac:dyDescent="0.2">
      <c r="A140" s="25"/>
      <c r="B140" s="26"/>
      <c r="C140" s="25"/>
      <c r="D140" s="26"/>
      <c r="E140" s="25"/>
      <c r="F140" s="26"/>
      <c r="G140" s="25"/>
      <c r="H140" s="26"/>
    </row>
    <row r="141" spans="1:8" x14ac:dyDescent="0.2">
      <c r="A141" s="21" t="s">
        <v>3400</v>
      </c>
      <c r="B141" s="22" t="s">
        <v>1426</v>
      </c>
      <c r="C141" s="21" t="s">
        <v>2617</v>
      </c>
      <c r="D141" s="22" t="s">
        <v>527</v>
      </c>
      <c r="E141" s="21" t="s">
        <v>2311</v>
      </c>
      <c r="F141" s="22" t="s">
        <v>174</v>
      </c>
      <c r="G141" s="21" t="s">
        <v>3383</v>
      </c>
      <c r="H141" s="22" t="s">
        <v>1408</v>
      </c>
    </row>
    <row r="142" spans="1:8" x14ac:dyDescent="0.2">
      <c r="A142" s="21" t="s">
        <v>2945</v>
      </c>
      <c r="B142" s="22" t="s">
        <v>909</v>
      </c>
      <c r="C142" s="21" t="s">
        <v>3436</v>
      </c>
      <c r="D142" s="22" t="s">
        <v>1484</v>
      </c>
      <c r="E142" s="21" t="s">
        <v>3488</v>
      </c>
      <c r="F142" s="22" t="s">
        <v>1558</v>
      </c>
      <c r="G142" s="21" t="s">
        <v>2451</v>
      </c>
      <c r="H142" s="22" t="s">
        <v>351</v>
      </c>
    </row>
    <row r="143" spans="1:8" x14ac:dyDescent="0.2">
      <c r="A143" s="21" t="s">
        <v>2241</v>
      </c>
      <c r="B143" s="22" t="s">
        <v>95</v>
      </c>
      <c r="C143" s="21" t="s">
        <v>2625</v>
      </c>
      <c r="D143" s="22" t="s">
        <v>528</v>
      </c>
      <c r="E143" s="21" t="s">
        <v>2558</v>
      </c>
      <c r="F143" s="22" t="s">
        <v>463</v>
      </c>
      <c r="G143" s="21" t="s">
        <v>3031</v>
      </c>
      <c r="H143" s="22" t="s">
        <v>1025</v>
      </c>
    </row>
    <row r="144" spans="1:8" x14ac:dyDescent="0.2">
      <c r="A144" s="21" t="s">
        <v>2660</v>
      </c>
      <c r="B144" s="22" t="s">
        <v>566</v>
      </c>
      <c r="C144" s="21" t="s">
        <v>2181</v>
      </c>
      <c r="D144" s="22" t="s">
        <v>779</v>
      </c>
      <c r="E144" s="21" t="s">
        <v>2928</v>
      </c>
      <c r="F144" s="22" t="s">
        <v>888</v>
      </c>
      <c r="G144" s="21" t="s">
        <v>2479</v>
      </c>
      <c r="H144" s="22" t="s">
        <v>376</v>
      </c>
    </row>
    <row r="145" spans="1:8" x14ac:dyDescent="0.2">
      <c r="A145" s="21" t="s">
        <v>2997</v>
      </c>
      <c r="B145" s="22" t="s">
        <v>975</v>
      </c>
      <c r="C145" s="21" t="s">
        <v>3460</v>
      </c>
      <c r="D145" s="22" t="s">
        <v>1510</v>
      </c>
      <c r="E145" s="21" t="s">
        <v>3552</v>
      </c>
      <c r="F145" s="22" t="s">
        <v>1699</v>
      </c>
      <c r="G145" s="21" t="s">
        <v>3043</v>
      </c>
      <c r="H145" s="22" t="s">
        <v>1037</v>
      </c>
    </row>
    <row r="146" spans="1:8" x14ac:dyDescent="0.2">
      <c r="A146" s="21" t="s">
        <v>2154</v>
      </c>
      <c r="B146" s="22" t="s">
        <v>1454</v>
      </c>
      <c r="C146" s="21" t="s">
        <v>2589</v>
      </c>
      <c r="D146" s="22" t="s">
        <v>487</v>
      </c>
      <c r="E146" s="21" t="s">
        <v>2912</v>
      </c>
      <c r="F146" s="22" t="s">
        <v>876</v>
      </c>
      <c r="G146" s="21" t="s">
        <v>2905</v>
      </c>
      <c r="H146" s="22" t="s">
        <v>864</v>
      </c>
    </row>
    <row r="147" spans="1:8" x14ac:dyDescent="0.2">
      <c r="A147" s="21" t="s">
        <v>2253</v>
      </c>
      <c r="B147" s="22" t="s">
        <v>109</v>
      </c>
      <c r="C147" s="21" t="s">
        <v>2843</v>
      </c>
      <c r="D147" s="22" t="s">
        <v>794</v>
      </c>
      <c r="E147" s="21" t="s">
        <v>3122</v>
      </c>
      <c r="F147" s="22" t="s">
        <v>1129</v>
      </c>
      <c r="G147" s="21" t="s">
        <v>3039</v>
      </c>
      <c r="H147" s="22" t="s">
        <v>1039</v>
      </c>
    </row>
    <row r="148" spans="1:8" x14ac:dyDescent="0.2">
      <c r="A148" s="21" t="s">
        <v>2743</v>
      </c>
      <c r="B148" s="22" t="s">
        <v>669</v>
      </c>
      <c r="C148" s="21" t="s">
        <v>2958</v>
      </c>
      <c r="D148" s="22" t="s">
        <v>924</v>
      </c>
      <c r="E148" s="21" t="s">
        <v>3094</v>
      </c>
      <c r="F148" s="22" t="s">
        <v>1089</v>
      </c>
      <c r="G148" s="21" t="s">
        <v>2651</v>
      </c>
      <c r="H148" s="22" t="s">
        <v>561</v>
      </c>
    </row>
    <row r="149" spans="1:8" x14ac:dyDescent="0.2">
      <c r="A149" s="21" t="s">
        <v>2807</v>
      </c>
      <c r="B149" s="22" t="s">
        <v>737</v>
      </c>
      <c r="C149" s="21" t="s">
        <v>2182</v>
      </c>
      <c r="D149" s="22" t="s">
        <v>42</v>
      </c>
      <c r="E149" s="21" t="s">
        <v>3354</v>
      </c>
      <c r="F149" s="22" t="s">
        <v>1379</v>
      </c>
      <c r="G149" s="21" t="s">
        <v>2260</v>
      </c>
      <c r="H149" s="22" t="s">
        <v>119</v>
      </c>
    </row>
    <row r="150" spans="1:8" x14ac:dyDescent="0.2">
      <c r="A150" s="21" t="s">
        <v>2532</v>
      </c>
      <c r="B150" s="22" t="s">
        <v>432</v>
      </c>
      <c r="C150" s="21" t="s">
        <v>3037</v>
      </c>
      <c r="D150" s="22" t="s">
        <v>1033</v>
      </c>
      <c r="E150" s="21" t="s">
        <v>3548</v>
      </c>
      <c r="F150" s="22" t="s">
        <v>1701</v>
      </c>
      <c r="G150" s="21" t="s">
        <v>3027</v>
      </c>
      <c r="H150" s="22" t="s">
        <v>1026</v>
      </c>
    </row>
    <row r="151" spans="1:8" x14ac:dyDescent="0.2">
      <c r="A151" s="25"/>
      <c r="B151" s="26"/>
      <c r="C151" s="25"/>
      <c r="D151" s="26"/>
      <c r="E151" s="25"/>
      <c r="F151" s="26"/>
      <c r="G151" s="25"/>
      <c r="H151" s="26"/>
    </row>
    <row r="152" spans="1:8" x14ac:dyDescent="0.2">
      <c r="A152" s="21" t="s">
        <v>2155</v>
      </c>
      <c r="B152" s="22" t="s">
        <v>30</v>
      </c>
      <c r="C152" s="21" t="s">
        <v>3377</v>
      </c>
      <c r="D152" s="22" t="s">
        <v>1402</v>
      </c>
      <c r="E152" s="21" t="s">
        <v>2904</v>
      </c>
      <c r="F152" s="22" t="s">
        <v>862</v>
      </c>
      <c r="G152" s="21" t="s">
        <v>3235</v>
      </c>
      <c r="H152" s="22" t="s">
        <v>1249</v>
      </c>
    </row>
    <row r="153" spans="1:8" x14ac:dyDescent="0.2">
      <c r="A153" s="21" t="s">
        <v>2456</v>
      </c>
      <c r="B153" s="22" t="s">
        <v>341</v>
      </c>
      <c r="C153" s="21" t="s">
        <v>3253</v>
      </c>
      <c r="D153" s="22" t="s">
        <v>1270</v>
      </c>
      <c r="E153" s="21" t="s">
        <v>2327</v>
      </c>
      <c r="F153" s="22" t="s">
        <v>200</v>
      </c>
      <c r="G153" s="21" t="s">
        <v>2367</v>
      </c>
      <c r="H153" s="22" t="s">
        <v>255</v>
      </c>
    </row>
    <row r="154" spans="1:8" x14ac:dyDescent="0.2">
      <c r="A154" s="21" t="s">
        <v>2727</v>
      </c>
      <c r="B154" s="22" t="s">
        <v>658</v>
      </c>
      <c r="C154" s="21" t="s">
        <v>2183</v>
      </c>
      <c r="D154" s="22" t="s">
        <v>210</v>
      </c>
      <c r="E154" s="21" t="s">
        <v>3042</v>
      </c>
      <c r="F154" s="22" t="s">
        <v>1034</v>
      </c>
      <c r="G154" s="21" t="s">
        <v>2786</v>
      </c>
      <c r="H154" s="22" t="s">
        <v>720</v>
      </c>
    </row>
    <row r="155" spans="1:8" x14ac:dyDescent="0.2">
      <c r="A155" s="21" t="s">
        <v>3340</v>
      </c>
      <c r="B155" s="22" t="s">
        <v>1360</v>
      </c>
      <c r="C155" s="21" t="s">
        <v>2250</v>
      </c>
      <c r="D155" s="22" t="s">
        <v>98</v>
      </c>
      <c r="E155" s="21" t="s">
        <v>2554</v>
      </c>
      <c r="F155" s="22" t="s">
        <v>450</v>
      </c>
      <c r="G155" s="21" t="s">
        <v>2718</v>
      </c>
      <c r="H155" s="22" t="s">
        <v>652</v>
      </c>
    </row>
    <row r="156" spans="1:8" x14ac:dyDescent="0.2">
      <c r="A156" s="21" t="s">
        <v>3431</v>
      </c>
      <c r="B156" s="22" t="s">
        <v>1468</v>
      </c>
      <c r="C156" s="21" t="s">
        <v>3121</v>
      </c>
      <c r="D156" s="22" t="s">
        <v>1126</v>
      </c>
      <c r="E156" s="21" t="s">
        <v>2279</v>
      </c>
      <c r="F156" s="22" t="s">
        <v>143</v>
      </c>
      <c r="G156" s="21" t="s">
        <v>2806</v>
      </c>
      <c r="H156" s="22" t="s">
        <v>746</v>
      </c>
    </row>
    <row r="157" spans="1:8" x14ac:dyDescent="0.2">
      <c r="A157" s="21" t="s">
        <v>2898</v>
      </c>
      <c r="B157" s="22" t="s">
        <v>855</v>
      </c>
      <c r="C157" s="21" t="s">
        <v>3097</v>
      </c>
      <c r="D157" s="22" t="s">
        <v>1101</v>
      </c>
      <c r="E157" s="21" t="s">
        <v>2251</v>
      </c>
      <c r="F157" s="22" t="s">
        <v>101</v>
      </c>
      <c r="G157" s="21" t="s">
        <v>3203</v>
      </c>
      <c r="H157" s="22" t="s">
        <v>1210</v>
      </c>
    </row>
    <row r="158" spans="1:8" x14ac:dyDescent="0.2">
      <c r="A158" s="21" t="s">
        <v>2156</v>
      </c>
      <c r="B158" s="22" t="s">
        <v>777</v>
      </c>
      <c r="C158" s="21" t="s">
        <v>2290</v>
      </c>
      <c r="D158" s="22" t="s">
        <v>154</v>
      </c>
      <c r="E158" s="21" t="s">
        <v>2967</v>
      </c>
      <c r="F158" s="22" t="s">
        <v>941</v>
      </c>
      <c r="G158" s="21" t="s">
        <v>2296</v>
      </c>
      <c r="H158" s="22" t="s">
        <v>161</v>
      </c>
    </row>
    <row r="159" spans="1:8" x14ac:dyDescent="0.2">
      <c r="A159" s="21" t="s">
        <v>2687</v>
      </c>
      <c r="B159" s="22" t="s">
        <v>604</v>
      </c>
      <c r="C159" s="21" t="s">
        <v>2274</v>
      </c>
      <c r="D159" s="22" t="s">
        <v>124</v>
      </c>
      <c r="E159" s="21" t="s">
        <v>3598</v>
      </c>
      <c r="F159" s="22" t="s">
        <v>1682</v>
      </c>
      <c r="G159" s="21" t="s">
        <v>2308</v>
      </c>
      <c r="H159" s="22" t="s">
        <v>175</v>
      </c>
    </row>
    <row r="160" spans="1:8" x14ac:dyDescent="0.2">
      <c r="A160" s="21" t="s">
        <v>3336</v>
      </c>
      <c r="B160" s="22" t="s">
        <v>1361</v>
      </c>
      <c r="C160" s="21" t="s">
        <v>3257</v>
      </c>
      <c r="D160" s="22" t="s">
        <v>1271</v>
      </c>
      <c r="E160" s="21" t="s">
        <v>3018</v>
      </c>
      <c r="F160" s="22" t="s">
        <v>1008</v>
      </c>
      <c r="G160" s="21" t="s">
        <v>2925</v>
      </c>
      <c r="H160" s="22" t="s">
        <v>891</v>
      </c>
    </row>
    <row r="161" spans="1:8" x14ac:dyDescent="0.2">
      <c r="A161" s="21" t="s">
        <v>2620</v>
      </c>
      <c r="B161" s="22" t="s">
        <v>526</v>
      </c>
      <c r="C161" s="21" t="s">
        <v>3511</v>
      </c>
      <c r="D161" s="22" t="s">
        <v>1582</v>
      </c>
      <c r="E161" s="21" t="s">
        <v>2562</v>
      </c>
      <c r="F161" s="22" t="s">
        <v>464</v>
      </c>
      <c r="G161" s="21" t="s">
        <v>2762</v>
      </c>
      <c r="H161" s="22" t="s">
        <v>691</v>
      </c>
    </row>
    <row r="162" spans="1:8" x14ac:dyDescent="0.2">
      <c r="A162" s="25"/>
      <c r="B162" s="26"/>
      <c r="C162" s="25"/>
      <c r="D162" s="26"/>
      <c r="E162" s="25"/>
      <c r="F162" s="26"/>
      <c r="G162" s="25"/>
      <c r="H162" s="26"/>
    </row>
    <row r="163" spans="1:8" x14ac:dyDescent="0.2">
      <c r="A163" s="21" t="s">
        <v>2157</v>
      </c>
      <c r="B163" s="22" t="s">
        <v>778</v>
      </c>
      <c r="C163" s="21" t="s">
        <v>2184</v>
      </c>
      <c r="D163" s="22" t="s">
        <v>1457</v>
      </c>
      <c r="E163" s="21" t="s">
        <v>3110</v>
      </c>
      <c r="F163" s="22" t="s">
        <v>1115</v>
      </c>
      <c r="G163" s="21" t="s">
        <v>2337</v>
      </c>
      <c r="H163" s="22" t="s">
        <v>216</v>
      </c>
    </row>
    <row r="164" spans="1:8" x14ac:dyDescent="0.2">
      <c r="A164" s="21" t="s">
        <v>3498</v>
      </c>
      <c r="B164" s="22" t="s">
        <v>1565</v>
      </c>
      <c r="C164" s="21" t="s">
        <v>3081</v>
      </c>
      <c r="D164" s="22" t="s">
        <v>1074</v>
      </c>
      <c r="E164" s="21" t="s">
        <v>3500</v>
      </c>
      <c r="F164" s="22" t="s">
        <v>1572</v>
      </c>
      <c r="G164" s="21" t="s">
        <v>3127</v>
      </c>
      <c r="H164" s="22" t="s">
        <v>1133</v>
      </c>
    </row>
    <row r="165" spans="1:8" x14ac:dyDescent="0.2">
      <c r="A165" s="21" t="s">
        <v>2993</v>
      </c>
      <c r="B165" s="22" t="s">
        <v>960</v>
      </c>
      <c r="C165" s="21" t="s">
        <v>3057</v>
      </c>
      <c r="D165" s="22" t="s">
        <v>1047</v>
      </c>
      <c r="E165" s="21" t="s">
        <v>3512</v>
      </c>
      <c r="F165" s="22" t="s">
        <v>1584</v>
      </c>
      <c r="G165" s="21" t="s">
        <v>2706</v>
      </c>
      <c r="H165" s="22" t="s">
        <v>640</v>
      </c>
    </row>
    <row r="166" spans="1:8" x14ac:dyDescent="0.2">
      <c r="A166" s="21" t="s">
        <v>2158</v>
      </c>
      <c r="B166" s="22" t="s">
        <v>591</v>
      </c>
      <c r="C166" s="21" t="s">
        <v>3181</v>
      </c>
      <c r="D166" s="22" t="s">
        <v>1192</v>
      </c>
      <c r="E166" s="21" t="s">
        <v>2247</v>
      </c>
      <c r="F166" s="22" t="s">
        <v>102</v>
      </c>
      <c r="G166" s="21" t="s">
        <v>2391</v>
      </c>
      <c r="H166" s="22" t="s">
        <v>284</v>
      </c>
    </row>
    <row r="167" spans="1:8" x14ac:dyDescent="0.2">
      <c r="A167" s="21" t="s">
        <v>2340</v>
      </c>
      <c r="B167" s="22" t="s">
        <v>220</v>
      </c>
      <c r="C167" s="21" t="s">
        <v>2489</v>
      </c>
      <c r="D167" s="22" t="s">
        <v>382</v>
      </c>
      <c r="E167" s="21" t="s">
        <v>2638</v>
      </c>
      <c r="F167" s="22" t="s">
        <v>544</v>
      </c>
      <c r="G167" s="21" t="s">
        <v>2403</v>
      </c>
      <c r="H167" s="22" t="s">
        <v>299</v>
      </c>
    </row>
    <row r="168" spans="1:8" x14ac:dyDescent="0.2">
      <c r="A168" s="21" t="s">
        <v>2428</v>
      </c>
      <c r="B168" s="22" t="s">
        <v>315</v>
      </c>
      <c r="C168" s="21" t="s">
        <v>2704</v>
      </c>
      <c r="D168" s="22" t="s">
        <v>633</v>
      </c>
      <c r="E168" s="21" t="s">
        <v>3334</v>
      </c>
      <c r="F168" s="22" t="s">
        <v>1352</v>
      </c>
      <c r="G168" s="21" t="s">
        <v>3071</v>
      </c>
      <c r="H168" s="22" t="s">
        <v>1066</v>
      </c>
    </row>
    <row r="169" spans="1:8" x14ac:dyDescent="0.2">
      <c r="A169" s="21" t="s">
        <v>3542</v>
      </c>
      <c r="B169" s="22" t="s">
        <v>1607</v>
      </c>
      <c r="C169" s="21" t="s">
        <v>2389</v>
      </c>
      <c r="D169" s="22" t="s">
        <v>277</v>
      </c>
      <c r="E169" s="21" t="s">
        <v>2681</v>
      </c>
      <c r="F169" s="22" t="s">
        <v>610</v>
      </c>
      <c r="G169" s="21" t="s">
        <v>3351</v>
      </c>
      <c r="H169" s="22" t="s">
        <v>1381</v>
      </c>
    </row>
    <row r="170" spans="1:8" x14ac:dyDescent="0.2">
      <c r="A170" s="21" t="s">
        <v>3312</v>
      </c>
      <c r="B170" s="22" t="s">
        <v>1334</v>
      </c>
      <c r="C170" s="21" t="s">
        <v>2732</v>
      </c>
      <c r="D170" s="22" t="s">
        <v>661</v>
      </c>
      <c r="E170" s="21" t="s">
        <v>2350</v>
      </c>
      <c r="F170" s="22" t="s">
        <v>227</v>
      </c>
      <c r="G170" s="21" t="s">
        <v>3011</v>
      </c>
      <c r="H170" s="22" t="s">
        <v>997</v>
      </c>
    </row>
    <row r="171" spans="1:8" x14ac:dyDescent="0.2">
      <c r="A171" s="21" t="s">
        <v>3152</v>
      </c>
      <c r="B171" s="22" t="s">
        <v>1149</v>
      </c>
      <c r="C171" s="21" t="s">
        <v>2565</v>
      </c>
      <c r="D171" s="22" t="s">
        <v>460</v>
      </c>
      <c r="E171" s="21" t="s">
        <v>2737</v>
      </c>
      <c r="F171" s="22" t="s">
        <v>663</v>
      </c>
      <c r="G171" s="21" t="s">
        <v>3553</v>
      </c>
      <c r="H171" s="22" t="s">
        <v>1705</v>
      </c>
    </row>
    <row r="172" spans="1:8" x14ac:dyDescent="0.2">
      <c r="A172" s="23" t="s">
        <v>2679</v>
      </c>
      <c r="B172" s="24" t="s">
        <v>605</v>
      </c>
      <c r="C172" s="23" t="s">
        <v>3293</v>
      </c>
      <c r="D172" s="24" t="s">
        <v>1309</v>
      </c>
      <c r="E172" s="23" t="s">
        <v>2546</v>
      </c>
      <c r="F172" s="24" t="s">
        <v>451</v>
      </c>
      <c r="G172" s="23" t="s">
        <v>3497</v>
      </c>
      <c r="H172" s="24" t="s">
        <v>1562</v>
      </c>
    </row>
    <row r="173" spans="1:8" x14ac:dyDescent="0.2">
      <c r="A173" s="21" t="s">
        <v>3530</v>
      </c>
      <c r="B173" s="22" t="s">
        <v>1595</v>
      </c>
      <c r="C173" s="21" t="s">
        <v>3531</v>
      </c>
      <c r="D173" s="22" t="s">
        <v>1597</v>
      </c>
      <c r="E173" s="21" t="s">
        <v>2291</v>
      </c>
      <c r="F173" s="22" t="s">
        <v>159</v>
      </c>
      <c r="G173" s="21" t="s">
        <v>3023</v>
      </c>
      <c r="H173" s="22" t="s">
        <v>1010</v>
      </c>
    </row>
    <row r="174" spans="1:8" x14ac:dyDescent="0.2">
      <c r="A174" s="21" t="s">
        <v>2815</v>
      </c>
      <c r="B174" s="22" t="s">
        <v>751</v>
      </c>
      <c r="C174" s="21" t="s">
        <v>2485</v>
      </c>
      <c r="D174" s="22" t="s">
        <v>383</v>
      </c>
      <c r="E174" s="21" t="s">
        <v>3270</v>
      </c>
      <c r="F174" s="22" t="s">
        <v>1288</v>
      </c>
      <c r="G174" s="21" t="s">
        <v>3529</v>
      </c>
      <c r="H174" s="22" t="s">
        <v>1604</v>
      </c>
    </row>
    <row r="175" spans="1:8" x14ac:dyDescent="0.2">
      <c r="A175" s="21" t="s">
        <v>2878</v>
      </c>
      <c r="B175" s="22" t="s">
        <v>829</v>
      </c>
      <c r="C175" s="21" t="s">
        <v>2824</v>
      </c>
      <c r="D175" s="22" t="s">
        <v>767</v>
      </c>
      <c r="E175" s="21" t="s">
        <v>2378</v>
      </c>
      <c r="F175" s="22" t="s">
        <v>267</v>
      </c>
      <c r="G175" s="21" t="s">
        <v>2988</v>
      </c>
      <c r="H175" s="22" t="s">
        <v>971</v>
      </c>
    </row>
    <row r="176" spans="1:8" x14ac:dyDescent="0.2">
      <c r="A176" s="21" t="s">
        <v>3451</v>
      </c>
      <c r="B176" s="22" t="s">
        <v>1494</v>
      </c>
      <c r="C176" s="21" t="s">
        <v>3117</v>
      </c>
      <c r="D176" s="22" t="s">
        <v>1113</v>
      </c>
      <c r="E176" s="21" t="s">
        <v>2203</v>
      </c>
      <c r="F176" s="22" t="s">
        <v>213</v>
      </c>
      <c r="G176" s="21" t="s">
        <v>2603</v>
      </c>
      <c r="H176" s="22" t="s">
        <v>506</v>
      </c>
    </row>
    <row r="177" spans="1:8" x14ac:dyDescent="0.2">
      <c r="A177" s="21" t="s">
        <v>3112</v>
      </c>
      <c r="B177" s="22" t="s">
        <v>1110</v>
      </c>
      <c r="C177" s="21" t="s">
        <v>2573</v>
      </c>
      <c r="D177" s="22" t="s">
        <v>473</v>
      </c>
      <c r="E177" s="21" t="s">
        <v>2709</v>
      </c>
      <c r="F177" s="22" t="s">
        <v>636</v>
      </c>
      <c r="G177" s="21" t="s">
        <v>2288</v>
      </c>
      <c r="H177" s="22" t="s">
        <v>145</v>
      </c>
    </row>
    <row r="178" spans="1:8" x14ac:dyDescent="0.2">
      <c r="A178" s="21" t="s">
        <v>2981</v>
      </c>
      <c r="B178" s="22" t="s">
        <v>948</v>
      </c>
      <c r="C178" s="21" t="s">
        <v>2688</v>
      </c>
      <c r="D178" s="22" t="s">
        <v>608</v>
      </c>
      <c r="E178" s="21" t="s">
        <v>2840</v>
      </c>
      <c r="F178" s="22" t="s">
        <v>795</v>
      </c>
      <c r="G178" s="21" t="s">
        <v>2523</v>
      </c>
      <c r="H178" s="22" t="s">
        <v>429</v>
      </c>
    </row>
    <row r="179" spans="1:8" x14ac:dyDescent="0.2">
      <c r="A179" s="21" t="s">
        <v>3284</v>
      </c>
      <c r="B179" s="22" t="s">
        <v>1294</v>
      </c>
      <c r="C179" s="21" t="s">
        <v>3289</v>
      </c>
      <c r="D179" s="22" t="s">
        <v>1310</v>
      </c>
      <c r="E179" s="21" t="s">
        <v>2598</v>
      </c>
      <c r="F179" s="22" t="s">
        <v>504</v>
      </c>
      <c r="G179" s="21" t="s">
        <v>2316</v>
      </c>
      <c r="H179" s="22" t="s">
        <v>189</v>
      </c>
    </row>
    <row r="180" spans="1:8" x14ac:dyDescent="0.2">
      <c r="A180" s="21" t="s">
        <v>3534</v>
      </c>
      <c r="B180" s="22" t="s">
        <v>1608</v>
      </c>
      <c r="C180" s="21" t="s">
        <v>2381</v>
      </c>
      <c r="D180" s="22" t="s">
        <v>263</v>
      </c>
      <c r="E180" s="21" t="s">
        <v>2876</v>
      </c>
      <c r="F180" s="22" t="s">
        <v>835</v>
      </c>
      <c r="G180" s="21" t="s">
        <v>3159</v>
      </c>
      <c r="H180" s="22" t="s">
        <v>1171</v>
      </c>
    </row>
    <row r="181" spans="1:8" x14ac:dyDescent="0.2">
      <c r="A181" s="21" t="s">
        <v>2261</v>
      </c>
      <c r="B181" s="22" t="s">
        <v>110</v>
      </c>
      <c r="C181" s="21" t="s">
        <v>3093</v>
      </c>
      <c r="D181" s="22" t="s">
        <v>1088</v>
      </c>
      <c r="E181" s="21" t="s">
        <v>3150</v>
      </c>
      <c r="F181" s="22" t="s">
        <v>1155</v>
      </c>
      <c r="G181" s="21" t="s">
        <v>2324</v>
      </c>
      <c r="H181" s="22" t="s">
        <v>190</v>
      </c>
    </row>
    <row r="182" spans="1:8" x14ac:dyDescent="0.2">
      <c r="A182" s="21" t="s">
        <v>2664</v>
      </c>
      <c r="B182" s="22" t="s">
        <v>579</v>
      </c>
      <c r="C182" s="21" t="s">
        <v>3483</v>
      </c>
      <c r="D182" s="22" t="s">
        <v>1538</v>
      </c>
      <c r="E182" s="21" t="s">
        <v>3166</v>
      </c>
      <c r="F182" s="22" t="s">
        <v>1169</v>
      </c>
      <c r="G182" s="21" t="s">
        <v>2686</v>
      </c>
      <c r="H182" s="22" t="s">
        <v>615</v>
      </c>
    </row>
    <row r="183" spans="1:8" x14ac:dyDescent="0.2">
      <c r="A183" s="25"/>
      <c r="B183" s="26"/>
      <c r="C183" s="25"/>
      <c r="D183" s="26"/>
      <c r="E183" s="25"/>
      <c r="F183" s="26"/>
      <c r="G183" s="25"/>
      <c r="H183" s="26"/>
    </row>
    <row r="184" spans="1:8" x14ac:dyDescent="0.2">
      <c r="A184" s="21" t="s">
        <v>2699</v>
      </c>
      <c r="B184" s="22" t="s">
        <v>618</v>
      </c>
      <c r="C184" s="21" t="s">
        <v>2863</v>
      </c>
      <c r="D184" s="22" t="s">
        <v>820</v>
      </c>
      <c r="E184" s="21" t="s">
        <v>2666</v>
      </c>
      <c r="F184" s="22" t="s">
        <v>584</v>
      </c>
      <c r="G184" s="21" t="s">
        <v>3446</v>
      </c>
      <c r="H184" s="22" t="s">
        <v>1491</v>
      </c>
    </row>
    <row r="185" spans="1:8" x14ac:dyDescent="0.2">
      <c r="A185" s="21" t="s">
        <v>2159</v>
      </c>
      <c r="B185" s="22" t="s">
        <v>592</v>
      </c>
      <c r="C185" s="21" t="s">
        <v>2449</v>
      </c>
      <c r="D185" s="22" t="s">
        <v>345</v>
      </c>
      <c r="E185" s="21" t="s">
        <v>3410</v>
      </c>
      <c r="F185" s="22" t="s">
        <v>1448</v>
      </c>
      <c r="G185" s="21" t="s">
        <v>2933</v>
      </c>
      <c r="H185" s="22" t="s">
        <v>892</v>
      </c>
    </row>
    <row r="186" spans="1:8" x14ac:dyDescent="0.2">
      <c r="A186" s="21" t="s">
        <v>2160</v>
      </c>
      <c r="B186" s="22" t="s">
        <v>35</v>
      </c>
      <c r="C186" s="21" t="s">
        <v>2879</v>
      </c>
      <c r="D186" s="22" t="s">
        <v>831</v>
      </c>
      <c r="E186" s="21" t="s">
        <v>2534</v>
      </c>
      <c r="F186" s="22" t="s">
        <v>438</v>
      </c>
      <c r="G186" s="21" t="s">
        <v>3343</v>
      </c>
      <c r="H186" s="22" t="s">
        <v>1368</v>
      </c>
    </row>
    <row r="187" spans="1:8" x14ac:dyDescent="0.2">
      <c r="A187" s="21" t="s">
        <v>2325</v>
      </c>
      <c r="B187" s="22" t="s">
        <v>192</v>
      </c>
      <c r="C187" s="21" t="s">
        <v>3491</v>
      </c>
      <c r="D187" s="22" t="s">
        <v>1556</v>
      </c>
      <c r="E187" s="21" t="s">
        <v>2955</v>
      </c>
      <c r="F187" s="22" t="s">
        <v>929</v>
      </c>
      <c r="G187" s="21" t="s">
        <v>3359</v>
      </c>
      <c r="H187" s="22" t="s">
        <v>1382</v>
      </c>
    </row>
    <row r="188" spans="1:8" x14ac:dyDescent="0.2">
      <c r="A188" s="21" t="s">
        <v>3502</v>
      </c>
      <c r="B188" s="22" t="s">
        <v>1566</v>
      </c>
      <c r="C188" s="21" t="s">
        <v>2385</v>
      </c>
      <c r="D188" s="22" t="s">
        <v>264</v>
      </c>
      <c r="E188" s="21" t="s">
        <v>3465</v>
      </c>
      <c r="F188" s="22" t="s">
        <v>1515</v>
      </c>
      <c r="G188" s="21" t="s">
        <v>2770</v>
      </c>
      <c r="H188" s="22" t="s">
        <v>707</v>
      </c>
    </row>
    <row r="189" spans="1:8" x14ac:dyDescent="0.2">
      <c r="A189" s="21" t="s">
        <v>2372</v>
      </c>
      <c r="B189" s="22" t="s">
        <v>247</v>
      </c>
      <c r="C189" s="21" t="s">
        <v>3053</v>
      </c>
      <c r="D189" s="22" t="s">
        <v>1048</v>
      </c>
      <c r="E189" s="21" t="s">
        <v>2773</v>
      </c>
      <c r="F189" s="22" t="s">
        <v>704</v>
      </c>
      <c r="G189" s="21" t="s">
        <v>2252</v>
      </c>
      <c r="H189" s="22" t="s">
        <v>105</v>
      </c>
    </row>
    <row r="190" spans="1:8" x14ac:dyDescent="0.2">
      <c r="A190" s="21" t="s">
        <v>2985</v>
      </c>
      <c r="B190" s="22" t="s">
        <v>961</v>
      </c>
      <c r="C190" s="21" t="s">
        <v>2577</v>
      </c>
      <c r="D190" s="22" t="s">
        <v>474</v>
      </c>
      <c r="E190" s="21" t="s">
        <v>3556</v>
      </c>
      <c r="F190" s="22" t="s">
        <v>1702</v>
      </c>
      <c r="G190" s="21" t="s">
        <v>2387</v>
      </c>
      <c r="H190" s="22" t="s">
        <v>270</v>
      </c>
    </row>
    <row r="191" spans="1:8" x14ac:dyDescent="0.2">
      <c r="A191" s="21" t="s">
        <v>3236</v>
      </c>
      <c r="B191" s="22" t="s">
        <v>1240</v>
      </c>
      <c r="C191" s="21" t="s">
        <v>3281</v>
      </c>
      <c r="D191" s="22" t="s">
        <v>1297</v>
      </c>
      <c r="E191" s="21" t="s">
        <v>2446</v>
      </c>
      <c r="F191" s="22" t="s">
        <v>334</v>
      </c>
      <c r="G191" s="21" t="s">
        <v>2901</v>
      </c>
      <c r="H191" s="22" t="s">
        <v>865</v>
      </c>
    </row>
    <row r="192" spans="1:8" x14ac:dyDescent="0.2">
      <c r="A192" s="21" t="s">
        <v>3192</v>
      </c>
      <c r="B192" s="22" t="s">
        <v>1201</v>
      </c>
      <c r="C192" s="21" t="s">
        <v>2673</v>
      </c>
      <c r="D192" s="22" t="s">
        <v>581</v>
      </c>
      <c r="E192" s="21" t="s">
        <v>3540</v>
      </c>
      <c r="F192" s="22" t="s">
        <v>1614</v>
      </c>
      <c r="G192" s="21" t="s">
        <v>3415</v>
      </c>
      <c r="H192" s="22" t="s">
        <v>1449</v>
      </c>
    </row>
    <row r="193" spans="1:8" x14ac:dyDescent="0.2">
      <c r="A193" s="21" t="s">
        <v>2269</v>
      </c>
      <c r="B193" s="22" t="s">
        <v>121</v>
      </c>
      <c r="C193" s="21" t="s">
        <v>2330</v>
      </c>
      <c r="D193" s="22" t="s">
        <v>197</v>
      </c>
      <c r="E193" s="21" t="s">
        <v>2406</v>
      </c>
      <c r="F193" s="22" t="s">
        <v>296</v>
      </c>
      <c r="G193" s="21" t="s">
        <v>3099</v>
      </c>
      <c r="H193" s="22" t="s">
        <v>1106</v>
      </c>
    </row>
    <row r="194" spans="1:8" x14ac:dyDescent="0.2">
      <c r="A194" s="25"/>
      <c r="B194" s="26"/>
      <c r="C194" s="25"/>
      <c r="D194" s="26"/>
      <c r="E194" s="25"/>
      <c r="F194" s="26"/>
      <c r="G194" s="25"/>
      <c r="H194" s="26"/>
    </row>
    <row r="195" spans="1:8" x14ac:dyDescent="0.2">
      <c r="A195" s="21" t="s">
        <v>2552</v>
      </c>
      <c r="B195" s="22" t="s">
        <v>446</v>
      </c>
      <c r="C195" s="21" t="s">
        <v>2361</v>
      </c>
      <c r="D195" s="22" t="s">
        <v>238</v>
      </c>
      <c r="E195" s="21" t="s">
        <v>2674</v>
      </c>
      <c r="F195" s="22" t="s">
        <v>585</v>
      </c>
      <c r="G195" s="21" t="s">
        <v>2702</v>
      </c>
      <c r="H195" s="22" t="s">
        <v>626</v>
      </c>
    </row>
    <row r="196" spans="1:8" x14ac:dyDescent="0.2">
      <c r="A196" s="21" t="s">
        <v>2277</v>
      </c>
      <c r="B196" s="22" t="s">
        <v>136</v>
      </c>
      <c r="C196" s="21" t="s">
        <v>3033</v>
      </c>
      <c r="D196" s="22" t="s">
        <v>1019</v>
      </c>
      <c r="E196" s="21" t="s">
        <v>2243</v>
      </c>
      <c r="F196" s="22" t="s">
        <v>103</v>
      </c>
      <c r="G196" s="21" t="s">
        <v>2371</v>
      </c>
      <c r="H196" s="22" t="s">
        <v>256</v>
      </c>
    </row>
    <row r="197" spans="1:8" x14ac:dyDescent="0.2">
      <c r="A197" s="21" t="s">
        <v>2161</v>
      </c>
      <c r="B197" s="22" t="s">
        <v>37</v>
      </c>
      <c r="C197" s="21" t="s">
        <v>2748</v>
      </c>
      <c r="D197" s="22" t="s">
        <v>673</v>
      </c>
      <c r="E197" s="21" t="s">
        <v>2319</v>
      </c>
      <c r="F197" s="22" t="s">
        <v>185</v>
      </c>
      <c r="G197" s="21" t="s">
        <v>2435</v>
      </c>
      <c r="H197" s="22" t="s">
        <v>324</v>
      </c>
    </row>
    <row r="198" spans="1:8" x14ac:dyDescent="0.2">
      <c r="A198" s="21" t="s">
        <v>2162</v>
      </c>
      <c r="B198" s="22" t="s">
        <v>593</v>
      </c>
      <c r="C198" s="21" t="s">
        <v>2768</v>
      </c>
      <c r="D198" s="22" t="s">
        <v>700</v>
      </c>
      <c r="E198" s="21" t="s">
        <v>2844</v>
      </c>
      <c r="F198" s="22" t="s">
        <v>796</v>
      </c>
      <c r="G198" s="21" t="s">
        <v>3339</v>
      </c>
      <c r="H198" s="22" t="s">
        <v>1369</v>
      </c>
    </row>
    <row r="199" spans="1:8" x14ac:dyDescent="0.2">
      <c r="A199" s="21" t="s">
        <v>2368</v>
      </c>
      <c r="B199" s="22" t="s">
        <v>248</v>
      </c>
      <c r="C199" s="21" t="s">
        <v>2776</v>
      </c>
      <c r="D199" s="22" t="s">
        <v>713</v>
      </c>
      <c r="E199" s="21" t="s">
        <v>2793</v>
      </c>
      <c r="F199" s="22" t="s">
        <v>729</v>
      </c>
      <c r="G199" s="21" t="s">
        <v>3521</v>
      </c>
      <c r="H199" s="22" t="s">
        <v>1591</v>
      </c>
    </row>
    <row r="200" spans="1:8" x14ac:dyDescent="0.2">
      <c r="A200" s="21" t="s">
        <v>2787</v>
      </c>
      <c r="B200" s="22" t="s">
        <v>724</v>
      </c>
      <c r="C200" s="21" t="s">
        <v>3013</v>
      </c>
      <c r="D200" s="22" t="s">
        <v>1002</v>
      </c>
      <c r="E200" s="21" t="s">
        <v>3564</v>
      </c>
      <c r="F200" s="22" t="s">
        <v>1626</v>
      </c>
      <c r="G200" s="21" t="s">
        <v>2379</v>
      </c>
      <c r="H200" s="22" t="s">
        <v>271</v>
      </c>
    </row>
    <row r="201" spans="1:8" x14ac:dyDescent="0.2">
      <c r="A201" s="21" t="s">
        <v>3052</v>
      </c>
      <c r="B201" s="22" t="s">
        <v>1044</v>
      </c>
      <c r="C201" s="21" t="s">
        <v>2994</v>
      </c>
      <c r="D201" s="22" t="s">
        <v>964</v>
      </c>
      <c r="E201" s="21" t="s">
        <v>2255</v>
      </c>
      <c r="F201" s="22" t="s">
        <v>115</v>
      </c>
      <c r="G201" s="21" t="s">
        <v>2312</v>
      </c>
      <c r="H201" s="22" t="s">
        <v>176</v>
      </c>
    </row>
    <row r="202" spans="1:8" x14ac:dyDescent="0.2">
      <c r="A202" s="21" t="s">
        <v>3208</v>
      </c>
      <c r="B202" s="22" t="s">
        <v>1215</v>
      </c>
      <c r="C202" s="21" t="s">
        <v>2784</v>
      </c>
      <c r="D202" s="22" t="s">
        <v>714</v>
      </c>
      <c r="E202" s="21" t="s">
        <v>2848</v>
      </c>
      <c r="F202" s="22" t="s">
        <v>797</v>
      </c>
      <c r="G202" s="21" t="s">
        <v>3147</v>
      </c>
      <c r="H202" s="22" t="s">
        <v>1159</v>
      </c>
    </row>
    <row r="203" spans="1:8" x14ac:dyDescent="0.2">
      <c r="A203" s="21" t="s">
        <v>2775</v>
      </c>
      <c r="B203" s="22" t="s">
        <v>711</v>
      </c>
      <c r="C203" s="21" t="s">
        <v>2942</v>
      </c>
      <c r="D203" s="22" t="s">
        <v>911</v>
      </c>
      <c r="E203" s="21" t="s">
        <v>2566</v>
      </c>
      <c r="F203" s="22" t="s">
        <v>465</v>
      </c>
      <c r="G203" s="21" t="s">
        <v>3561</v>
      </c>
      <c r="H203" s="22" t="s">
        <v>1632</v>
      </c>
    </row>
    <row r="204" spans="1:8" x14ac:dyDescent="0.2">
      <c r="A204" s="21" t="s">
        <v>2492</v>
      </c>
      <c r="B204" s="22" t="s">
        <v>379</v>
      </c>
      <c r="C204" s="21" t="s">
        <v>2298</v>
      </c>
      <c r="D204" s="22" t="s">
        <v>155</v>
      </c>
      <c r="E204" s="21" t="s">
        <v>3214</v>
      </c>
      <c r="F204" s="22" t="s">
        <v>1221</v>
      </c>
      <c r="G204" s="21" t="s">
        <v>2507</v>
      </c>
      <c r="H204" s="22" t="s">
        <v>402</v>
      </c>
    </row>
    <row r="205" spans="1:8" x14ac:dyDescent="0.2">
      <c r="A205" s="25"/>
      <c r="B205" s="26"/>
      <c r="C205" s="25"/>
      <c r="D205" s="26"/>
      <c r="E205" s="25"/>
      <c r="F205" s="26"/>
      <c r="G205" s="25"/>
      <c r="H205" s="26"/>
    </row>
    <row r="206" spans="1:8" x14ac:dyDescent="0.2">
      <c r="A206" s="21" t="s">
        <v>2285</v>
      </c>
      <c r="B206" s="22" t="s">
        <v>137</v>
      </c>
      <c r="C206" s="21" t="s">
        <v>3025</v>
      </c>
      <c r="D206" s="22" t="s">
        <v>1020</v>
      </c>
      <c r="E206" s="21" t="s">
        <v>3568</v>
      </c>
      <c r="F206" s="22" t="s">
        <v>1627</v>
      </c>
      <c r="G206" s="21" t="s">
        <v>3311</v>
      </c>
      <c r="H206" s="22" t="s">
        <v>1331</v>
      </c>
    </row>
    <row r="207" spans="1:8" x14ac:dyDescent="0.2">
      <c r="A207" s="21" t="s">
        <v>3188</v>
      </c>
      <c r="B207" s="22" t="s">
        <v>1190</v>
      </c>
      <c r="C207" s="21" t="s">
        <v>3519</v>
      </c>
      <c r="D207" s="22" t="s">
        <v>1583</v>
      </c>
      <c r="E207" s="21" t="s">
        <v>2765</v>
      </c>
      <c r="F207" s="22" t="s">
        <v>705</v>
      </c>
      <c r="G207" s="21" t="s">
        <v>2272</v>
      </c>
      <c r="H207" s="22" t="s">
        <v>131</v>
      </c>
    </row>
    <row r="208" spans="1:8" x14ac:dyDescent="0.2">
      <c r="A208" s="21" t="s">
        <v>2273</v>
      </c>
      <c r="B208" s="22" t="s">
        <v>122</v>
      </c>
      <c r="C208" s="21" t="s">
        <v>2585</v>
      </c>
      <c r="D208" s="22" t="s">
        <v>488</v>
      </c>
      <c r="E208" s="21" t="s">
        <v>3406</v>
      </c>
      <c r="F208" s="22" t="s">
        <v>1434</v>
      </c>
      <c r="G208" s="21" t="s">
        <v>2750</v>
      </c>
      <c r="H208" s="22" t="s">
        <v>679</v>
      </c>
    </row>
    <row r="209" spans="1:8" x14ac:dyDescent="0.2">
      <c r="A209" s="21" t="s">
        <v>3380</v>
      </c>
      <c r="B209" s="22" t="s">
        <v>1400</v>
      </c>
      <c r="C209" s="21" t="s">
        <v>3535</v>
      </c>
      <c r="D209" s="22" t="s">
        <v>1611</v>
      </c>
      <c r="E209" s="21" t="s">
        <v>3102</v>
      </c>
      <c r="F209" s="22" t="s">
        <v>1103</v>
      </c>
      <c r="G209" s="21" t="s">
        <v>2515</v>
      </c>
      <c r="H209" s="22" t="s">
        <v>414</v>
      </c>
    </row>
    <row r="210" spans="1:8" x14ac:dyDescent="0.2">
      <c r="A210" s="21" t="s">
        <v>2245</v>
      </c>
      <c r="B210" s="22" t="s">
        <v>96</v>
      </c>
      <c r="C210" s="21" t="s">
        <v>2895</v>
      </c>
      <c r="D210" s="22" t="s">
        <v>845</v>
      </c>
      <c r="E210" s="21" t="s">
        <v>3038</v>
      </c>
      <c r="F210" s="22" t="s">
        <v>1035</v>
      </c>
      <c r="G210" s="21" t="s">
        <v>3000</v>
      </c>
      <c r="H210" s="22" t="s">
        <v>984</v>
      </c>
    </row>
    <row r="211" spans="1:8" x14ac:dyDescent="0.2">
      <c r="A211" s="21" t="s">
        <v>2707</v>
      </c>
      <c r="B211" s="22" t="s">
        <v>630</v>
      </c>
      <c r="C211" s="21" t="s">
        <v>3165</v>
      </c>
      <c r="D211" s="22" t="s">
        <v>1166</v>
      </c>
      <c r="E211" s="21" t="s">
        <v>2825</v>
      </c>
      <c r="F211" s="22" t="s">
        <v>769</v>
      </c>
      <c r="G211" s="21" t="s">
        <v>2244</v>
      </c>
      <c r="H211" s="22" t="s">
        <v>106</v>
      </c>
    </row>
    <row r="212" spans="1:8" x14ac:dyDescent="0.2">
      <c r="A212" s="21" t="s">
        <v>3364</v>
      </c>
      <c r="B212" s="22" t="s">
        <v>1385</v>
      </c>
      <c r="C212" s="21" t="s">
        <v>3527</v>
      </c>
      <c r="D212" s="22" t="s">
        <v>1598</v>
      </c>
      <c r="E212" s="21" t="s">
        <v>3194</v>
      </c>
      <c r="F212" s="22" t="s">
        <v>1207</v>
      </c>
      <c r="G212" s="21" t="s">
        <v>2671</v>
      </c>
      <c r="H212" s="22" t="s">
        <v>589</v>
      </c>
    </row>
    <row r="213" spans="1:8" x14ac:dyDescent="0.2">
      <c r="A213" s="21" t="s">
        <v>2783</v>
      </c>
      <c r="B213" s="22" t="s">
        <v>712</v>
      </c>
      <c r="C213" s="21" t="s">
        <v>2441</v>
      </c>
      <c r="D213" s="22" t="s">
        <v>331</v>
      </c>
      <c r="E213" s="21" t="s">
        <v>2454</v>
      </c>
      <c r="F213" s="22" t="s">
        <v>348</v>
      </c>
      <c r="G213" s="21" t="s">
        <v>3239</v>
      </c>
      <c r="H213" s="22" t="s">
        <v>1250</v>
      </c>
    </row>
    <row r="214" spans="1:8" x14ac:dyDescent="0.2">
      <c r="A214" s="21" t="s">
        <v>2831</v>
      </c>
      <c r="B214" s="22" t="s">
        <v>763</v>
      </c>
      <c r="C214" s="21" t="s">
        <v>2915</v>
      </c>
      <c r="D214" s="22" t="s">
        <v>873</v>
      </c>
      <c r="E214" s="21" t="s">
        <v>3322</v>
      </c>
      <c r="F214" s="22" t="s">
        <v>1340</v>
      </c>
      <c r="G214" s="21" t="s">
        <v>3379</v>
      </c>
      <c r="H214" s="22" t="s">
        <v>1409</v>
      </c>
    </row>
    <row r="215" spans="1:8" x14ac:dyDescent="0.2">
      <c r="A215" s="23" t="s">
        <v>3522</v>
      </c>
      <c r="B215" s="24" t="s">
        <v>1596</v>
      </c>
      <c r="C215" s="23" t="s">
        <v>3365</v>
      </c>
      <c r="D215" s="24" t="s">
        <v>1388</v>
      </c>
      <c r="E215" s="23" t="s">
        <v>2797</v>
      </c>
      <c r="F215" s="24" t="s">
        <v>731</v>
      </c>
      <c r="G215" s="23" t="s">
        <v>2447</v>
      </c>
      <c r="H215" s="24" t="s">
        <v>336</v>
      </c>
    </row>
    <row r="216" spans="1:8" x14ac:dyDescent="0.2">
      <c r="A216" s="21" t="s">
        <v>3204</v>
      </c>
      <c r="B216" s="22" t="s">
        <v>1216</v>
      </c>
      <c r="C216" s="21" t="s">
        <v>2238</v>
      </c>
      <c r="D216" s="22" t="s">
        <v>87</v>
      </c>
      <c r="E216" s="21" t="s">
        <v>2205</v>
      </c>
      <c r="F216" s="22" t="s">
        <v>598</v>
      </c>
      <c r="G216" s="21" t="s">
        <v>3327</v>
      </c>
      <c r="H216" s="22" t="s">
        <v>1357</v>
      </c>
    </row>
    <row r="217" spans="1:8" x14ac:dyDescent="0.2">
      <c r="A217" s="21" t="s">
        <v>2432</v>
      </c>
      <c r="B217" s="22" t="s">
        <v>316</v>
      </c>
      <c r="C217" s="21" t="s">
        <v>2978</v>
      </c>
      <c r="D217" s="22" t="s">
        <v>951</v>
      </c>
      <c r="E217" s="21" t="s">
        <v>3524</v>
      </c>
      <c r="F217" s="22" t="s">
        <v>1601</v>
      </c>
      <c r="G217" s="21" t="s">
        <v>3399</v>
      </c>
      <c r="H217" s="22" t="s">
        <v>1436</v>
      </c>
    </row>
    <row r="218" spans="1:8" x14ac:dyDescent="0.2">
      <c r="A218" s="21" t="s">
        <v>2524</v>
      </c>
      <c r="B218" s="22" t="s">
        <v>418</v>
      </c>
      <c r="C218" s="21" t="s">
        <v>2931</v>
      </c>
      <c r="D218" s="22" t="s">
        <v>885</v>
      </c>
      <c r="E218" s="21" t="s">
        <v>2975</v>
      </c>
      <c r="F218" s="22" t="s">
        <v>955</v>
      </c>
      <c r="G218" s="21" t="s">
        <v>2539</v>
      </c>
      <c r="H218" s="22" t="s">
        <v>440</v>
      </c>
    </row>
    <row r="219" spans="1:8" x14ac:dyDescent="0.2">
      <c r="A219" s="21" t="s">
        <v>2313</v>
      </c>
      <c r="B219" s="22" t="s">
        <v>180</v>
      </c>
      <c r="C219" s="21" t="s">
        <v>2653</v>
      </c>
      <c r="D219" s="22" t="s">
        <v>569</v>
      </c>
      <c r="E219" s="21" t="s">
        <v>3170</v>
      </c>
      <c r="F219" s="22" t="s">
        <v>1181</v>
      </c>
      <c r="G219" s="21" t="s">
        <v>2836</v>
      </c>
      <c r="H219" s="22" t="s">
        <v>786</v>
      </c>
    </row>
    <row r="220" spans="1:8" x14ac:dyDescent="0.2">
      <c r="A220" s="21" t="s">
        <v>2440</v>
      </c>
      <c r="B220" s="22" t="s">
        <v>328</v>
      </c>
      <c r="C220" s="21" t="s">
        <v>2966</v>
      </c>
      <c r="D220" s="22" t="s">
        <v>938</v>
      </c>
      <c r="E220" s="21" t="s">
        <v>3146</v>
      </c>
      <c r="F220" s="22" t="s">
        <v>1156</v>
      </c>
      <c r="G220" s="21" t="s">
        <v>3517</v>
      </c>
      <c r="H220" s="22" t="s">
        <v>1592</v>
      </c>
    </row>
    <row r="221" spans="1:8" x14ac:dyDescent="0.2">
      <c r="A221" s="21" t="s">
        <v>3423</v>
      </c>
      <c r="B221" s="22" t="s">
        <v>1469</v>
      </c>
      <c r="C221" s="21" t="s">
        <v>2310</v>
      </c>
      <c r="D221" s="22" t="s">
        <v>171</v>
      </c>
      <c r="E221" s="21" t="s">
        <v>2829</v>
      </c>
      <c r="F221" s="22" t="s">
        <v>770</v>
      </c>
      <c r="G221" s="21" t="s">
        <v>3075</v>
      </c>
      <c r="H221" s="22" t="s">
        <v>1080</v>
      </c>
    </row>
    <row r="222" spans="1:8" x14ac:dyDescent="0.2">
      <c r="A222" s="21" t="s">
        <v>3032</v>
      </c>
      <c r="B222" s="22" t="s">
        <v>1014</v>
      </c>
      <c r="C222" s="21" t="s">
        <v>2278</v>
      </c>
      <c r="D222" s="22" t="s">
        <v>139</v>
      </c>
      <c r="E222" s="21" t="s">
        <v>2789</v>
      </c>
      <c r="F222" s="22" t="s">
        <v>732</v>
      </c>
      <c r="G222" s="21" t="s">
        <v>3541</v>
      </c>
      <c r="H222" s="22" t="s">
        <v>1616</v>
      </c>
    </row>
    <row r="223" spans="1:8" x14ac:dyDescent="0.2">
      <c r="A223" s="21" t="s">
        <v>3356</v>
      </c>
      <c r="B223" s="22" t="s">
        <v>1374</v>
      </c>
      <c r="C223" s="21" t="s">
        <v>2266</v>
      </c>
      <c r="D223" s="22" t="s">
        <v>125</v>
      </c>
      <c r="E223" s="21" t="s">
        <v>2963</v>
      </c>
      <c r="F223" s="22" t="s">
        <v>942</v>
      </c>
      <c r="G223" s="21" t="s">
        <v>2276</v>
      </c>
      <c r="H223" s="22" t="s">
        <v>132</v>
      </c>
    </row>
    <row r="224" spans="1:8" x14ac:dyDescent="0.2">
      <c r="A224" s="21" t="s">
        <v>2672</v>
      </c>
      <c r="B224" s="22" t="s">
        <v>580</v>
      </c>
      <c r="C224" s="21" t="s">
        <v>2982</v>
      </c>
      <c r="D224" s="22" t="s">
        <v>952</v>
      </c>
      <c r="E224" s="21" t="s">
        <v>3282</v>
      </c>
      <c r="F224" s="22" t="s">
        <v>1300</v>
      </c>
      <c r="G224" s="21" t="s">
        <v>2431</v>
      </c>
      <c r="H224" s="22" t="s">
        <v>325</v>
      </c>
    </row>
    <row r="225" spans="1:8" x14ac:dyDescent="0.2">
      <c r="A225" s="21" t="s">
        <v>3308</v>
      </c>
      <c r="B225" s="22" t="s">
        <v>1321</v>
      </c>
      <c r="C225" s="21" t="s">
        <v>2349</v>
      </c>
      <c r="D225" s="22" t="s">
        <v>224</v>
      </c>
      <c r="E225" s="21" t="s">
        <v>3074</v>
      </c>
      <c r="F225" s="22" t="s">
        <v>1078</v>
      </c>
      <c r="G225" s="21" t="s">
        <v>2794</v>
      </c>
      <c r="H225" s="22" t="s">
        <v>735</v>
      </c>
    </row>
    <row r="226" spans="1:8" x14ac:dyDescent="0.2">
      <c r="A226" s="25"/>
      <c r="B226" s="26"/>
      <c r="C226" s="25"/>
      <c r="D226" s="26"/>
      <c r="E226" s="25"/>
      <c r="F226" s="26"/>
      <c r="G226" s="25"/>
      <c r="H226" s="26"/>
    </row>
    <row r="227" spans="1:8" x14ac:dyDescent="0.2">
      <c r="A227" s="21" t="s">
        <v>3360</v>
      </c>
      <c r="B227" s="22" t="s">
        <v>1386</v>
      </c>
      <c r="C227" s="21" t="s">
        <v>2923</v>
      </c>
      <c r="D227" s="22" t="s">
        <v>886</v>
      </c>
      <c r="E227" s="21" t="s">
        <v>2206</v>
      </c>
      <c r="F227" s="22" t="s">
        <v>900</v>
      </c>
      <c r="G227" s="21" t="s">
        <v>3471</v>
      </c>
      <c r="H227" s="22" t="s">
        <v>1530</v>
      </c>
    </row>
    <row r="228" spans="1:8" x14ac:dyDescent="0.2">
      <c r="A228" s="21" t="s">
        <v>3124</v>
      </c>
      <c r="B228" s="22" t="s">
        <v>1122</v>
      </c>
      <c r="C228" s="21" t="s">
        <v>3261</v>
      </c>
      <c r="D228" s="22" t="s">
        <v>1272</v>
      </c>
      <c r="E228" s="21" t="s">
        <v>3258</v>
      </c>
      <c r="F228" s="22" t="s">
        <v>1275</v>
      </c>
      <c r="G228" s="21" t="s">
        <v>2332</v>
      </c>
      <c r="H228" s="22" t="s">
        <v>202</v>
      </c>
    </row>
    <row r="229" spans="1:8" x14ac:dyDescent="0.2">
      <c r="A229" s="21" t="s">
        <v>3276</v>
      </c>
      <c r="B229" s="22" t="s">
        <v>1295</v>
      </c>
      <c r="C229" s="21" t="s">
        <v>2242</v>
      </c>
      <c r="D229" s="22" t="s">
        <v>99</v>
      </c>
      <c r="E229" s="21" t="s">
        <v>3445</v>
      </c>
      <c r="F229" s="22" t="s">
        <v>1488</v>
      </c>
      <c r="G229" s="21" t="s">
        <v>2917</v>
      </c>
      <c r="H229" s="22" t="s">
        <v>878</v>
      </c>
    </row>
    <row r="230" spans="1:8" x14ac:dyDescent="0.2">
      <c r="A230" s="21" t="s">
        <v>2392</v>
      </c>
      <c r="B230" s="22" t="s">
        <v>275</v>
      </c>
      <c r="C230" s="21" t="s">
        <v>2954</v>
      </c>
      <c r="D230" s="22" t="s">
        <v>925</v>
      </c>
      <c r="E230" s="21" t="s">
        <v>2426</v>
      </c>
      <c r="F230" s="22" t="s">
        <v>322</v>
      </c>
      <c r="G230" s="21" t="s">
        <v>3403</v>
      </c>
      <c r="H230" s="22" t="s">
        <v>1438</v>
      </c>
    </row>
    <row r="231" spans="1:8" x14ac:dyDescent="0.2">
      <c r="A231" s="21" t="s">
        <v>2163</v>
      </c>
      <c r="B231" s="22" t="s">
        <v>986</v>
      </c>
      <c r="C231" s="21" t="s">
        <v>2185</v>
      </c>
      <c r="D231" s="22" t="s">
        <v>897</v>
      </c>
      <c r="E231" s="21" t="s">
        <v>2670</v>
      </c>
      <c r="F231" s="22" t="s">
        <v>586</v>
      </c>
      <c r="G231" s="21" t="s">
        <v>2742</v>
      </c>
      <c r="H231" s="22" t="s">
        <v>680</v>
      </c>
    </row>
    <row r="232" spans="1:8" x14ac:dyDescent="0.2">
      <c r="A232" s="21" t="s">
        <v>3176</v>
      </c>
      <c r="B232" s="22" t="s">
        <v>1177</v>
      </c>
      <c r="C232" s="21" t="s">
        <v>3424</v>
      </c>
      <c r="D232" s="22" t="s">
        <v>1470</v>
      </c>
      <c r="E232" s="21" t="s">
        <v>2821</v>
      </c>
      <c r="F232" s="22" t="s">
        <v>758</v>
      </c>
      <c r="G232" s="21" t="s">
        <v>2726</v>
      </c>
      <c r="H232" s="22" t="s">
        <v>653</v>
      </c>
    </row>
    <row r="233" spans="1:8" x14ac:dyDescent="0.2">
      <c r="A233" s="21" t="s">
        <v>2164</v>
      </c>
      <c r="B233" s="22" t="s">
        <v>1455</v>
      </c>
      <c r="C233" s="21" t="s">
        <v>2569</v>
      </c>
      <c r="D233" s="22" t="s">
        <v>475</v>
      </c>
      <c r="E233" s="21" t="s">
        <v>2646</v>
      </c>
      <c r="F233" s="22" t="s">
        <v>559</v>
      </c>
      <c r="G233" s="21" t="s">
        <v>3603</v>
      </c>
      <c r="H233" s="22" t="s">
        <v>1685</v>
      </c>
    </row>
    <row r="234" spans="1:8" x14ac:dyDescent="0.2">
      <c r="A234" s="21" t="s">
        <v>2321</v>
      </c>
      <c r="B234" s="22" t="s">
        <v>181</v>
      </c>
      <c r="C234" s="21" t="s">
        <v>3205</v>
      </c>
      <c r="D234" s="22" t="s">
        <v>1218</v>
      </c>
      <c r="E234" s="21" t="s">
        <v>2370</v>
      </c>
      <c r="F234" s="22" t="s">
        <v>253</v>
      </c>
      <c r="G234" s="21" t="s">
        <v>3083</v>
      </c>
      <c r="H234" s="22" t="s">
        <v>1081</v>
      </c>
    </row>
    <row r="235" spans="1:8" x14ac:dyDescent="0.2">
      <c r="A235" s="21" t="s">
        <v>2846</v>
      </c>
      <c r="B235" s="22" t="s">
        <v>791</v>
      </c>
      <c r="C235" s="21" t="s">
        <v>2409</v>
      </c>
      <c r="D235" s="22" t="s">
        <v>291</v>
      </c>
      <c r="E235" s="21" t="s">
        <v>2418</v>
      </c>
      <c r="F235" s="22" t="s">
        <v>308</v>
      </c>
      <c r="G235" s="21" t="s">
        <v>2511</v>
      </c>
      <c r="H235" s="22" t="s">
        <v>415</v>
      </c>
    </row>
    <row r="236" spans="1:8" x14ac:dyDescent="0.2">
      <c r="A236" s="21" t="s">
        <v>3439</v>
      </c>
      <c r="B236" s="22" t="s">
        <v>1481</v>
      </c>
      <c r="C236" s="21" t="s">
        <v>2186</v>
      </c>
      <c r="D236" s="22" t="s">
        <v>898</v>
      </c>
      <c r="E236" s="21" t="s">
        <v>2809</v>
      </c>
      <c r="F236" s="22" t="s">
        <v>744</v>
      </c>
      <c r="G236" s="21" t="s">
        <v>2853</v>
      </c>
      <c r="H236" s="22" t="s">
        <v>812</v>
      </c>
    </row>
    <row r="237" spans="1:8" x14ac:dyDescent="0.2">
      <c r="A237" s="25"/>
      <c r="B237" s="26"/>
      <c r="C237" s="25"/>
      <c r="D237" s="26"/>
      <c r="E237" s="25"/>
      <c r="F237" s="26"/>
      <c r="G237" s="25"/>
      <c r="H237" s="26"/>
    </row>
    <row r="238" spans="1:8" x14ac:dyDescent="0.2">
      <c r="A238" s="21" t="s">
        <v>2648</v>
      </c>
      <c r="B238" s="22" t="s">
        <v>552</v>
      </c>
      <c r="C238" s="21" t="s">
        <v>2828</v>
      </c>
      <c r="D238" s="22" t="s">
        <v>768</v>
      </c>
      <c r="E238" s="21" t="s">
        <v>3437</v>
      </c>
      <c r="F238" s="22" t="s">
        <v>1489</v>
      </c>
      <c r="G238" s="21" t="s">
        <v>3251</v>
      </c>
      <c r="H238" s="22" t="s">
        <v>1264</v>
      </c>
    </row>
    <row r="239" spans="1:8" x14ac:dyDescent="0.2">
      <c r="A239" s="21" t="s">
        <v>2360</v>
      </c>
      <c r="B239" s="22" t="s">
        <v>233</v>
      </c>
      <c r="C239" s="21" t="s">
        <v>3456</v>
      </c>
      <c r="D239" s="22" t="s">
        <v>1497</v>
      </c>
      <c r="E239" s="21" t="s">
        <v>2689</v>
      </c>
      <c r="F239" s="22" t="s">
        <v>611</v>
      </c>
      <c r="G239" s="21" t="s">
        <v>2443</v>
      </c>
      <c r="H239" s="22" t="s">
        <v>337</v>
      </c>
    </row>
    <row r="240" spans="1:8" x14ac:dyDescent="0.2">
      <c r="A240" s="21" t="s">
        <v>2265</v>
      </c>
      <c r="B240" s="22" t="s">
        <v>123</v>
      </c>
      <c r="C240" s="21" t="s">
        <v>2938</v>
      </c>
      <c r="D240" s="22" t="s">
        <v>912</v>
      </c>
      <c r="E240" s="21" t="s">
        <v>2207</v>
      </c>
      <c r="F240" s="22" t="s">
        <v>46</v>
      </c>
      <c r="G240" s="21" t="s">
        <v>2694</v>
      </c>
      <c r="H240" s="22" t="s">
        <v>627</v>
      </c>
    </row>
    <row r="241" spans="1:8" x14ac:dyDescent="0.2">
      <c r="A241" s="21" t="s">
        <v>3140</v>
      </c>
      <c r="B241" s="22" t="s">
        <v>1136</v>
      </c>
      <c r="C241" s="21" t="s">
        <v>2883</v>
      </c>
      <c r="D241" s="22" t="s">
        <v>832</v>
      </c>
      <c r="E241" s="21" t="s">
        <v>2208</v>
      </c>
      <c r="F241" s="22" t="s">
        <v>1527</v>
      </c>
      <c r="G241" s="21" t="s">
        <v>2778</v>
      </c>
      <c r="H241" s="22" t="s">
        <v>721</v>
      </c>
    </row>
    <row r="242" spans="1:8" x14ac:dyDescent="0.2">
      <c r="A242" s="21" t="s">
        <v>2404</v>
      </c>
      <c r="B242" s="22" t="s">
        <v>289</v>
      </c>
      <c r="C242" s="21" t="s">
        <v>3369</v>
      </c>
      <c r="D242" s="22" t="s">
        <v>1389</v>
      </c>
      <c r="E242" s="21" t="s">
        <v>2943</v>
      </c>
      <c r="F242" s="22" t="s">
        <v>914</v>
      </c>
      <c r="G242" s="21" t="s">
        <v>2934</v>
      </c>
      <c r="H242" s="22" t="s">
        <v>903</v>
      </c>
    </row>
    <row r="243" spans="1:8" x14ac:dyDescent="0.2">
      <c r="A243" s="21" t="s">
        <v>3538</v>
      </c>
      <c r="B243" s="22" t="s">
        <v>1609</v>
      </c>
      <c r="C243" s="21" t="s">
        <v>2899</v>
      </c>
      <c r="D243" s="22" t="s">
        <v>858</v>
      </c>
      <c r="E243" s="21" t="s">
        <v>2868</v>
      </c>
      <c r="F243" s="22" t="s">
        <v>821</v>
      </c>
      <c r="G243" s="21" t="s">
        <v>2559</v>
      </c>
      <c r="H243" s="22" t="s">
        <v>468</v>
      </c>
    </row>
    <row r="244" spans="1:8" x14ac:dyDescent="0.2">
      <c r="A244" s="21" t="s">
        <v>2356</v>
      </c>
      <c r="B244" s="22" t="s">
        <v>234</v>
      </c>
      <c r="C244" s="21" t="s">
        <v>2501</v>
      </c>
      <c r="D244" s="22" t="s">
        <v>396</v>
      </c>
      <c r="E244" s="21" t="s">
        <v>3206</v>
      </c>
      <c r="F244" s="22" t="s">
        <v>1222</v>
      </c>
      <c r="G244" s="21" t="s">
        <v>2921</v>
      </c>
      <c r="H244" s="22" t="s">
        <v>879</v>
      </c>
    </row>
    <row r="245" spans="1:8" x14ac:dyDescent="0.2">
      <c r="A245" s="21" t="s">
        <v>2596</v>
      </c>
      <c r="B245" s="22" t="s">
        <v>498</v>
      </c>
      <c r="C245" s="21" t="s">
        <v>2187</v>
      </c>
      <c r="D245" s="22" t="s">
        <v>989</v>
      </c>
      <c r="E245" s="21" t="s">
        <v>3370</v>
      </c>
      <c r="F245" s="22" t="s">
        <v>1393</v>
      </c>
      <c r="G245" s="21" t="s">
        <v>2643</v>
      </c>
      <c r="H245" s="22" t="s">
        <v>562</v>
      </c>
    </row>
    <row r="246" spans="1:8" x14ac:dyDescent="0.2">
      <c r="A246" s="21" t="s">
        <v>2691</v>
      </c>
      <c r="B246" s="22" t="s">
        <v>619</v>
      </c>
      <c r="C246" s="21" t="s">
        <v>3209</v>
      </c>
      <c r="D246" s="22" t="s">
        <v>1219</v>
      </c>
      <c r="E246" s="21" t="s">
        <v>3090</v>
      </c>
      <c r="F246" s="22" t="s">
        <v>1090</v>
      </c>
      <c r="G246" s="21" t="s">
        <v>2338</v>
      </c>
      <c r="H246" s="22" t="s">
        <v>218</v>
      </c>
    </row>
    <row r="247" spans="1:8" x14ac:dyDescent="0.2">
      <c r="A247" s="21" t="s">
        <v>3064</v>
      </c>
      <c r="B247" s="22" t="s">
        <v>1058</v>
      </c>
      <c r="C247" s="21" t="s">
        <v>3444</v>
      </c>
      <c r="D247" s="22" t="s">
        <v>1485</v>
      </c>
      <c r="E247" s="21" t="s">
        <v>2209</v>
      </c>
      <c r="F247" s="22" t="s">
        <v>992</v>
      </c>
      <c r="G247" s="21" t="s">
        <v>2268</v>
      </c>
      <c r="H247" s="22" t="s">
        <v>133</v>
      </c>
    </row>
    <row r="248" spans="1:8" x14ac:dyDescent="0.2">
      <c r="A248" s="25"/>
      <c r="B248" s="26"/>
      <c r="C248" s="25"/>
      <c r="D248" s="26"/>
      <c r="E248" s="25"/>
      <c r="F248" s="26"/>
      <c r="G248" s="25"/>
      <c r="H248" s="26"/>
    </row>
    <row r="249" spans="1:8" x14ac:dyDescent="0.2">
      <c r="A249" s="21" t="s">
        <v>2711</v>
      </c>
      <c r="B249" s="22" t="s">
        <v>631</v>
      </c>
      <c r="C249" s="21" t="s">
        <v>2669</v>
      </c>
      <c r="D249" s="22" t="s">
        <v>582</v>
      </c>
      <c r="E249" s="21" t="s">
        <v>3250</v>
      </c>
      <c r="F249" s="22" t="s">
        <v>1261</v>
      </c>
      <c r="G249" s="21" t="s">
        <v>2347</v>
      </c>
      <c r="H249" s="22" t="s">
        <v>230</v>
      </c>
    </row>
    <row r="250" spans="1:8" x14ac:dyDescent="0.2">
      <c r="A250" s="21" t="s">
        <v>2165</v>
      </c>
      <c r="B250" s="22" t="s">
        <v>206</v>
      </c>
      <c r="C250" s="21" t="s">
        <v>2712</v>
      </c>
      <c r="D250" s="22" t="s">
        <v>634</v>
      </c>
      <c r="E250" s="21" t="s">
        <v>2263</v>
      </c>
      <c r="F250" s="22" t="s">
        <v>116</v>
      </c>
      <c r="G250" s="21" t="s">
        <v>2483</v>
      </c>
      <c r="H250" s="22" t="s">
        <v>377</v>
      </c>
    </row>
    <row r="251" spans="1:8" x14ac:dyDescent="0.2">
      <c r="A251" s="21" t="s">
        <v>2472</v>
      </c>
      <c r="B251" s="22" t="s">
        <v>366</v>
      </c>
      <c r="C251" s="21" t="s">
        <v>3069</v>
      </c>
      <c r="D251" s="22" t="s">
        <v>1061</v>
      </c>
      <c r="E251" s="21" t="s">
        <v>2864</v>
      </c>
      <c r="F251" s="22" t="s">
        <v>822</v>
      </c>
      <c r="G251" s="21" t="s">
        <v>2304</v>
      </c>
      <c r="H251" s="22" t="s">
        <v>177</v>
      </c>
    </row>
    <row r="252" spans="1:8" x14ac:dyDescent="0.2">
      <c r="A252" s="21" t="s">
        <v>3028</v>
      </c>
      <c r="B252" s="22" t="s">
        <v>1015</v>
      </c>
      <c r="C252" s="21" t="s">
        <v>3361</v>
      </c>
      <c r="D252" s="22" t="s">
        <v>1390</v>
      </c>
      <c r="E252" s="21" t="s">
        <v>2474</v>
      </c>
      <c r="F252" s="22" t="s">
        <v>374</v>
      </c>
      <c r="G252" s="21" t="s">
        <v>2935</v>
      </c>
      <c r="H252" s="22" t="s">
        <v>904</v>
      </c>
    </row>
    <row r="253" spans="1:8" x14ac:dyDescent="0.2">
      <c r="A253" s="21" t="s">
        <v>2989</v>
      </c>
      <c r="B253" s="22" t="s">
        <v>962</v>
      </c>
      <c r="C253" s="21" t="s">
        <v>3559</v>
      </c>
      <c r="D253" s="22" t="s">
        <v>1625</v>
      </c>
      <c r="E253" s="21" t="s">
        <v>2614</v>
      </c>
      <c r="F253" s="22" t="s">
        <v>518</v>
      </c>
      <c r="G253" s="21" t="s">
        <v>2845</v>
      </c>
      <c r="H253" s="22" t="s">
        <v>800</v>
      </c>
    </row>
    <row r="254" spans="1:8" x14ac:dyDescent="0.2">
      <c r="A254" s="21" t="s">
        <v>2249</v>
      </c>
      <c r="B254" s="22" t="s">
        <v>97</v>
      </c>
      <c r="C254" s="21" t="s">
        <v>3161</v>
      </c>
      <c r="D254" s="22" t="s">
        <v>1167</v>
      </c>
      <c r="E254" s="21" t="s">
        <v>3034</v>
      </c>
      <c r="F254" s="22" t="s">
        <v>1021</v>
      </c>
      <c r="G254" s="21" t="s">
        <v>3167</v>
      </c>
      <c r="H254" s="22" t="s">
        <v>1172</v>
      </c>
    </row>
    <row r="255" spans="1:8" x14ac:dyDescent="0.2">
      <c r="A255" s="21" t="s">
        <v>2926</v>
      </c>
      <c r="B255" s="22" t="s">
        <v>883</v>
      </c>
      <c r="C255" s="21" t="s">
        <v>2740</v>
      </c>
      <c r="D255" s="22" t="s">
        <v>674</v>
      </c>
      <c r="E255" s="21" t="s">
        <v>2210</v>
      </c>
      <c r="F255" s="22" t="s">
        <v>993</v>
      </c>
      <c r="G255" s="21" t="s">
        <v>3191</v>
      </c>
      <c r="H255" s="22" t="s">
        <v>1198</v>
      </c>
    </row>
    <row r="256" spans="1:8" x14ac:dyDescent="0.2">
      <c r="A256" s="21" t="s">
        <v>2166</v>
      </c>
      <c r="B256" s="22" t="s">
        <v>1520</v>
      </c>
      <c r="C256" s="21" t="s">
        <v>3499</v>
      </c>
      <c r="D256" s="22" t="s">
        <v>1570</v>
      </c>
      <c r="E256" s="21" t="s">
        <v>2987</v>
      </c>
      <c r="F256" s="22" t="s">
        <v>967</v>
      </c>
      <c r="G256" s="21" t="s">
        <v>2284</v>
      </c>
      <c r="H256" s="22" t="s">
        <v>146</v>
      </c>
    </row>
    <row r="257" spans="1:8" x14ac:dyDescent="0.2">
      <c r="A257" s="21" t="s">
        <v>3120</v>
      </c>
      <c r="B257" s="22" t="s">
        <v>1123</v>
      </c>
      <c r="C257" s="21" t="s">
        <v>2613</v>
      </c>
      <c r="D257" s="22" t="s">
        <v>515</v>
      </c>
      <c r="E257" s="21" t="s">
        <v>3302</v>
      </c>
      <c r="F257" s="22" t="s">
        <v>1327</v>
      </c>
      <c r="G257" s="21" t="s">
        <v>2881</v>
      </c>
      <c r="H257" s="22" t="s">
        <v>838</v>
      </c>
    </row>
    <row r="258" spans="1:8" x14ac:dyDescent="0.2">
      <c r="A258" s="23" t="s">
        <v>3100</v>
      </c>
      <c r="B258" s="24" t="s">
        <v>1098</v>
      </c>
      <c r="C258" s="23" t="s">
        <v>2557</v>
      </c>
      <c r="D258" s="24" t="s">
        <v>461</v>
      </c>
      <c r="E258" s="23" t="s">
        <v>2880</v>
      </c>
      <c r="F258" s="24" t="s">
        <v>836</v>
      </c>
      <c r="G258" s="23" t="s">
        <v>3481</v>
      </c>
      <c r="H258" s="24" t="s">
        <v>1548</v>
      </c>
    </row>
    <row r="259" spans="1:8" x14ac:dyDescent="0.2">
      <c r="A259" s="21" t="s">
        <v>2329</v>
      </c>
      <c r="B259" s="22" t="s">
        <v>193</v>
      </c>
      <c r="C259" s="21" t="s">
        <v>3217</v>
      </c>
      <c r="D259" s="22" t="s">
        <v>1230</v>
      </c>
      <c r="E259" s="21" t="s">
        <v>2550</v>
      </c>
      <c r="F259" s="22" t="s">
        <v>452</v>
      </c>
      <c r="G259" s="21" t="s">
        <v>3019</v>
      </c>
      <c r="H259" s="22" t="s">
        <v>1011</v>
      </c>
    </row>
    <row r="260" spans="1:8" x14ac:dyDescent="0.2">
      <c r="A260" s="21" t="s">
        <v>2965</v>
      </c>
      <c r="B260" s="22" t="s">
        <v>935</v>
      </c>
      <c r="C260" s="21" t="s">
        <v>2188</v>
      </c>
      <c r="D260" s="22" t="s">
        <v>990</v>
      </c>
      <c r="E260" s="21" t="s">
        <v>2522</v>
      </c>
      <c r="F260" s="22" t="s">
        <v>424</v>
      </c>
      <c r="G260" s="21" t="s">
        <v>2972</v>
      </c>
      <c r="H260" s="22" t="s">
        <v>944</v>
      </c>
    </row>
    <row r="261" spans="1:8" x14ac:dyDescent="0.2">
      <c r="A261" s="21" t="s">
        <v>3056</v>
      </c>
      <c r="B261" s="22" t="s">
        <v>1045</v>
      </c>
      <c r="C261" s="21" t="s">
        <v>3193</v>
      </c>
      <c r="D261" s="22" t="s">
        <v>1205</v>
      </c>
      <c r="E261" s="21" t="s">
        <v>2693</v>
      </c>
      <c r="F261" s="22" t="s">
        <v>625</v>
      </c>
      <c r="G261" s="21" t="s">
        <v>3387</v>
      </c>
      <c r="H261" s="22" t="s">
        <v>1422</v>
      </c>
    </row>
    <row r="262" spans="1:8" x14ac:dyDescent="0.2">
      <c r="A262" s="21" t="s">
        <v>3024</v>
      </c>
      <c r="B262" s="22" t="s">
        <v>1017</v>
      </c>
      <c r="C262" s="21" t="s">
        <v>2684</v>
      </c>
      <c r="D262" s="22" t="s">
        <v>609</v>
      </c>
      <c r="E262" s="21" t="s">
        <v>3190</v>
      </c>
      <c r="F262" s="22" t="s">
        <v>1196</v>
      </c>
      <c r="G262" s="21" t="s">
        <v>2571</v>
      </c>
      <c r="H262" s="22" t="s">
        <v>479</v>
      </c>
    </row>
    <row r="263" spans="1:8" x14ac:dyDescent="0.2">
      <c r="A263" s="21" t="s">
        <v>2384</v>
      </c>
      <c r="B263" s="22" t="s">
        <v>261</v>
      </c>
      <c r="C263" s="21" t="s">
        <v>2397</v>
      </c>
      <c r="D263" s="22" t="s">
        <v>278</v>
      </c>
      <c r="E263" s="21" t="s">
        <v>3114</v>
      </c>
      <c r="F263" s="22" t="s">
        <v>1116</v>
      </c>
      <c r="G263" s="21" t="s">
        <v>3283</v>
      </c>
      <c r="H263" s="22" t="s">
        <v>1304</v>
      </c>
    </row>
    <row r="264" spans="1:8" x14ac:dyDescent="0.2">
      <c r="A264" s="21" t="s">
        <v>2719</v>
      </c>
      <c r="B264" s="22" t="s">
        <v>644</v>
      </c>
      <c r="C264" s="21" t="s">
        <v>2282</v>
      </c>
      <c r="D264" s="22" t="s">
        <v>141</v>
      </c>
      <c r="E264" s="21" t="s">
        <v>2211</v>
      </c>
      <c r="F264" s="22" t="s">
        <v>599</v>
      </c>
      <c r="G264" s="21" t="s">
        <v>3215</v>
      </c>
      <c r="H264" s="22" t="s">
        <v>1225</v>
      </c>
    </row>
    <row r="265" spans="1:8" x14ac:dyDescent="0.2">
      <c r="A265" s="21" t="s">
        <v>2656</v>
      </c>
      <c r="B265" s="22" t="s">
        <v>567</v>
      </c>
      <c r="C265" s="21" t="s">
        <v>2962</v>
      </c>
      <c r="D265" s="22" t="s">
        <v>939</v>
      </c>
      <c r="E265" s="21" t="s">
        <v>2342</v>
      </c>
      <c r="F265" s="22" t="s">
        <v>228</v>
      </c>
      <c r="G265" s="21" t="s">
        <v>2869</v>
      </c>
      <c r="H265" s="22" t="s">
        <v>825</v>
      </c>
    </row>
    <row r="266" spans="1:8" x14ac:dyDescent="0.2">
      <c r="A266" s="21" t="s">
        <v>2225</v>
      </c>
      <c r="B266" s="22" t="s">
        <v>64</v>
      </c>
      <c r="C266" s="21" t="s">
        <v>2189</v>
      </c>
      <c r="D266" s="22" t="s">
        <v>211</v>
      </c>
      <c r="E266" s="21" t="s">
        <v>3178</v>
      </c>
      <c r="F266" s="22" t="s">
        <v>1182</v>
      </c>
      <c r="G266" s="21" t="s">
        <v>2834</v>
      </c>
      <c r="H266" s="22" t="s">
        <v>773</v>
      </c>
    </row>
    <row r="267" spans="1:8" x14ac:dyDescent="0.2">
      <c r="A267" s="21" t="s">
        <v>2504</v>
      </c>
      <c r="B267" s="22" t="s">
        <v>393</v>
      </c>
      <c r="C267" s="21" t="s">
        <v>2341</v>
      </c>
      <c r="D267" s="22" t="s">
        <v>225</v>
      </c>
      <c r="E267" s="21" t="s">
        <v>3386</v>
      </c>
      <c r="F267" s="22" t="s">
        <v>1418</v>
      </c>
      <c r="G267" s="21" t="s">
        <v>2631</v>
      </c>
      <c r="H267" s="22" t="s">
        <v>549</v>
      </c>
    </row>
    <row r="268" spans="1:8" x14ac:dyDescent="0.2">
      <c r="A268" s="21" t="s">
        <v>3228</v>
      </c>
      <c r="B268" s="22" t="s">
        <v>1241</v>
      </c>
      <c r="C268" s="21" t="s">
        <v>2792</v>
      </c>
      <c r="D268" s="22" t="s">
        <v>728</v>
      </c>
      <c r="E268" s="21" t="s">
        <v>2212</v>
      </c>
      <c r="F268" s="22" t="s">
        <v>1459</v>
      </c>
      <c r="G268" s="21" t="s">
        <v>2487</v>
      </c>
      <c r="H268" s="22" t="s">
        <v>389</v>
      </c>
    </row>
    <row r="269" spans="1:8" x14ac:dyDescent="0.2">
      <c r="A269" s="25"/>
      <c r="B269" s="26"/>
      <c r="C269" s="25"/>
      <c r="D269" s="26"/>
      <c r="E269" s="25"/>
      <c r="F269" s="26"/>
      <c r="G269" s="25"/>
      <c r="H269" s="26"/>
    </row>
    <row r="270" spans="1:8" x14ac:dyDescent="0.2">
      <c r="A270" s="21" t="s">
        <v>2500</v>
      </c>
      <c r="B270" s="22" t="s">
        <v>394</v>
      </c>
      <c r="C270" s="21" t="s">
        <v>2521</v>
      </c>
      <c r="D270" s="22" t="s">
        <v>423</v>
      </c>
      <c r="E270" s="21" t="s">
        <v>3429</v>
      </c>
      <c r="F270" s="22" t="s">
        <v>1473</v>
      </c>
      <c r="G270" s="21" t="s">
        <v>2399</v>
      </c>
      <c r="H270" s="22" t="s">
        <v>285</v>
      </c>
    </row>
    <row r="271" spans="1:8" x14ac:dyDescent="0.2">
      <c r="A271" s="21" t="s">
        <v>3256</v>
      </c>
      <c r="B271" s="22" t="s">
        <v>1268</v>
      </c>
      <c r="C271" s="21" t="s">
        <v>3169</v>
      </c>
      <c r="D271" s="22" t="s">
        <v>1179</v>
      </c>
      <c r="E271" s="21" t="s">
        <v>2494</v>
      </c>
      <c r="F271" s="22" t="s">
        <v>385</v>
      </c>
      <c r="G271" s="21" t="s">
        <v>2395</v>
      </c>
      <c r="H271" s="22" t="s">
        <v>286</v>
      </c>
    </row>
    <row r="272" spans="1:8" x14ac:dyDescent="0.2">
      <c r="A272" s="21" t="s">
        <v>3482</v>
      </c>
      <c r="B272" s="22" t="s">
        <v>1537</v>
      </c>
      <c r="C272" s="21" t="s">
        <v>2190</v>
      </c>
      <c r="D272" s="22" t="s">
        <v>991</v>
      </c>
      <c r="E272" s="21" t="s">
        <v>2606</v>
      </c>
      <c r="F272" s="22" t="s">
        <v>519</v>
      </c>
      <c r="G272" s="21" t="s">
        <v>2826</v>
      </c>
      <c r="H272" s="22" t="s">
        <v>774</v>
      </c>
    </row>
    <row r="273" spans="1:8" x14ac:dyDescent="0.2">
      <c r="A273" s="21" t="s">
        <v>2464</v>
      </c>
      <c r="B273" s="22" t="s">
        <v>354</v>
      </c>
      <c r="C273" s="21" t="s">
        <v>2437</v>
      </c>
      <c r="D273" s="22" t="s">
        <v>332</v>
      </c>
      <c r="E273" s="21" t="s">
        <v>2713</v>
      </c>
      <c r="F273" s="22" t="s">
        <v>637</v>
      </c>
      <c r="G273" s="21" t="s">
        <v>3509</v>
      </c>
      <c r="H273" s="22" t="s">
        <v>1574</v>
      </c>
    </row>
    <row r="274" spans="1:8" x14ac:dyDescent="0.2">
      <c r="A274" s="21" t="s">
        <v>3108</v>
      </c>
      <c r="B274" s="22" t="s">
        <v>1111</v>
      </c>
      <c r="C274" s="21" t="s">
        <v>2191</v>
      </c>
      <c r="D274" s="22" t="s">
        <v>1524</v>
      </c>
      <c r="E274" s="21" t="s">
        <v>2570</v>
      </c>
      <c r="F274" s="22" t="s">
        <v>478</v>
      </c>
      <c r="G274" s="21" t="s">
        <v>3430</v>
      </c>
      <c r="H274" s="22" t="s">
        <v>1478</v>
      </c>
    </row>
    <row r="275" spans="1:8" x14ac:dyDescent="0.2">
      <c r="A275" s="21" t="s">
        <v>3264</v>
      </c>
      <c r="B275" s="22" t="s">
        <v>1281</v>
      </c>
      <c r="C275" s="21" t="s">
        <v>2641</v>
      </c>
      <c r="D275" s="22" t="s">
        <v>556</v>
      </c>
      <c r="E275" s="21" t="s">
        <v>2590</v>
      </c>
      <c r="F275" s="22" t="s">
        <v>489</v>
      </c>
      <c r="G275" s="21" t="s">
        <v>3275</v>
      </c>
      <c r="H275" s="22" t="s">
        <v>1290</v>
      </c>
    </row>
    <row r="276" spans="1:8" x14ac:dyDescent="0.2">
      <c r="A276" s="21" t="s">
        <v>2420</v>
      </c>
      <c r="B276" s="22" t="s">
        <v>302</v>
      </c>
      <c r="C276" s="21" t="s">
        <v>2393</v>
      </c>
      <c r="D276" s="22" t="s">
        <v>279</v>
      </c>
      <c r="E276" s="21" t="s">
        <v>2618</v>
      </c>
      <c r="F276" s="22" t="s">
        <v>531</v>
      </c>
      <c r="G276" s="21" t="s">
        <v>2877</v>
      </c>
      <c r="H276" s="22" t="s">
        <v>839</v>
      </c>
    </row>
    <row r="277" spans="1:8" x14ac:dyDescent="0.2">
      <c r="A277" s="21" t="s">
        <v>2882</v>
      </c>
      <c r="B277" s="22" t="s">
        <v>830</v>
      </c>
      <c r="C277" s="21" t="s">
        <v>2950</v>
      </c>
      <c r="D277" s="22" t="s">
        <v>926</v>
      </c>
      <c r="E277" s="21" t="s">
        <v>3314</v>
      </c>
      <c r="F277" s="22" t="s">
        <v>1341</v>
      </c>
      <c r="G277" s="21" t="s">
        <v>2865</v>
      </c>
      <c r="H277" s="22" t="s">
        <v>826</v>
      </c>
    </row>
    <row r="278" spans="1:8" x14ac:dyDescent="0.2">
      <c r="A278" s="21" t="s">
        <v>2811</v>
      </c>
      <c r="B278" s="22" t="s">
        <v>752</v>
      </c>
      <c r="C278" s="21" t="s">
        <v>2365</v>
      </c>
      <c r="D278" s="22" t="s">
        <v>249</v>
      </c>
      <c r="E278" s="21" t="s">
        <v>2932</v>
      </c>
      <c r="F278" s="22" t="s">
        <v>889</v>
      </c>
      <c r="G278" s="21" t="s">
        <v>2232</v>
      </c>
      <c r="H278" s="22" t="s">
        <v>92</v>
      </c>
    </row>
    <row r="279" spans="1:8" x14ac:dyDescent="0.2">
      <c r="A279" s="21" t="s">
        <v>2484</v>
      </c>
      <c r="B279" s="22" t="s">
        <v>380</v>
      </c>
      <c r="C279" s="21" t="s">
        <v>3285</v>
      </c>
      <c r="D279" s="22" t="s">
        <v>1298</v>
      </c>
      <c r="E279" s="21" t="s">
        <v>3154</v>
      </c>
      <c r="F279" s="22" t="s">
        <v>1157</v>
      </c>
      <c r="G279" s="21" t="s">
        <v>2336</v>
      </c>
      <c r="H279" s="22" t="s">
        <v>203</v>
      </c>
    </row>
    <row r="280" spans="1:8" x14ac:dyDescent="0.2">
      <c r="A280" s="25"/>
      <c r="B280" s="26"/>
      <c r="C280" s="25"/>
      <c r="D280" s="26"/>
      <c r="E280" s="25"/>
      <c r="F280" s="26"/>
      <c r="G280" s="25"/>
      <c r="H280" s="26"/>
    </row>
    <row r="281" spans="1:8" x14ac:dyDescent="0.2">
      <c r="A281" s="21" t="s">
        <v>3404</v>
      </c>
      <c r="B281" s="22" t="s">
        <v>1427</v>
      </c>
      <c r="C281" s="21" t="s">
        <v>3357</v>
      </c>
      <c r="D281" s="22" t="s">
        <v>1376</v>
      </c>
      <c r="E281" s="21" t="s">
        <v>2227</v>
      </c>
      <c r="F281" s="22" t="s">
        <v>73</v>
      </c>
      <c r="G281" s="21" t="s">
        <v>3299</v>
      </c>
      <c r="H281" s="22" t="s">
        <v>1317</v>
      </c>
    </row>
    <row r="282" spans="1:8" x14ac:dyDescent="0.2">
      <c r="A282" s="21" t="s">
        <v>2305</v>
      </c>
      <c r="B282" s="22" t="s">
        <v>167</v>
      </c>
      <c r="C282" s="21" t="s">
        <v>3452</v>
      </c>
      <c r="D282" s="22" t="s">
        <v>1498</v>
      </c>
      <c r="E282" s="21" t="s">
        <v>3602</v>
      </c>
      <c r="F282" s="22" t="s">
        <v>1683</v>
      </c>
      <c r="G282" s="21" t="s">
        <v>2595</v>
      </c>
      <c r="H282" s="22" t="s">
        <v>507</v>
      </c>
    </row>
    <row r="283" spans="1:8" x14ac:dyDescent="0.2">
      <c r="A283" s="21" t="s">
        <v>3036</v>
      </c>
      <c r="B283" s="22" t="s">
        <v>1029</v>
      </c>
      <c r="C283" s="21" t="s">
        <v>3145</v>
      </c>
      <c r="D283" s="22" t="s">
        <v>1153</v>
      </c>
      <c r="E283" s="21" t="s">
        <v>3118</v>
      </c>
      <c r="F283" s="22" t="s">
        <v>1117</v>
      </c>
      <c r="G283" s="21" t="s">
        <v>2463</v>
      </c>
      <c r="H283" s="22" t="s">
        <v>363</v>
      </c>
    </row>
    <row r="284" spans="1:8" x14ac:dyDescent="0.2">
      <c r="A284" s="21" t="s">
        <v>3514</v>
      </c>
      <c r="B284" s="22" t="s">
        <v>1580</v>
      </c>
      <c r="C284" s="21" t="s">
        <v>3073</v>
      </c>
      <c r="D284" s="22" t="s">
        <v>1075</v>
      </c>
      <c r="E284" s="21" t="s">
        <v>2213</v>
      </c>
      <c r="F284" s="22" t="s">
        <v>1528</v>
      </c>
      <c r="G284" s="21" t="s">
        <v>3063</v>
      </c>
      <c r="H284" s="22" t="s">
        <v>1067</v>
      </c>
    </row>
    <row r="285" spans="1:8" x14ac:dyDescent="0.2">
      <c r="A285" s="21" t="s">
        <v>2763</v>
      </c>
      <c r="B285" s="22" t="s">
        <v>697</v>
      </c>
      <c r="C285" s="21" t="s">
        <v>2192</v>
      </c>
      <c r="D285" s="22" t="s">
        <v>44</v>
      </c>
      <c r="E285" s="21" t="s">
        <v>3062</v>
      </c>
      <c r="F285" s="22" t="s">
        <v>1064</v>
      </c>
      <c r="G285" s="21" t="s">
        <v>3171</v>
      </c>
      <c r="H285" s="22" t="s">
        <v>1186</v>
      </c>
    </row>
    <row r="286" spans="1:8" x14ac:dyDescent="0.2">
      <c r="A286" s="21" t="s">
        <v>3324</v>
      </c>
      <c r="B286" s="22" t="s">
        <v>1348</v>
      </c>
      <c r="C286" s="21" t="s">
        <v>2764</v>
      </c>
      <c r="D286" s="22" t="s">
        <v>701</v>
      </c>
      <c r="E286" s="21" t="s">
        <v>3594</v>
      </c>
      <c r="F286" s="22" t="s">
        <v>1684</v>
      </c>
      <c r="G286" s="21" t="s">
        <v>2897</v>
      </c>
      <c r="H286" s="22" t="s">
        <v>851</v>
      </c>
    </row>
    <row r="287" spans="1:8" x14ac:dyDescent="0.2">
      <c r="A287" s="21" t="s">
        <v>2715</v>
      </c>
      <c r="B287" s="22" t="s">
        <v>645</v>
      </c>
      <c r="C287" s="21" t="s">
        <v>2780</v>
      </c>
      <c r="D287" s="22" t="s">
        <v>715</v>
      </c>
      <c r="E287" s="21" t="s">
        <v>2382</v>
      </c>
      <c r="F287" s="22" t="s">
        <v>268</v>
      </c>
      <c r="G287" s="21" t="s">
        <v>2722</v>
      </c>
      <c r="H287" s="22" t="s">
        <v>654</v>
      </c>
    </row>
    <row r="288" spans="1:8" x14ac:dyDescent="0.2">
      <c r="A288" s="21" t="s">
        <v>2632</v>
      </c>
      <c r="B288" s="22" t="s">
        <v>539</v>
      </c>
      <c r="C288" s="21" t="s">
        <v>3333</v>
      </c>
      <c r="D288" s="22" t="s">
        <v>1350</v>
      </c>
      <c r="E288" s="21" t="s">
        <v>2398</v>
      </c>
      <c r="F288" s="22" t="s">
        <v>280</v>
      </c>
      <c r="G288" s="21" t="s">
        <v>2615</v>
      </c>
      <c r="H288" s="22" t="s">
        <v>520</v>
      </c>
    </row>
    <row r="289" spans="1:8" x14ac:dyDescent="0.2">
      <c r="A289" s="21" t="s">
        <v>2480</v>
      </c>
      <c r="B289" s="22" t="s">
        <v>367</v>
      </c>
      <c r="C289" s="21" t="s">
        <v>2946</v>
      </c>
      <c r="D289" s="22" t="s">
        <v>913</v>
      </c>
      <c r="E289" s="21" t="s">
        <v>2438</v>
      </c>
      <c r="F289" s="22" t="s">
        <v>335</v>
      </c>
      <c r="G289" s="21" t="s">
        <v>3111</v>
      </c>
      <c r="H289" s="22" t="s">
        <v>1120</v>
      </c>
    </row>
    <row r="290" spans="1:8" x14ac:dyDescent="0.2">
      <c r="A290" s="21" t="s">
        <v>2400</v>
      </c>
      <c r="B290" s="22" t="s">
        <v>290</v>
      </c>
      <c r="C290" s="21" t="s">
        <v>3329</v>
      </c>
      <c r="D290" s="22" t="s">
        <v>1351</v>
      </c>
      <c r="E290" s="21" t="s">
        <v>3330</v>
      </c>
      <c r="F290" s="22" t="s">
        <v>1353</v>
      </c>
      <c r="G290" s="21" t="s">
        <v>3411</v>
      </c>
      <c r="H290" s="22" t="s">
        <v>1450</v>
      </c>
    </row>
    <row r="291" spans="1:8" x14ac:dyDescent="0.2">
      <c r="A291" s="25"/>
      <c r="B291" s="26"/>
      <c r="C291" s="25"/>
      <c r="D291" s="26"/>
      <c r="E291" s="25"/>
      <c r="F291" s="26"/>
      <c r="G291" s="25"/>
      <c r="H291" s="26"/>
    </row>
    <row r="292" spans="1:8" x14ac:dyDescent="0.2">
      <c r="A292" s="21" t="s">
        <v>3200</v>
      </c>
      <c r="B292" s="22" t="s">
        <v>1202</v>
      </c>
      <c r="C292" s="21" t="s">
        <v>2193</v>
      </c>
      <c r="D292" s="22" t="s">
        <v>899</v>
      </c>
      <c r="E292" s="21" t="s">
        <v>2582</v>
      </c>
      <c r="F292" s="22" t="s">
        <v>490</v>
      </c>
      <c r="G292" s="21" t="s">
        <v>3231</v>
      </c>
      <c r="H292" s="22" t="s">
        <v>1251</v>
      </c>
    </row>
    <row r="293" spans="1:8" x14ac:dyDescent="0.2">
      <c r="A293" s="21" t="s">
        <v>2333</v>
      </c>
      <c r="B293" s="22" t="s">
        <v>194</v>
      </c>
      <c r="C293" s="21" t="s">
        <v>2907</v>
      </c>
      <c r="D293" s="22" t="s">
        <v>859</v>
      </c>
      <c r="E293" s="21" t="s">
        <v>3425</v>
      </c>
      <c r="F293" s="22" t="s">
        <v>1474</v>
      </c>
      <c r="G293" s="21" t="s">
        <v>3219</v>
      </c>
      <c r="H293" s="22" t="s">
        <v>1236</v>
      </c>
    </row>
    <row r="294" spans="1:8" x14ac:dyDescent="0.2">
      <c r="A294" s="21" t="s">
        <v>3244</v>
      </c>
      <c r="B294" s="22" t="s">
        <v>1253</v>
      </c>
      <c r="C294" s="21" t="s">
        <v>3523</v>
      </c>
      <c r="D294" s="22" t="s">
        <v>1599</v>
      </c>
      <c r="E294" s="21" t="s">
        <v>2374</v>
      </c>
      <c r="F294" s="22" t="s">
        <v>254</v>
      </c>
      <c r="G294" s="21" t="s">
        <v>3091</v>
      </c>
      <c r="H294" s="22" t="s">
        <v>1094</v>
      </c>
    </row>
    <row r="295" spans="1:8" x14ac:dyDescent="0.2">
      <c r="A295" s="21" t="s">
        <v>3248</v>
      </c>
      <c r="B295" s="22" t="s">
        <v>1255</v>
      </c>
      <c r="C295" s="21" t="s">
        <v>3197</v>
      </c>
      <c r="D295" s="22" t="s">
        <v>1206</v>
      </c>
      <c r="E295" s="21" t="s">
        <v>2947</v>
      </c>
      <c r="F295" s="22" t="s">
        <v>915</v>
      </c>
      <c r="G295" s="21" t="s">
        <v>2575</v>
      </c>
      <c r="H295" s="22" t="s">
        <v>480</v>
      </c>
    </row>
    <row r="296" spans="1:8" x14ac:dyDescent="0.2">
      <c r="A296" s="21" t="s">
        <v>2588</v>
      </c>
      <c r="B296" s="22" t="s">
        <v>484</v>
      </c>
      <c r="C296" s="21" t="s">
        <v>2621</v>
      </c>
      <c r="D296" s="22" t="s">
        <v>529</v>
      </c>
      <c r="E296" s="21" t="s">
        <v>2733</v>
      </c>
      <c r="F296" s="22" t="s">
        <v>664</v>
      </c>
      <c r="G296" s="21" t="s">
        <v>2814</v>
      </c>
      <c r="H296" s="22" t="s">
        <v>760</v>
      </c>
    </row>
    <row r="297" spans="1:8" x14ac:dyDescent="0.2">
      <c r="A297" s="21" t="s">
        <v>2803</v>
      </c>
      <c r="B297" s="22" t="s">
        <v>738</v>
      </c>
      <c r="C297" s="21" t="s">
        <v>2222</v>
      </c>
      <c r="D297" s="22" t="s">
        <v>66</v>
      </c>
      <c r="E297" s="21" t="s">
        <v>3242</v>
      </c>
      <c r="F297" s="22" t="s">
        <v>1262</v>
      </c>
      <c r="G297" s="21" t="s">
        <v>3477</v>
      </c>
      <c r="H297" s="22" t="s">
        <v>1550</v>
      </c>
    </row>
    <row r="298" spans="1:8" x14ac:dyDescent="0.2">
      <c r="A298" s="21" t="s">
        <v>2380</v>
      </c>
      <c r="B298" s="22" t="s">
        <v>262</v>
      </c>
      <c r="C298" s="21" t="s">
        <v>2561</v>
      </c>
      <c r="D298" s="22" t="s">
        <v>462</v>
      </c>
      <c r="E298" s="21" t="s">
        <v>2140</v>
      </c>
      <c r="F298" s="22" t="s">
        <v>784</v>
      </c>
      <c r="G298" s="21" t="s">
        <v>3199</v>
      </c>
      <c r="H298" s="22" t="s">
        <v>1211</v>
      </c>
    </row>
    <row r="299" spans="1:8" x14ac:dyDescent="0.2">
      <c r="A299" s="21" t="s">
        <v>2640</v>
      </c>
      <c r="B299" s="22" t="s">
        <v>554</v>
      </c>
      <c r="C299" s="21" t="s">
        <v>2700</v>
      </c>
      <c r="D299" s="22" t="s">
        <v>622</v>
      </c>
      <c r="E299" s="21" t="s">
        <v>2526</v>
      </c>
      <c r="F299" s="22" t="s">
        <v>425</v>
      </c>
      <c r="G299" s="21" t="s">
        <v>2607</v>
      </c>
      <c r="H299" s="22" t="s">
        <v>521</v>
      </c>
    </row>
    <row r="300" spans="1:8" x14ac:dyDescent="0.2">
      <c r="A300" s="21" t="s">
        <v>3592</v>
      </c>
      <c r="B300" s="22" t="s">
        <v>1678</v>
      </c>
      <c r="C300" s="21" t="s">
        <v>3153</v>
      </c>
      <c r="D300" s="22" t="s">
        <v>1154</v>
      </c>
      <c r="E300" s="21" t="s">
        <v>3022</v>
      </c>
      <c r="F300" s="22" t="s">
        <v>1009</v>
      </c>
      <c r="G300" s="21" t="s">
        <v>3371</v>
      </c>
      <c r="H300" s="22" t="s">
        <v>1395</v>
      </c>
    </row>
    <row r="301" spans="1:8" x14ac:dyDescent="0.2">
      <c r="A301" s="23" t="s">
        <v>3132</v>
      </c>
      <c r="B301" s="24" t="s">
        <v>1137</v>
      </c>
      <c r="C301" s="23" t="s">
        <v>2887</v>
      </c>
      <c r="D301" s="24" t="s">
        <v>846</v>
      </c>
      <c r="E301" s="23" t="s">
        <v>2239</v>
      </c>
      <c r="F301" s="24" t="s">
        <v>88</v>
      </c>
      <c r="G301" s="23" t="s">
        <v>3271</v>
      </c>
      <c r="H301" s="24" t="s">
        <v>1291</v>
      </c>
    </row>
    <row r="302" spans="1:8" x14ac:dyDescent="0.2">
      <c r="A302" s="21" t="s">
        <v>3459</v>
      </c>
      <c r="B302" s="22" t="s">
        <v>1509</v>
      </c>
      <c r="C302" s="21" t="s">
        <v>2633</v>
      </c>
      <c r="D302" s="22" t="s">
        <v>541</v>
      </c>
      <c r="E302" s="21" t="s">
        <v>2530</v>
      </c>
      <c r="F302" s="22" t="s">
        <v>426</v>
      </c>
      <c r="G302" s="21" t="s">
        <v>2519</v>
      </c>
      <c r="H302" s="22" t="s">
        <v>416</v>
      </c>
    </row>
    <row r="303" spans="1:8" x14ac:dyDescent="0.2">
      <c r="A303" s="21" t="s">
        <v>2167</v>
      </c>
      <c r="B303" s="22" t="s">
        <v>987</v>
      </c>
      <c r="C303" s="21" t="s">
        <v>3002</v>
      </c>
      <c r="D303" s="22" t="s">
        <v>977</v>
      </c>
      <c r="E303" s="21" t="s">
        <v>3342</v>
      </c>
      <c r="F303" s="22" t="s">
        <v>1367</v>
      </c>
      <c r="G303" s="21" t="s">
        <v>2964</v>
      </c>
      <c r="H303" s="22" t="s">
        <v>945</v>
      </c>
    </row>
    <row r="304" spans="1:8" x14ac:dyDescent="0.2">
      <c r="A304" s="21" t="s">
        <v>3506</v>
      </c>
      <c r="B304" s="22" t="s">
        <v>1567</v>
      </c>
      <c r="C304" s="21" t="s">
        <v>2986</v>
      </c>
      <c r="D304" s="22" t="s">
        <v>965</v>
      </c>
      <c r="E304" s="21" t="s">
        <v>3046</v>
      </c>
      <c r="F304" s="22" t="s">
        <v>1036</v>
      </c>
      <c r="G304" s="21" t="s">
        <v>2698</v>
      </c>
      <c r="H304" s="22" t="s">
        <v>628</v>
      </c>
    </row>
    <row r="305" spans="1:8" x14ac:dyDescent="0.2">
      <c r="A305" s="21" t="s">
        <v>2444</v>
      </c>
      <c r="B305" s="22" t="s">
        <v>329</v>
      </c>
      <c r="C305" s="21" t="s">
        <v>3464</v>
      </c>
      <c r="D305" s="22" t="s">
        <v>1511</v>
      </c>
      <c r="E305" s="21" t="s">
        <v>2141</v>
      </c>
      <c r="F305" s="22" t="s">
        <v>901</v>
      </c>
      <c r="G305" s="21" t="s">
        <v>2439</v>
      </c>
      <c r="H305" s="22" t="s">
        <v>338</v>
      </c>
    </row>
    <row r="306" spans="1:8" x14ac:dyDescent="0.2">
      <c r="A306" s="21" t="s">
        <v>3136</v>
      </c>
      <c r="B306" s="22" t="s">
        <v>1138</v>
      </c>
      <c r="C306" s="21" t="s">
        <v>3229</v>
      </c>
      <c r="D306" s="22" t="s">
        <v>1244</v>
      </c>
      <c r="E306" s="21" t="s">
        <v>3326</v>
      </c>
      <c r="F306" s="22" t="s">
        <v>1354</v>
      </c>
      <c r="G306" s="21" t="s">
        <v>3466</v>
      </c>
      <c r="H306" s="22" t="s">
        <v>1518</v>
      </c>
    </row>
    <row r="307" spans="1:8" x14ac:dyDescent="0.2">
      <c r="A307" s="21" t="s">
        <v>2168</v>
      </c>
      <c r="B307" s="22" t="s">
        <v>895</v>
      </c>
      <c r="C307" s="21" t="s">
        <v>3225</v>
      </c>
      <c r="D307" s="22" t="s">
        <v>1231</v>
      </c>
      <c r="E307" s="21" t="s">
        <v>2939</v>
      </c>
      <c r="F307" s="22" t="s">
        <v>916</v>
      </c>
      <c r="G307" s="21" t="s">
        <v>2766</v>
      </c>
      <c r="H307" s="22" t="s">
        <v>708</v>
      </c>
    </row>
    <row r="308" spans="1:8" x14ac:dyDescent="0.2">
      <c r="A308" s="21" t="s">
        <v>2512</v>
      </c>
      <c r="B308" s="22" t="s">
        <v>407</v>
      </c>
      <c r="C308" s="21" t="s">
        <v>2493</v>
      </c>
      <c r="D308" s="22" t="s">
        <v>384</v>
      </c>
      <c r="E308" s="21" t="s">
        <v>2315</v>
      </c>
      <c r="F308" s="22" t="s">
        <v>186</v>
      </c>
      <c r="G308" s="21" t="s">
        <v>2730</v>
      </c>
      <c r="H308" s="22" t="s">
        <v>666</v>
      </c>
    </row>
    <row r="309" spans="1:8" x14ac:dyDescent="0.2">
      <c r="A309" s="21" t="s">
        <v>3216</v>
      </c>
      <c r="B309" s="22" t="s">
        <v>1228</v>
      </c>
      <c r="C309" s="21" t="s">
        <v>3475</v>
      </c>
      <c r="D309" s="22" t="s">
        <v>1539</v>
      </c>
      <c r="E309" s="21" t="s">
        <v>2271</v>
      </c>
      <c r="F309" s="22" t="s">
        <v>130</v>
      </c>
      <c r="G309" s="21" t="s">
        <v>2503</v>
      </c>
      <c r="H309" s="22" t="s">
        <v>403</v>
      </c>
    </row>
    <row r="310" spans="1:8" x14ac:dyDescent="0.2">
      <c r="A310" s="21" t="s">
        <v>3044</v>
      </c>
      <c r="B310" s="22" t="s">
        <v>1030</v>
      </c>
      <c r="C310" s="21" t="s">
        <v>3129</v>
      </c>
      <c r="D310" s="22" t="s">
        <v>1127</v>
      </c>
      <c r="E310" s="21" t="s">
        <v>2223</v>
      </c>
      <c r="F310" s="22" t="s">
        <v>74</v>
      </c>
      <c r="G310" s="21" t="s">
        <v>2224</v>
      </c>
      <c r="H310" s="22" t="s">
        <v>77</v>
      </c>
    </row>
    <row r="311" spans="1:8" x14ac:dyDescent="0.2">
      <c r="A311" s="21" t="s">
        <v>2344</v>
      </c>
      <c r="B311" s="22" t="s">
        <v>221</v>
      </c>
      <c r="C311" s="21" t="s">
        <v>3301</v>
      </c>
      <c r="D311" s="22" t="s">
        <v>1324</v>
      </c>
      <c r="E311" s="21" t="s">
        <v>3449</v>
      </c>
      <c r="F311" s="22" t="s">
        <v>1501</v>
      </c>
      <c r="G311" s="21" t="s">
        <v>2944</v>
      </c>
      <c r="H311" s="22" t="s">
        <v>918</v>
      </c>
    </row>
    <row r="312" spans="1:8" x14ac:dyDescent="0.2">
      <c r="A312" s="25"/>
      <c r="B312" s="26"/>
      <c r="C312" s="25"/>
      <c r="D312" s="26"/>
      <c r="E312" s="25"/>
      <c r="F312" s="26"/>
      <c r="G312" s="25"/>
      <c r="H312" s="26"/>
    </row>
    <row r="313" spans="1:8" x14ac:dyDescent="0.2">
      <c r="A313" s="21" t="s">
        <v>3443</v>
      </c>
      <c r="B313" s="22" t="s">
        <v>1482</v>
      </c>
      <c r="C313" s="21" t="s">
        <v>3385</v>
      </c>
      <c r="D313" s="22" t="s">
        <v>1417</v>
      </c>
      <c r="E313" s="21" t="s">
        <v>2142</v>
      </c>
      <c r="F313" s="22" t="s">
        <v>48</v>
      </c>
      <c r="G313" s="21" t="s">
        <v>3363</v>
      </c>
      <c r="H313" s="22" t="s">
        <v>1396</v>
      </c>
    </row>
    <row r="314" spans="1:8" x14ac:dyDescent="0.2">
      <c r="A314" s="21" t="s">
        <v>2540</v>
      </c>
      <c r="B314" s="22" t="s">
        <v>433</v>
      </c>
      <c r="C314" s="21" t="s">
        <v>2433</v>
      </c>
      <c r="D314" s="22" t="s">
        <v>319</v>
      </c>
      <c r="E314" s="21" t="s">
        <v>2498</v>
      </c>
      <c r="F314" s="22" t="s">
        <v>399</v>
      </c>
      <c r="G314" s="21" t="s">
        <v>2980</v>
      </c>
      <c r="H314" s="22" t="s">
        <v>957</v>
      </c>
    </row>
    <row r="315" spans="1:8" x14ac:dyDescent="0.2">
      <c r="A315" s="21" t="s">
        <v>2969</v>
      </c>
      <c r="B315" s="22" t="s">
        <v>936</v>
      </c>
      <c r="C315" s="21" t="s">
        <v>2194</v>
      </c>
      <c r="D315" s="22" t="s">
        <v>1525</v>
      </c>
      <c r="E315" s="21" t="s">
        <v>2510</v>
      </c>
      <c r="F315" s="22" t="s">
        <v>413</v>
      </c>
      <c r="G315" s="21" t="s">
        <v>2647</v>
      </c>
      <c r="H315" s="22" t="s">
        <v>563</v>
      </c>
    </row>
    <row r="316" spans="1:8" x14ac:dyDescent="0.2">
      <c r="A316" s="21" t="s">
        <v>2169</v>
      </c>
      <c r="B316" s="22" t="s">
        <v>1521</v>
      </c>
      <c r="C316" s="21" t="s">
        <v>2661</v>
      </c>
      <c r="D316" s="22" t="s">
        <v>570</v>
      </c>
      <c r="E316" s="21" t="s">
        <v>3138</v>
      </c>
      <c r="F316" s="22" t="s">
        <v>1144</v>
      </c>
      <c r="G316" s="21" t="s">
        <v>3223</v>
      </c>
      <c r="H316" s="22" t="s">
        <v>1237</v>
      </c>
    </row>
    <row r="317" spans="1:8" x14ac:dyDescent="0.2">
      <c r="A317" s="21" t="s">
        <v>3368</v>
      </c>
      <c r="B317" s="22" t="s">
        <v>1387</v>
      </c>
      <c r="C317" s="21" t="s">
        <v>2517</v>
      </c>
      <c r="D317" s="22" t="s">
        <v>408</v>
      </c>
      <c r="E317" s="21" t="s">
        <v>2143</v>
      </c>
      <c r="F317" s="22" t="s">
        <v>1460</v>
      </c>
      <c r="G317" s="21" t="s">
        <v>2359</v>
      </c>
      <c r="H317" s="22" t="s">
        <v>244</v>
      </c>
    </row>
    <row r="318" spans="1:8" x14ac:dyDescent="0.2">
      <c r="A318" s="21" t="s">
        <v>3288</v>
      </c>
      <c r="B318" s="22" t="s">
        <v>1307</v>
      </c>
      <c r="C318" s="21" t="s">
        <v>2545</v>
      </c>
      <c r="D318" s="22" t="s">
        <v>449</v>
      </c>
      <c r="E318" s="21" t="s">
        <v>2685</v>
      </c>
      <c r="F318" s="22" t="s">
        <v>612</v>
      </c>
      <c r="G318" s="21" t="s">
        <v>2818</v>
      </c>
      <c r="H318" s="22" t="s">
        <v>761</v>
      </c>
    </row>
    <row r="319" spans="1:8" x14ac:dyDescent="0.2">
      <c r="A319" s="21" t="s">
        <v>3232</v>
      </c>
      <c r="B319" s="22" t="s">
        <v>1242</v>
      </c>
      <c r="C319" s="21" t="s">
        <v>3479</v>
      </c>
      <c r="D319" s="22" t="s">
        <v>1540</v>
      </c>
      <c r="E319" s="21" t="s">
        <v>3306</v>
      </c>
      <c r="F319" s="22" t="s">
        <v>1328</v>
      </c>
      <c r="G319" s="21" t="s">
        <v>2956</v>
      </c>
      <c r="H319" s="22" t="s">
        <v>931</v>
      </c>
    </row>
    <row r="320" spans="1:8" x14ac:dyDescent="0.2">
      <c r="A320" s="21" t="s">
        <v>2416</v>
      </c>
      <c r="B320" s="22" t="s">
        <v>303</v>
      </c>
      <c r="C320" s="21" t="s">
        <v>2246</v>
      </c>
      <c r="D320" s="22" t="s">
        <v>100</v>
      </c>
      <c r="E320" s="21" t="s">
        <v>2144</v>
      </c>
      <c r="F320" s="22" t="s">
        <v>214</v>
      </c>
      <c r="G320" s="21" t="s">
        <v>2152</v>
      </c>
      <c r="H320" s="22" t="s">
        <v>1531</v>
      </c>
    </row>
    <row r="321" spans="1:8" x14ac:dyDescent="0.2">
      <c r="A321" s="21" t="s">
        <v>2914</v>
      </c>
      <c r="B321" s="22" t="s">
        <v>869</v>
      </c>
      <c r="C321" s="21" t="s">
        <v>2314</v>
      </c>
      <c r="D321" s="22" t="s">
        <v>183</v>
      </c>
      <c r="E321" s="21" t="s">
        <v>3516</v>
      </c>
      <c r="F321" s="22" t="s">
        <v>1587</v>
      </c>
      <c r="G321" s="21" t="s">
        <v>3422</v>
      </c>
      <c r="H321" s="22" t="s">
        <v>1464</v>
      </c>
    </row>
    <row r="322" spans="1:8" x14ac:dyDescent="0.2">
      <c r="A322" s="21" t="s">
        <v>3388</v>
      </c>
      <c r="B322" s="22" t="s">
        <v>1413</v>
      </c>
      <c r="C322" s="21" t="s">
        <v>2218</v>
      </c>
      <c r="D322" s="22" t="s">
        <v>69</v>
      </c>
      <c r="E322" s="21" t="s">
        <v>3433</v>
      </c>
      <c r="F322" s="22" t="s">
        <v>1475</v>
      </c>
      <c r="G322" s="21" t="s">
        <v>2495</v>
      </c>
      <c r="H322" s="22" t="s">
        <v>390</v>
      </c>
    </row>
    <row r="323" spans="1:8" x14ac:dyDescent="0.2">
      <c r="A323" s="25"/>
      <c r="B323" s="26"/>
      <c r="C323" s="25"/>
      <c r="D323" s="26"/>
      <c r="E323" s="25"/>
      <c r="F323" s="26"/>
      <c r="G323" s="25"/>
      <c r="H323" s="26"/>
    </row>
    <row r="324" spans="1:8" x14ac:dyDescent="0.2">
      <c r="A324" s="21" t="s">
        <v>2297</v>
      </c>
      <c r="B324" s="22" t="s">
        <v>153</v>
      </c>
      <c r="C324" s="21" t="s">
        <v>2509</v>
      </c>
      <c r="D324" s="22" t="s">
        <v>409</v>
      </c>
      <c r="E324" s="21" t="s">
        <v>3222</v>
      </c>
      <c r="F324" s="22" t="s">
        <v>1233</v>
      </c>
      <c r="G324" s="21" t="s">
        <v>3051</v>
      </c>
      <c r="H324" s="22" t="s">
        <v>1055</v>
      </c>
    </row>
    <row r="325" spans="1:8" x14ac:dyDescent="0.2">
      <c r="A325" s="21" t="s">
        <v>3260</v>
      </c>
      <c r="B325" s="22" t="s">
        <v>1269</v>
      </c>
      <c r="C325" s="21" t="s">
        <v>2195</v>
      </c>
      <c r="D325" s="22" t="s">
        <v>780</v>
      </c>
      <c r="E325" s="21" t="s">
        <v>3058</v>
      </c>
      <c r="F325" s="22" t="s">
        <v>1051</v>
      </c>
      <c r="G325" s="21" t="s">
        <v>2423</v>
      </c>
      <c r="H325" s="22" t="s">
        <v>312</v>
      </c>
    </row>
    <row r="326" spans="1:8" x14ac:dyDescent="0.2">
      <c r="A326" s="21" t="s">
        <v>3076</v>
      </c>
      <c r="B326" s="22" t="s">
        <v>1070</v>
      </c>
      <c r="C326" s="21" t="s">
        <v>2318</v>
      </c>
      <c r="D326" s="22" t="s">
        <v>184</v>
      </c>
      <c r="E326" s="21" t="s">
        <v>3394</v>
      </c>
      <c r="F326" s="22" t="s">
        <v>1419</v>
      </c>
      <c r="G326" s="21" t="s">
        <v>3537</v>
      </c>
      <c r="H326" s="22" t="s">
        <v>1617</v>
      </c>
    </row>
    <row r="327" spans="1:8" x14ac:dyDescent="0.2">
      <c r="A327" s="21" t="s">
        <v>2957</v>
      </c>
      <c r="B327" s="22" t="s">
        <v>923</v>
      </c>
      <c r="C327" s="21" t="s">
        <v>3109</v>
      </c>
      <c r="D327" s="22" t="s">
        <v>1114</v>
      </c>
      <c r="E327" s="21" t="s">
        <v>3350</v>
      </c>
      <c r="F327" s="22" t="s">
        <v>1380</v>
      </c>
      <c r="G327" s="21" t="s">
        <v>2292</v>
      </c>
      <c r="H327" s="22" t="s">
        <v>163</v>
      </c>
    </row>
    <row r="328" spans="1:8" x14ac:dyDescent="0.2">
      <c r="A328" s="21" t="s">
        <v>3196</v>
      </c>
      <c r="B328" s="22" t="s">
        <v>1203</v>
      </c>
      <c r="C328" s="21" t="s">
        <v>3021</v>
      </c>
      <c r="D328" s="22" t="s">
        <v>1003</v>
      </c>
      <c r="E328" s="21" t="s">
        <v>2781</v>
      </c>
      <c r="F328" s="22" t="s">
        <v>718</v>
      </c>
      <c r="G328" s="21" t="s">
        <v>3151</v>
      </c>
      <c r="H328" s="22" t="s">
        <v>1160</v>
      </c>
    </row>
    <row r="329" spans="1:8" x14ac:dyDescent="0.2">
      <c r="A329" s="21" t="s">
        <v>2827</v>
      </c>
      <c r="B329" s="22" t="s">
        <v>764</v>
      </c>
      <c r="C329" s="21" t="s">
        <v>3373</v>
      </c>
      <c r="D329" s="22" t="s">
        <v>1403</v>
      </c>
      <c r="E329" s="21" t="s">
        <v>2490</v>
      </c>
      <c r="F329" s="22" t="s">
        <v>386</v>
      </c>
      <c r="G329" s="21" t="s">
        <v>3501</v>
      </c>
      <c r="H329" s="22" t="s">
        <v>1575</v>
      </c>
    </row>
    <row r="330" spans="1:8" x14ac:dyDescent="0.2">
      <c r="A330" s="21" t="s">
        <v>2823</v>
      </c>
      <c r="B330" s="22" t="s">
        <v>765</v>
      </c>
      <c r="C330" s="21" t="s">
        <v>2505</v>
      </c>
      <c r="D330" s="22" t="s">
        <v>397</v>
      </c>
      <c r="E330" s="21" t="s">
        <v>2801</v>
      </c>
      <c r="F330" s="22" t="s">
        <v>745</v>
      </c>
      <c r="G330" s="21" t="s">
        <v>2375</v>
      </c>
      <c r="H330" s="22" t="s">
        <v>257</v>
      </c>
    </row>
    <row r="331" spans="1:8" x14ac:dyDescent="0.2">
      <c r="A331" s="21" t="s">
        <v>3486</v>
      </c>
      <c r="B331" s="22" t="s">
        <v>1554</v>
      </c>
      <c r="C331" s="21" t="s">
        <v>2481</v>
      </c>
      <c r="D331" s="22" t="s">
        <v>370</v>
      </c>
      <c r="E331" s="21" t="s">
        <v>3480</v>
      </c>
      <c r="F331" s="22" t="s">
        <v>1544</v>
      </c>
      <c r="G331" s="21" t="s">
        <v>2611</v>
      </c>
      <c r="H331" s="22" t="s">
        <v>522</v>
      </c>
    </row>
    <row r="332" spans="1:8" x14ac:dyDescent="0.2">
      <c r="A332" s="21" t="s">
        <v>3092</v>
      </c>
      <c r="B332" s="22" t="s">
        <v>1084</v>
      </c>
      <c r="C332" s="21" t="s">
        <v>2760</v>
      </c>
      <c r="D332" s="22" t="s">
        <v>687</v>
      </c>
      <c r="E332" s="21" t="s">
        <v>2362</v>
      </c>
      <c r="F332" s="22" t="s">
        <v>239</v>
      </c>
      <c r="G332" s="21" t="s">
        <v>3247</v>
      </c>
      <c r="H332" s="22" t="s">
        <v>1265</v>
      </c>
    </row>
    <row r="333" spans="1:8" x14ac:dyDescent="0.2">
      <c r="A333" s="21" t="s">
        <v>2237</v>
      </c>
      <c r="B333" s="22" t="s">
        <v>80</v>
      </c>
      <c r="C333" s="21" t="s">
        <v>3468</v>
      </c>
      <c r="D333" s="22" t="s">
        <v>1512</v>
      </c>
      <c r="E333" s="21" t="s">
        <v>2586</v>
      </c>
      <c r="F333" s="22" t="s">
        <v>491</v>
      </c>
      <c r="G333" s="21" t="s">
        <v>3227</v>
      </c>
      <c r="H333" s="22" t="s">
        <v>1238</v>
      </c>
    </row>
    <row r="334" spans="1:8" x14ac:dyDescent="0.2">
      <c r="A334" s="25"/>
      <c r="B334" s="26"/>
      <c r="C334" s="25"/>
      <c r="D334" s="26"/>
      <c r="E334" s="25"/>
      <c r="F334" s="26"/>
      <c r="G334" s="25"/>
      <c r="H334" s="26"/>
    </row>
    <row r="335" spans="1:8" x14ac:dyDescent="0.2">
      <c r="A335" s="21" t="s">
        <v>2468</v>
      </c>
      <c r="B335" s="22" t="s">
        <v>355</v>
      </c>
      <c r="C335" s="21" t="s">
        <v>2373</v>
      </c>
      <c r="D335" s="22" t="s">
        <v>250</v>
      </c>
      <c r="E335" s="21" t="s">
        <v>3174</v>
      </c>
      <c r="F335" s="22" t="s">
        <v>1183</v>
      </c>
      <c r="G335" s="21" t="s">
        <v>3419</v>
      </c>
      <c r="H335" s="22" t="s">
        <v>1451</v>
      </c>
    </row>
    <row r="336" spans="1:8" x14ac:dyDescent="0.2">
      <c r="A336" s="21" t="s">
        <v>3156</v>
      </c>
      <c r="B336" s="22" t="s">
        <v>1164</v>
      </c>
      <c r="C336" s="21" t="s">
        <v>2716</v>
      </c>
      <c r="D336" s="22" t="s">
        <v>647</v>
      </c>
      <c r="E336" s="21" t="s">
        <v>2414</v>
      </c>
      <c r="F336" s="22" t="s">
        <v>309</v>
      </c>
      <c r="G336" s="21" t="s">
        <v>2738</v>
      </c>
      <c r="H336" s="22" t="s">
        <v>667</v>
      </c>
    </row>
    <row r="337" spans="1:8" x14ac:dyDescent="0.2">
      <c r="A337" s="21" t="s">
        <v>3320</v>
      </c>
      <c r="B337" s="22" t="s">
        <v>1335</v>
      </c>
      <c r="C337" s="21" t="s">
        <v>3440</v>
      </c>
      <c r="D337" s="22" t="s">
        <v>1486</v>
      </c>
      <c r="E337" s="21" t="s">
        <v>3520</v>
      </c>
      <c r="F337" s="22" t="s">
        <v>1588</v>
      </c>
      <c r="G337" s="21" t="s">
        <v>3067</v>
      </c>
      <c r="H337" s="22" t="s">
        <v>1068</v>
      </c>
    </row>
    <row r="338" spans="1:8" x14ac:dyDescent="0.2">
      <c r="A338" s="21" t="s">
        <v>2170</v>
      </c>
      <c r="B338" s="22" t="s">
        <v>896</v>
      </c>
      <c r="C338" s="21" t="s">
        <v>2665</v>
      </c>
      <c r="D338" s="22" t="s">
        <v>583</v>
      </c>
      <c r="E338" s="21" t="s">
        <v>3496</v>
      </c>
      <c r="F338" s="22" t="s">
        <v>1559</v>
      </c>
      <c r="G338" s="21" t="s">
        <v>3347</v>
      </c>
      <c r="H338" s="22" t="s">
        <v>1370</v>
      </c>
    </row>
    <row r="339" spans="1:8" x14ac:dyDescent="0.2">
      <c r="A339" s="21" t="s">
        <v>2171</v>
      </c>
      <c r="B339" s="22" t="s">
        <v>1522</v>
      </c>
      <c r="C339" s="21" t="s">
        <v>2417</v>
      </c>
      <c r="D339" s="22" t="s">
        <v>305</v>
      </c>
      <c r="E339" s="21" t="s">
        <v>3026</v>
      </c>
      <c r="F339" s="22" t="s">
        <v>1022</v>
      </c>
      <c r="G339" s="21" t="s">
        <v>3533</v>
      </c>
      <c r="H339" s="22" t="s">
        <v>1605</v>
      </c>
    </row>
    <row r="340" spans="1:8" x14ac:dyDescent="0.2">
      <c r="A340" s="21" t="s">
        <v>3272</v>
      </c>
      <c r="B340" s="22" t="s">
        <v>1282</v>
      </c>
      <c r="C340" s="21" t="s">
        <v>2294</v>
      </c>
      <c r="D340" s="22" t="s">
        <v>156</v>
      </c>
      <c r="E340" s="21" t="s">
        <v>2323</v>
      </c>
      <c r="F340" s="22" t="s">
        <v>187</v>
      </c>
      <c r="G340" s="21" t="s">
        <v>2810</v>
      </c>
      <c r="H340" s="22" t="s">
        <v>747</v>
      </c>
    </row>
    <row r="341" spans="1:8" x14ac:dyDescent="0.2">
      <c r="A341" s="21" t="s">
        <v>2172</v>
      </c>
      <c r="B341" s="22" t="s">
        <v>988</v>
      </c>
      <c r="C341" s="21" t="s">
        <v>3547</v>
      </c>
      <c r="D341" s="22" t="s">
        <v>1695</v>
      </c>
      <c r="E341" s="21" t="s">
        <v>3382</v>
      </c>
      <c r="F341" s="22" t="s">
        <v>1407</v>
      </c>
      <c r="G341" s="21" t="s">
        <v>2948</v>
      </c>
      <c r="H341" s="22" t="s">
        <v>919</v>
      </c>
    </row>
    <row r="342" spans="1:8" x14ac:dyDescent="0.2">
      <c r="A342" s="21" t="s">
        <v>2476</v>
      </c>
      <c r="B342" s="22" t="s">
        <v>368</v>
      </c>
      <c r="C342" s="21" t="s">
        <v>2196</v>
      </c>
      <c r="D342" s="22" t="s">
        <v>1458</v>
      </c>
      <c r="E342" s="21" t="s">
        <v>2995</v>
      </c>
      <c r="F342" s="22" t="s">
        <v>968</v>
      </c>
      <c r="G342" s="21" t="s">
        <v>2587</v>
      </c>
      <c r="H342" s="22" t="s">
        <v>494</v>
      </c>
    </row>
    <row r="343" spans="1:8" x14ac:dyDescent="0.2">
      <c r="A343" s="21" t="s">
        <v>3084</v>
      </c>
      <c r="B343" s="22" t="s">
        <v>1085</v>
      </c>
      <c r="C343" s="21" t="s">
        <v>2720</v>
      </c>
      <c r="D343" s="22" t="s">
        <v>648</v>
      </c>
      <c r="E343" s="21" t="s">
        <v>2856</v>
      </c>
      <c r="F343" s="22" t="s">
        <v>809</v>
      </c>
      <c r="G343" s="21" t="s">
        <v>3595</v>
      </c>
      <c r="H343" s="22" t="s">
        <v>1686</v>
      </c>
    </row>
    <row r="344" spans="1:8" x14ac:dyDescent="0.2">
      <c r="A344" s="23" t="s">
        <v>2791</v>
      </c>
      <c r="B344" s="24" t="s">
        <v>725</v>
      </c>
      <c r="C344" s="23" t="s">
        <v>3349</v>
      </c>
      <c r="D344" s="24" t="s">
        <v>1377</v>
      </c>
      <c r="E344" s="23" t="s">
        <v>3202</v>
      </c>
      <c r="F344" s="24" t="s">
        <v>1208</v>
      </c>
      <c r="G344" s="23" t="s">
        <v>3355</v>
      </c>
      <c r="H344" s="24" t="s">
        <v>1383</v>
      </c>
    </row>
    <row r="345" spans="1:8" x14ac:dyDescent="0.2">
      <c r="A345" s="21" t="s">
        <v>2747</v>
      </c>
      <c r="B345" s="22" t="s">
        <v>670</v>
      </c>
      <c r="C345" s="21" t="s">
        <v>2413</v>
      </c>
      <c r="D345" s="22" t="s">
        <v>306</v>
      </c>
      <c r="E345" s="21" t="s">
        <v>3086</v>
      </c>
      <c r="F345" s="22" t="s">
        <v>1091</v>
      </c>
      <c r="G345" s="21" t="s">
        <v>2240</v>
      </c>
      <c r="H345" s="22" t="s">
        <v>93</v>
      </c>
    </row>
    <row r="346" spans="1:8" x14ac:dyDescent="0.2">
      <c r="A346" s="21" t="s">
        <v>2528</v>
      </c>
      <c r="B346" s="22" t="s">
        <v>419</v>
      </c>
      <c r="C346" s="21" t="s">
        <v>3555</v>
      </c>
      <c r="D346" s="22" t="s">
        <v>1697</v>
      </c>
      <c r="E346" s="21" t="s">
        <v>3218</v>
      </c>
      <c r="F346" s="22" t="s">
        <v>1234</v>
      </c>
      <c r="G346" s="21" t="s">
        <v>2936</v>
      </c>
      <c r="H346" s="22" t="s">
        <v>906</v>
      </c>
    </row>
    <row r="347" spans="1:8" x14ac:dyDescent="0.2">
      <c r="A347" s="21" t="s">
        <v>2703</v>
      </c>
      <c r="B347" s="22" t="s">
        <v>632</v>
      </c>
      <c r="C347" s="21" t="s">
        <v>2369</v>
      </c>
      <c r="D347" s="22" t="s">
        <v>251</v>
      </c>
      <c r="E347" s="21" t="s">
        <v>3453</v>
      </c>
      <c r="F347" s="22" t="s">
        <v>1502</v>
      </c>
      <c r="G347" s="21" t="s">
        <v>2802</v>
      </c>
      <c r="H347" s="22" t="s">
        <v>748</v>
      </c>
    </row>
    <row r="348" spans="1:8" x14ac:dyDescent="0.2">
      <c r="A348" s="21" t="s">
        <v>2862</v>
      </c>
      <c r="B348" s="22" t="s">
        <v>817</v>
      </c>
      <c r="C348" s="21" t="s">
        <v>3017</v>
      </c>
      <c r="D348" s="22" t="s">
        <v>1004</v>
      </c>
      <c r="E348" s="21" t="s">
        <v>2872</v>
      </c>
      <c r="F348" s="22" t="s">
        <v>823</v>
      </c>
      <c r="G348" s="21" t="s">
        <v>2659</v>
      </c>
      <c r="H348" s="22" t="s">
        <v>575</v>
      </c>
    </row>
    <row r="349" spans="1:8" x14ac:dyDescent="0.2">
      <c r="A349" s="21" t="s">
        <v>2520</v>
      </c>
      <c r="B349" s="22" t="s">
        <v>420</v>
      </c>
      <c r="C349" s="21" t="s">
        <v>3173</v>
      </c>
      <c r="D349" s="22" t="s">
        <v>1180</v>
      </c>
      <c r="E349" s="21" t="s">
        <v>2642</v>
      </c>
      <c r="F349" s="22" t="s">
        <v>560</v>
      </c>
      <c r="G349" s="21" t="s">
        <v>3442</v>
      </c>
      <c r="H349" s="22" t="s">
        <v>1492</v>
      </c>
    </row>
    <row r="350" spans="1:8" x14ac:dyDescent="0.2">
      <c r="A350" s="21" t="s">
        <v>2910</v>
      </c>
      <c r="B350" s="22" t="s">
        <v>870</v>
      </c>
      <c r="C350" s="21" t="s">
        <v>2405</v>
      </c>
      <c r="D350" s="22" t="s">
        <v>292</v>
      </c>
      <c r="E350" s="21" t="s">
        <v>2231</v>
      </c>
      <c r="F350" s="22" t="s">
        <v>89</v>
      </c>
      <c r="G350" s="21" t="s">
        <v>2543</v>
      </c>
      <c r="H350" s="22" t="s">
        <v>441</v>
      </c>
    </row>
    <row r="351" spans="1:8" x14ac:dyDescent="0.2">
      <c r="A351" s="21" t="s">
        <v>2348</v>
      </c>
      <c r="B351" s="22" t="s">
        <v>222</v>
      </c>
      <c r="C351" s="21" t="s">
        <v>2645</v>
      </c>
      <c r="D351" s="22" t="s">
        <v>557</v>
      </c>
      <c r="E351" s="21" t="s">
        <v>2753</v>
      </c>
      <c r="F351" s="22" t="s">
        <v>690</v>
      </c>
      <c r="G351" s="21" t="s">
        <v>2280</v>
      </c>
      <c r="H351" s="22" t="s">
        <v>149</v>
      </c>
    </row>
    <row r="352" spans="1:8" x14ac:dyDescent="0.2">
      <c r="A352" s="21" t="s">
        <v>2352</v>
      </c>
      <c r="B352" s="22" t="s">
        <v>235</v>
      </c>
      <c r="C352" s="21" t="s">
        <v>2377</v>
      </c>
      <c r="D352" s="22" t="s">
        <v>265</v>
      </c>
      <c r="E352" s="21" t="s">
        <v>3158</v>
      </c>
      <c r="F352" s="22" t="s">
        <v>1170</v>
      </c>
      <c r="G352" s="21" t="s">
        <v>3450</v>
      </c>
      <c r="H352" s="22" t="s">
        <v>1505</v>
      </c>
    </row>
    <row r="353" spans="1:8" x14ac:dyDescent="0.2">
      <c r="A353" s="21" t="s">
        <v>3550</v>
      </c>
      <c r="B353" s="22" t="s">
        <v>1692</v>
      </c>
      <c r="C353" s="21" t="s">
        <v>2708</v>
      </c>
      <c r="D353" s="22" t="s">
        <v>635</v>
      </c>
      <c r="E353" s="21" t="s">
        <v>2630</v>
      </c>
      <c r="F353" s="22" t="s">
        <v>545</v>
      </c>
      <c r="G353" s="21" t="s">
        <v>3367</v>
      </c>
      <c r="H353" s="22" t="s">
        <v>1397</v>
      </c>
    </row>
    <row r="354" spans="1:8" x14ac:dyDescent="0.2">
      <c r="A354" s="21" t="s">
        <v>2488</v>
      </c>
      <c r="B354" s="22" t="s">
        <v>381</v>
      </c>
      <c r="C354" s="21" t="s">
        <v>3495</v>
      </c>
      <c r="D354" s="22" t="s">
        <v>1557</v>
      </c>
      <c r="E354" s="21" t="s">
        <v>2390</v>
      </c>
      <c r="F354" s="22" t="s">
        <v>281</v>
      </c>
      <c r="G354" s="21" t="s">
        <v>3047</v>
      </c>
      <c r="H354" s="22" t="s">
        <v>1041</v>
      </c>
    </row>
    <row r="355" spans="1:8" x14ac:dyDescent="0.2">
      <c r="A355" s="25"/>
      <c r="B355" s="26"/>
      <c r="C355" s="25"/>
      <c r="D355" s="26"/>
      <c r="E355" s="25"/>
      <c r="F355" s="26"/>
      <c r="G355" s="25"/>
      <c r="H355" s="26"/>
    </row>
    <row r="356" spans="1:8" x14ac:dyDescent="0.2">
      <c r="A356" s="21" t="s">
        <v>3455</v>
      </c>
      <c r="B356" s="22" t="s">
        <v>1495</v>
      </c>
      <c r="C356" s="21" t="s">
        <v>3185</v>
      </c>
      <c r="D356" s="22" t="s">
        <v>1193</v>
      </c>
      <c r="E356" s="21" t="s">
        <v>2358</v>
      </c>
      <c r="F356" s="22" t="s">
        <v>240</v>
      </c>
      <c r="G356" s="21" t="s">
        <v>2619</v>
      </c>
      <c r="H356" s="22" t="s">
        <v>535</v>
      </c>
    </row>
    <row r="357" spans="1:8" x14ac:dyDescent="0.2">
      <c r="A357" s="21" t="s">
        <v>2902</v>
      </c>
      <c r="B357" s="22" t="s">
        <v>856</v>
      </c>
      <c r="C357" s="21" t="s">
        <v>3397</v>
      </c>
      <c r="D357" s="22" t="s">
        <v>1429</v>
      </c>
      <c r="E357" s="21" t="s">
        <v>3390</v>
      </c>
      <c r="F357" s="22" t="s">
        <v>1420</v>
      </c>
      <c r="G357" s="21" t="s">
        <v>2861</v>
      </c>
      <c r="H357" s="22" t="s">
        <v>813</v>
      </c>
    </row>
    <row r="358" spans="1:8" x14ac:dyDescent="0.2">
      <c r="A358" s="21" t="s">
        <v>3060</v>
      </c>
      <c r="B358" s="22" t="s">
        <v>1059</v>
      </c>
      <c r="C358" s="21" t="s">
        <v>2637</v>
      </c>
      <c r="D358" s="22" t="s">
        <v>542</v>
      </c>
      <c r="E358" s="21" t="s">
        <v>2145</v>
      </c>
      <c r="F358" s="22" t="s">
        <v>1461</v>
      </c>
      <c r="G358" s="21" t="s">
        <v>2471</v>
      </c>
      <c r="H358" s="22" t="s">
        <v>364</v>
      </c>
    </row>
    <row r="359" spans="1:8" x14ac:dyDescent="0.2">
      <c r="A359" s="21" t="s">
        <v>2751</v>
      </c>
      <c r="B359" s="22" t="s">
        <v>684</v>
      </c>
      <c r="C359" s="21" t="s">
        <v>3006</v>
      </c>
      <c r="D359" s="22" t="s">
        <v>978</v>
      </c>
      <c r="E359" s="21" t="s">
        <v>2705</v>
      </c>
      <c r="F359" s="22" t="s">
        <v>638</v>
      </c>
      <c r="G359" s="21" t="s">
        <v>2655</v>
      </c>
      <c r="H359" s="22" t="s">
        <v>576</v>
      </c>
    </row>
    <row r="360" spans="1:8" x14ac:dyDescent="0.2">
      <c r="A360" s="21" t="s">
        <v>2683</v>
      </c>
      <c r="B360" s="22" t="s">
        <v>606</v>
      </c>
      <c r="C360" s="21" t="s">
        <v>3428</v>
      </c>
      <c r="D360" s="22" t="s">
        <v>1471</v>
      </c>
      <c r="E360" s="21" t="s">
        <v>3098</v>
      </c>
      <c r="F360" s="22" t="s">
        <v>1104</v>
      </c>
      <c r="G360" s="21" t="s">
        <v>2343</v>
      </c>
      <c r="H360" s="22" t="s">
        <v>231</v>
      </c>
    </row>
    <row r="361" spans="1:8" x14ac:dyDescent="0.2">
      <c r="A361" s="21" t="s">
        <v>2941</v>
      </c>
      <c r="B361" s="22" t="s">
        <v>910</v>
      </c>
      <c r="C361" s="21" t="s">
        <v>2816</v>
      </c>
      <c r="D361" s="22" t="s">
        <v>754</v>
      </c>
      <c r="E361" s="21" t="s">
        <v>2486</v>
      </c>
      <c r="F361" s="22" t="s">
        <v>387</v>
      </c>
      <c r="G361" s="21" t="s">
        <v>2754</v>
      </c>
      <c r="H361" s="22" t="s">
        <v>692</v>
      </c>
    </row>
    <row r="362" spans="1:8" x14ac:dyDescent="0.2">
      <c r="A362" s="21" t="s">
        <v>3224</v>
      </c>
      <c r="B362" s="22" t="s">
        <v>1229</v>
      </c>
      <c r="C362" s="21" t="s">
        <v>2270</v>
      </c>
      <c r="D362" s="22" t="s">
        <v>126</v>
      </c>
      <c r="E362" s="21" t="s">
        <v>3278</v>
      </c>
      <c r="F362" s="22" t="s">
        <v>1301</v>
      </c>
      <c r="G362" s="21" t="s">
        <v>3315</v>
      </c>
      <c r="H362" s="22" t="s">
        <v>1344</v>
      </c>
    </row>
    <row r="363" spans="1:8" x14ac:dyDescent="0.2">
      <c r="A363" s="21" t="s">
        <v>2739</v>
      </c>
      <c r="B363" s="22" t="s">
        <v>671</v>
      </c>
      <c r="C363" s="21" t="s">
        <v>2513</v>
      </c>
      <c r="D363" s="22" t="s">
        <v>410</v>
      </c>
      <c r="E363" s="21" t="s">
        <v>3126</v>
      </c>
      <c r="F363" s="22" t="s">
        <v>1130</v>
      </c>
      <c r="G363" s="21" t="s">
        <v>3103</v>
      </c>
      <c r="H363" s="22" t="s">
        <v>1107</v>
      </c>
    </row>
    <row r="364" spans="1:8" x14ac:dyDescent="0.2">
      <c r="A364" s="21" t="s">
        <v>3080</v>
      </c>
      <c r="B364" s="22" t="s">
        <v>1071</v>
      </c>
      <c r="C364" s="21" t="s">
        <v>3221</v>
      </c>
      <c r="D364" s="22" t="s">
        <v>1232</v>
      </c>
      <c r="E364" s="21" t="s">
        <v>3508</v>
      </c>
      <c r="F364" s="22" t="s">
        <v>1573</v>
      </c>
      <c r="G364" s="21" t="s">
        <v>2960</v>
      </c>
      <c r="H364" s="22" t="s">
        <v>932</v>
      </c>
    </row>
    <row r="365" spans="1:8" x14ac:dyDescent="0.2">
      <c r="A365" s="21" t="s">
        <v>2229</v>
      </c>
      <c r="B365" s="22" t="s">
        <v>81</v>
      </c>
      <c r="C365" s="21" t="s">
        <v>2401</v>
      </c>
      <c r="D365" s="22" t="s">
        <v>293</v>
      </c>
      <c r="E365" s="21" t="s">
        <v>2542</v>
      </c>
      <c r="F365" s="22" t="s">
        <v>439</v>
      </c>
      <c r="G365" s="21" t="s">
        <v>3131</v>
      </c>
      <c r="H365" s="22" t="s">
        <v>1134</v>
      </c>
    </row>
    <row r="366" spans="1:8" x14ac:dyDescent="0.2">
      <c r="A366" s="25"/>
      <c r="B366" s="26"/>
      <c r="C366" s="25"/>
      <c r="D366" s="26"/>
      <c r="E366" s="25"/>
      <c r="F366" s="26"/>
      <c r="G366" s="25"/>
      <c r="H366" s="26"/>
    </row>
    <row r="367" spans="1:8" x14ac:dyDescent="0.2">
      <c r="A367" s="21" t="s">
        <v>3392</v>
      </c>
      <c r="B367" s="22" t="s">
        <v>1414</v>
      </c>
      <c r="C367" s="21" t="s">
        <v>2473</v>
      </c>
      <c r="D367" s="22" t="s">
        <v>371</v>
      </c>
      <c r="E367" s="21" t="s">
        <v>3066</v>
      </c>
      <c r="F367" s="22" t="s">
        <v>1065</v>
      </c>
      <c r="G367" s="21" t="s">
        <v>2758</v>
      </c>
      <c r="H367" s="22" t="s">
        <v>693</v>
      </c>
    </row>
    <row r="368" spans="1:8" x14ac:dyDescent="0.2">
      <c r="A368" s="21" t="s">
        <v>3144</v>
      </c>
      <c r="B368" s="22" t="s">
        <v>1150</v>
      </c>
      <c r="C368" s="21" t="s">
        <v>3381</v>
      </c>
      <c r="D368" s="22" t="s">
        <v>1404</v>
      </c>
      <c r="E368" s="21" t="s">
        <v>3492</v>
      </c>
      <c r="F368" s="22" t="s">
        <v>1560</v>
      </c>
      <c r="G368" s="21" t="s">
        <v>3545</v>
      </c>
      <c r="H368" s="22" t="s">
        <v>1618</v>
      </c>
    </row>
    <row r="369" spans="1:8" x14ac:dyDescent="0.2">
      <c r="A369" s="21" t="s">
        <v>2604</v>
      </c>
      <c r="B369" s="22" t="s">
        <v>511</v>
      </c>
      <c r="C369" s="21" t="s">
        <v>2262</v>
      </c>
      <c r="D369" s="22" t="s">
        <v>112</v>
      </c>
      <c r="E369" s="21" t="s">
        <v>3226</v>
      </c>
      <c r="F369" s="22" t="s">
        <v>1235</v>
      </c>
      <c r="G369" s="21" t="s">
        <v>3375</v>
      </c>
      <c r="H369" s="22" t="s">
        <v>1410</v>
      </c>
    </row>
    <row r="370" spans="1:8" x14ac:dyDescent="0.2">
      <c r="A370" s="21" t="s">
        <v>2564</v>
      </c>
      <c r="B370" s="22" t="s">
        <v>459</v>
      </c>
      <c r="C370" s="21" t="s">
        <v>3448</v>
      </c>
      <c r="D370" s="22" t="s">
        <v>1499</v>
      </c>
      <c r="E370" s="21" t="s">
        <v>3030</v>
      </c>
      <c r="F370" s="22" t="s">
        <v>1023</v>
      </c>
      <c r="G370" s="21" t="s">
        <v>3505</v>
      </c>
      <c r="H370" s="22" t="s">
        <v>1576</v>
      </c>
    </row>
    <row r="371" spans="1:8" x14ac:dyDescent="0.2">
      <c r="A371" s="21" t="s">
        <v>3292</v>
      </c>
      <c r="B371" s="22" t="s">
        <v>1308</v>
      </c>
      <c r="C371" s="21" t="s">
        <v>3313</v>
      </c>
      <c r="D371" s="22" t="s">
        <v>1338</v>
      </c>
      <c r="E371" s="21" t="s">
        <v>2860</v>
      </c>
      <c r="F371" s="22" t="s">
        <v>810</v>
      </c>
      <c r="G371" s="21" t="s">
        <v>3163</v>
      </c>
      <c r="H371" s="22" t="s">
        <v>1173</v>
      </c>
    </row>
    <row r="372" spans="1:8" x14ac:dyDescent="0.2">
      <c r="A372" s="21" t="s">
        <v>3372</v>
      </c>
      <c r="B372" s="22" t="s">
        <v>1401</v>
      </c>
      <c r="C372" s="21" t="s">
        <v>2258</v>
      </c>
      <c r="D372" s="22" t="s">
        <v>113</v>
      </c>
      <c r="E372" s="21" t="s">
        <v>2146</v>
      </c>
      <c r="F372" s="22" t="s">
        <v>50</v>
      </c>
      <c r="G372" s="21" t="s">
        <v>3599</v>
      </c>
      <c r="H372" s="22" t="s">
        <v>1687</v>
      </c>
    </row>
    <row r="373" spans="1:8" x14ac:dyDescent="0.2">
      <c r="A373" s="21" t="s">
        <v>2452</v>
      </c>
      <c r="B373" s="22" t="s">
        <v>342</v>
      </c>
      <c r="C373" s="21" t="s">
        <v>3297</v>
      </c>
      <c r="D373" s="22" t="s">
        <v>1311</v>
      </c>
      <c r="E373" s="21" t="s">
        <v>2833</v>
      </c>
      <c r="F373" s="22" t="s">
        <v>771</v>
      </c>
      <c r="G373" s="21" t="s">
        <v>2837</v>
      </c>
      <c r="H373" s="22" t="s">
        <v>787</v>
      </c>
    </row>
    <row r="374" spans="1:8" x14ac:dyDescent="0.2">
      <c r="A374" s="21" t="s">
        <v>2388</v>
      </c>
      <c r="B374" s="22" t="s">
        <v>276</v>
      </c>
      <c r="C374" s="21" t="s">
        <v>3405</v>
      </c>
      <c r="D374" s="22" t="s">
        <v>1431</v>
      </c>
      <c r="E374" s="21" t="s">
        <v>2235</v>
      </c>
      <c r="F374" s="22" t="s">
        <v>90</v>
      </c>
      <c r="G374" s="21" t="s">
        <v>2889</v>
      </c>
      <c r="H374" s="22" t="s">
        <v>852</v>
      </c>
    </row>
    <row r="375" spans="1:8" x14ac:dyDescent="0.2">
      <c r="A375" s="21" t="s">
        <v>2173</v>
      </c>
      <c r="B375" s="22" t="s">
        <v>207</v>
      </c>
      <c r="C375" s="21" t="s">
        <v>2198</v>
      </c>
      <c r="D375" s="22" t="s">
        <v>781</v>
      </c>
      <c r="E375" s="21" t="s">
        <v>2394</v>
      </c>
      <c r="F375" s="22" t="s">
        <v>283</v>
      </c>
      <c r="G375" s="21" t="s">
        <v>2984</v>
      </c>
      <c r="H375" s="22" t="s">
        <v>958</v>
      </c>
    </row>
    <row r="376" spans="1:8" x14ac:dyDescent="0.2">
      <c r="A376" s="21" t="s">
        <v>3412</v>
      </c>
      <c r="B376" s="22" t="s">
        <v>1442</v>
      </c>
      <c r="C376" s="21" t="s">
        <v>2537</v>
      </c>
      <c r="D376" s="22" t="s">
        <v>436</v>
      </c>
      <c r="E376" s="21" t="s">
        <v>3536</v>
      </c>
      <c r="F376" s="22" t="s">
        <v>1615</v>
      </c>
      <c r="G376" s="21" t="s">
        <v>3489</v>
      </c>
      <c r="H376" s="22" t="s">
        <v>1563</v>
      </c>
    </row>
    <row r="377" spans="1:8" x14ac:dyDescent="0.2">
      <c r="A377" s="25"/>
      <c r="B377" s="26"/>
      <c r="C377" s="25"/>
      <c r="D377" s="26"/>
      <c r="E377" s="25"/>
      <c r="F377" s="26"/>
      <c r="G377" s="25"/>
      <c r="H377" s="26"/>
    </row>
    <row r="378" spans="1:8" x14ac:dyDescent="0.2">
      <c r="A378" s="21" t="s">
        <v>3240</v>
      </c>
      <c r="B378" s="22" t="s">
        <v>1256</v>
      </c>
      <c r="C378" s="21" t="s">
        <v>3539</v>
      </c>
      <c r="D378" s="22" t="s">
        <v>1612</v>
      </c>
      <c r="E378" s="21" t="s">
        <v>2354</v>
      </c>
      <c r="F378" s="22" t="s">
        <v>241</v>
      </c>
      <c r="G378" s="21" t="s">
        <v>2579</v>
      </c>
      <c r="H378" s="22" t="s">
        <v>481</v>
      </c>
    </row>
    <row r="379" spans="1:8" x14ac:dyDescent="0.2">
      <c r="A379" s="21" t="s">
        <v>3128</v>
      </c>
      <c r="B379" s="22" t="s">
        <v>1124</v>
      </c>
      <c r="C379" s="21" t="s">
        <v>3432</v>
      </c>
      <c r="D379" s="22" t="s">
        <v>1472</v>
      </c>
      <c r="E379" s="21" t="s">
        <v>2626</v>
      </c>
      <c r="F379" s="22" t="s">
        <v>532</v>
      </c>
      <c r="G379" s="21" t="s">
        <v>3195</v>
      </c>
      <c r="H379" s="22" t="s">
        <v>1212</v>
      </c>
    </row>
    <row r="380" spans="1:8" x14ac:dyDescent="0.2">
      <c r="A380" s="21" t="s">
        <v>2799</v>
      </c>
      <c r="B380" s="22" t="s">
        <v>739</v>
      </c>
      <c r="C380" s="21" t="s">
        <v>3345</v>
      </c>
      <c r="D380" s="22" t="s">
        <v>1364</v>
      </c>
      <c r="E380" s="21" t="s">
        <v>3560</v>
      </c>
      <c r="F380" s="22" t="s">
        <v>1628</v>
      </c>
      <c r="G380" s="21" t="s">
        <v>3143</v>
      </c>
      <c r="H380" s="22" t="s">
        <v>1147</v>
      </c>
    </row>
    <row r="381" spans="1:8" x14ac:dyDescent="0.2">
      <c r="A381" s="21" t="s">
        <v>3072</v>
      </c>
      <c r="B381" s="22" t="s">
        <v>1072</v>
      </c>
      <c r="C381" s="21" t="s">
        <v>2808</v>
      </c>
      <c r="D381" s="22" t="s">
        <v>742</v>
      </c>
      <c r="E381" s="21" t="s">
        <v>3198</v>
      </c>
      <c r="F381" s="22" t="s">
        <v>1209</v>
      </c>
      <c r="G381" s="21" t="s">
        <v>2710</v>
      </c>
      <c r="H381" s="22" t="s">
        <v>641</v>
      </c>
    </row>
    <row r="382" spans="1:8" x14ac:dyDescent="0.2">
      <c r="A382" s="21" t="s">
        <v>2584</v>
      </c>
      <c r="B382" s="22" t="s">
        <v>485</v>
      </c>
      <c r="C382" s="21" t="s">
        <v>3233</v>
      </c>
      <c r="D382" s="22" t="s">
        <v>1245</v>
      </c>
      <c r="E382" s="21" t="s">
        <v>2506</v>
      </c>
      <c r="F382" s="22" t="s">
        <v>400</v>
      </c>
      <c r="G382" s="21" t="s">
        <v>3395</v>
      </c>
      <c r="H382" s="22" t="s">
        <v>1423</v>
      </c>
    </row>
    <row r="383" spans="1:8" x14ac:dyDescent="0.2">
      <c r="A383" s="21" t="s">
        <v>3566</v>
      </c>
      <c r="B383" s="22" t="s">
        <v>1622</v>
      </c>
      <c r="C383" s="21" t="s">
        <v>3141</v>
      </c>
      <c r="D383" s="22" t="s">
        <v>1141</v>
      </c>
      <c r="E383" s="21" t="s">
        <v>2283</v>
      </c>
      <c r="F383" s="22" t="s">
        <v>144</v>
      </c>
      <c r="G383" s="21" t="s">
        <v>3015</v>
      </c>
      <c r="H383" s="22" t="s">
        <v>1012</v>
      </c>
    </row>
    <row r="384" spans="1:8" x14ac:dyDescent="0.2">
      <c r="A384" s="21" t="s">
        <v>2233</v>
      </c>
      <c r="B384" s="22" t="s">
        <v>83</v>
      </c>
      <c r="C384" s="21" t="s">
        <v>2855</v>
      </c>
      <c r="D384" s="22" t="s">
        <v>807</v>
      </c>
      <c r="E384" s="21" t="s">
        <v>2147</v>
      </c>
      <c r="F384" s="22" t="s">
        <v>994</v>
      </c>
      <c r="G384" s="21" t="s">
        <v>2551</v>
      </c>
      <c r="H384" s="22" t="s">
        <v>454</v>
      </c>
    </row>
    <row r="385" spans="1:8" x14ac:dyDescent="0.2">
      <c r="A385" s="21" t="s">
        <v>3447</v>
      </c>
      <c r="B385" s="22" t="s">
        <v>1496</v>
      </c>
      <c r="C385" s="21" t="s">
        <v>2875</v>
      </c>
      <c r="D385" s="22" t="s">
        <v>833</v>
      </c>
      <c r="E385" s="21" t="s">
        <v>2892</v>
      </c>
      <c r="F385" s="22" t="s">
        <v>849</v>
      </c>
      <c r="G385" s="21" t="s">
        <v>2547</v>
      </c>
      <c r="H385" s="22" t="s">
        <v>455</v>
      </c>
    </row>
    <row r="386" spans="1:8" x14ac:dyDescent="0.2">
      <c r="A386" s="21" t="s">
        <v>2977</v>
      </c>
      <c r="B386" s="22" t="s">
        <v>949</v>
      </c>
      <c r="C386" s="21" t="s">
        <v>2812</v>
      </c>
      <c r="D386" s="22" t="s">
        <v>755</v>
      </c>
      <c r="E386" s="21" t="s">
        <v>3532</v>
      </c>
      <c r="F386" s="22" t="s">
        <v>1602</v>
      </c>
      <c r="G386" s="21" t="s">
        <v>2535</v>
      </c>
      <c r="H386" s="22" t="s">
        <v>442</v>
      </c>
    </row>
    <row r="387" spans="1:8" x14ac:dyDescent="0.2">
      <c r="A387" s="23" t="s">
        <v>3148</v>
      </c>
      <c r="B387" s="24" t="s">
        <v>1151</v>
      </c>
      <c r="C387" s="23" t="s">
        <v>3065</v>
      </c>
      <c r="D387" s="24" t="s">
        <v>1062</v>
      </c>
      <c r="E387" s="23" t="s">
        <v>2148</v>
      </c>
      <c r="F387" s="24" t="s">
        <v>902</v>
      </c>
      <c r="G387" s="23" t="s">
        <v>3183</v>
      </c>
      <c r="H387" s="24" t="s">
        <v>1199</v>
      </c>
    </row>
    <row r="388" spans="1:8" x14ac:dyDescent="0.2">
      <c r="A388" s="25"/>
      <c r="B388" s="26"/>
      <c r="C388" s="25"/>
      <c r="D388" s="26"/>
      <c r="E388" s="25"/>
      <c r="F388" s="26"/>
      <c r="G388" s="25"/>
      <c r="H388" s="26"/>
    </row>
    <row r="389" spans="1:8" x14ac:dyDescent="0.2">
      <c r="A389" s="21" t="s">
        <v>3604</v>
      </c>
      <c r="B389" s="22" t="s">
        <v>1635</v>
      </c>
      <c r="C389" s="21" t="s">
        <v>3605</v>
      </c>
      <c r="D389" s="22" t="s">
        <v>1637</v>
      </c>
      <c r="E389" s="21" t="s">
        <v>3606</v>
      </c>
      <c r="F389" s="22" t="s">
        <v>1671</v>
      </c>
      <c r="G389" s="21" t="s">
        <v>3607</v>
      </c>
      <c r="H389" s="22" t="s">
        <v>1666</v>
      </c>
    </row>
    <row r="390" spans="1:8" x14ac:dyDescent="0.2">
      <c r="A390" s="21" t="s">
        <v>3580</v>
      </c>
      <c r="B390" s="22" t="s">
        <v>1707</v>
      </c>
      <c r="C390" s="21" t="s">
        <v>3589</v>
      </c>
      <c r="D390" s="22" t="s">
        <v>1669</v>
      </c>
      <c r="E390" s="21" t="s">
        <v>3578</v>
      </c>
      <c r="F390" s="22" t="s">
        <v>1656</v>
      </c>
      <c r="G390" s="21" t="s">
        <v>3591</v>
      </c>
      <c r="H390" s="22" t="s">
        <v>1659</v>
      </c>
    </row>
    <row r="391" spans="1:8" x14ac:dyDescent="0.2">
      <c r="A391" s="21" t="s">
        <v>3570</v>
      </c>
      <c r="B391" s="22" t="s">
        <v>1650</v>
      </c>
      <c r="C391" s="21" t="s">
        <v>3585</v>
      </c>
      <c r="D391" s="22" t="s">
        <v>1663</v>
      </c>
      <c r="E391" s="21" t="s">
        <v>3575</v>
      </c>
      <c r="F391" s="22" t="s">
        <v>1639</v>
      </c>
      <c r="G391" s="21" t="s">
        <v>3587</v>
      </c>
      <c r="H391" s="22" t="s">
        <v>1644</v>
      </c>
    </row>
    <row r="392" spans="1:8" x14ac:dyDescent="0.2">
      <c r="A392" s="21" t="s">
        <v>3584</v>
      </c>
      <c r="B392" s="22" t="s">
        <v>1651</v>
      </c>
      <c r="C392" s="21" t="s">
        <v>3581</v>
      </c>
      <c r="D392" s="22" t="s">
        <v>1654</v>
      </c>
      <c r="E392" s="21" t="s">
        <v>3590</v>
      </c>
      <c r="F392" s="22" t="s">
        <v>1713</v>
      </c>
      <c r="G392" s="21" t="s">
        <v>3572</v>
      </c>
      <c r="H392" s="22" t="s">
        <v>1717</v>
      </c>
    </row>
    <row r="393" spans="1:8" x14ac:dyDescent="0.2">
      <c r="A393" s="21" t="s">
        <v>3608</v>
      </c>
      <c r="B393" s="22" t="s">
        <v>1708</v>
      </c>
      <c r="C393" s="21" t="s">
        <v>3609</v>
      </c>
      <c r="D393" s="22" t="s">
        <v>1709</v>
      </c>
      <c r="E393" s="21" t="s">
        <v>3610</v>
      </c>
      <c r="F393" s="22" t="s">
        <v>1715</v>
      </c>
      <c r="G393" s="21" t="s">
        <v>3611</v>
      </c>
      <c r="H393" s="22" t="s">
        <v>1660</v>
      </c>
    </row>
    <row r="394" spans="1:8" x14ac:dyDescent="0.2">
      <c r="A394" s="21" t="s">
        <v>3573</v>
      </c>
      <c r="B394" s="22" t="s">
        <v>1661</v>
      </c>
      <c r="C394" s="21" t="s">
        <v>3574</v>
      </c>
      <c r="D394" s="22" t="s">
        <v>1670</v>
      </c>
      <c r="E394" s="21" t="s">
        <v>3572</v>
      </c>
      <c r="F394" s="22" t="s">
        <v>1640</v>
      </c>
      <c r="G394" s="21" t="s">
        <v>3579</v>
      </c>
      <c r="H394" s="22" t="s">
        <v>1646</v>
      </c>
    </row>
    <row r="395" spans="1:8" x14ac:dyDescent="0.2">
      <c r="A395" s="21" t="s">
        <v>3577</v>
      </c>
      <c r="B395" s="22" t="s">
        <v>1662</v>
      </c>
      <c r="C395" s="21" t="s">
        <v>3571</v>
      </c>
      <c r="D395" s="22" t="s">
        <v>1711</v>
      </c>
      <c r="E395" s="21" t="s">
        <v>3586</v>
      </c>
      <c r="F395" s="22" t="s">
        <v>1665</v>
      </c>
      <c r="G395" s="21" t="s">
        <v>3576</v>
      </c>
      <c r="H395" s="22" t="s">
        <v>1667</v>
      </c>
    </row>
    <row r="396" spans="1:8" x14ac:dyDescent="0.2">
      <c r="A396" s="21" t="s">
        <v>3588</v>
      </c>
      <c r="B396" s="22" t="s">
        <v>1668</v>
      </c>
      <c r="C396" s="21" t="s">
        <v>3577</v>
      </c>
      <c r="D396" s="22" t="s">
        <v>1664</v>
      </c>
      <c r="E396" s="21" t="s">
        <v>3582</v>
      </c>
      <c r="F396" s="22" t="s">
        <v>1658</v>
      </c>
      <c r="G396" s="21" t="s">
        <v>3583</v>
      </c>
      <c r="H396" s="22" t="s">
        <v>1673</v>
      </c>
    </row>
    <row r="397" spans="1:8" x14ac:dyDescent="0.2">
      <c r="A397" s="23" t="s">
        <v>3612</v>
      </c>
      <c r="B397" s="24" t="s">
        <v>1636</v>
      </c>
      <c r="C397" s="23" t="s">
        <v>3613</v>
      </c>
      <c r="D397" s="24" t="s">
        <v>1655</v>
      </c>
      <c r="E397" s="23" t="s">
        <v>3614</v>
      </c>
      <c r="F397" s="24" t="s">
        <v>1642</v>
      </c>
      <c r="G397" s="23" t="s">
        <v>3615</v>
      </c>
      <c r="H397" s="24" t="s">
        <v>1648</v>
      </c>
    </row>
  </sheetData>
  <pageMargins left="0.5" right="0.5" top="0.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9D4C-30A3-6B44-8024-368797CBCB68}">
  <dimension ref="A1:B1477"/>
  <sheetViews>
    <sheetView workbookViewId="0"/>
  </sheetViews>
  <sheetFormatPr baseColWidth="10" defaultColWidth="11.33203125" defaultRowHeight="15" x14ac:dyDescent="0.2"/>
  <sheetData>
    <row r="1" spans="1:2" x14ac:dyDescent="0.2">
      <c r="A1" s="6" t="s">
        <v>7</v>
      </c>
      <c r="B1" s="6" t="s">
        <v>10</v>
      </c>
    </row>
    <row r="2" spans="1:2" x14ac:dyDescent="0.2">
      <c r="A2" s="6" t="s">
        <v>2161</v>
      </c>
      <c r="B2" s="6" t="s">
        <v>37</v>
      </c>
    </row>
    <row r="3" spans="1:2" x14ac:dyDescent="0.2">
      <c r="A3" s="6" t="s">
        <v>2174</v>
      </c>
      <c r="B3" s="6" t="s">
        <v>40</v>
      </c>
    </row>
    <row r="4" spans="1:2" x14ac:dyDescent="0.2">
      <c r="A4" s="6" t="s">
        <v>2207</v>
      </c>
      <c r="B4" s="6" t="s">
        <v>46</v>
      </c>
    </row>
    <row r="5" spans="1:2" x14ac:dyDescent="0.2">
      <c r="A5" s="6" t="s">
        <v>2214</v>
      </c>
      <c r="B5" s="6" t="s">
        <v>53</v>
      </c>
    </row>
    <row r="6" spans="1:2" x14ac:dyDescent="0.2">
      <c r="A6" s="6" t="s">
        <v>2155</v>
      </c>
      <c r="B6" s="6" t="s">
        <v>30</v>
      </c>
    </row>
    <row r="7" spans="1:2" x14ac:dyDescent="0.2">
      <c r="A7" s="6" t="s">
        <v>2192</v>
      </c>
      <c r="B7" s="6" t="s">
        <v>44</v>
      </c>
    </row>
    <row r="8" spans="1:2" x14ac:dyDescent="0.2">
      <c r="A8" s="6" t="s">
        <v>2142</v>
      </c>
      <c r="B8" s="6" t="s">
        <v>48</v>
      </c>
    </row>
    <row r="9" spans="1:2" x14ac:dyDescent="0.2">
      <c r="A9" s="6" t="s">
        <v>2215</v>
      </c>
      <c r="B9" s="6" t="s">
        <v>55</v>
      </c>
    </row>
    <row r="10" spans="1:2" x14ac:dyDescent="0.2">
      <c r="A10" s="6" t="s">
        <v>2160</v>
      </c>
      <c r="B10" s="6" t="s">
        <v>35</v>
      </c>
    </row>
    <row r="11" spans="1:2" x14ac:dyDescent="0.2">
      <c r="A11" s="6" t="s">
        <v>2182</v>
      </c>
      <c r="B11" s="6" t="s">
        <v>42</v>
      </c>
    </row>
    <row r="12" spans="1:2" x14ac:dyDescent="0.2">
      <c r="A12" s="6" t="s">
        <v>2146</v>
      </c>
      <c r="B12" s="6" t="s">
        <v>50</v>
      </c>
    </row>
    <row r="13" spans="1:2" x14ac:dyDescent="0.2">
      <c r="A13" s="20" t="s">
        <v>2216</v>
      </c>
      <c r="B13" s="20" t="s">
        <v>58</v>
      </c>
    </row>
    <row r="14" spans="1:2" x14ac:dyDescent="0.2">
      <c r="A14" s="6" t="s">
        <v>2217</v>
      </c>
      <c r="B14" s="6" t="s">
        <v>62</v>
      </c>
    </row>
    <row r="15" spans="1:2" x14ac:dyDescent="0.2">
      <c r="A15" s="6" t="s">
        <v>2218</v>
      </c>
      <c r="B15" s="6" t="s">
        <v>69</v>
      </c>
    </row>
    <row r="16" spans="1:2" x14ac:dyDescent="0.2">
      <c r="A16" s="6" t="s">
        <v>2219</v>
      </c>
      <c r="B16" s="6" t="s">
        <v>71</v>
      </c>
    </row>
    <row r="17" spans="1:2" x14ac:dyDescent="0.2">
      <c r="A17" s="6" t="s">
        <v>2220</v>
      </c>
      <c r="B17" s="6" t="s">
        <v>75</v>
      </c>
    </row>
    <row r="18" spans="1:2" x14ac:dyDescent="0.2">
      <c r="A18" s="6" t="s">
        <v>2221</v>
      </c>
      <c r="B18" s="6" t="s">
        <v>60</v>
      </c>
    </row>
    <row r="19" spans="1:2" x14ac:dyDescent="0.2">
      <c r="A19" s="6" t="s">
        <v>2222</v>
      </c>
      <c r="B19" s="6" t="s">
        <v>66</v>
      </c>
    </row>
    <row r="20" spans="1:2" x14ac:dyDescent="0.2">
      <c r="A20" s="6" t="s">
        <v>2223</v>
      </c>
      <c r="B20" s="6" t="s">
        <v>74</v>
      </c>
    </row>
    <row r="21" spans="1:2" x14ac:dyDescent="0.2">
      <c r="A21" s="6" t="s">
        <v>2224</v>
      </c>
      <c r="B21" s="6" t="s">
        <v>77</v>
      </c>
    </row>
    <row r="22" spans="1:2" x14ac:dyDescent="0.2">
      <c r="A22" s="6" t="s">
        <v>2225</v>
      </c>
      <c r="B22" s="6" t="s">
        <v>64</v>
      </c>
    </row>
    <row r="23" spans="1:2" x14ac:dyDescent="0.2">
      <c r="A23" s="6" t="s">
        <v>2226</v>
      </c>
      <c r="B23" s="6" t="s">
        <v>65</v>
      </c>
    </row>
    <row r="24" spans="1:2" x14ac:dyDescent="0.2">
      <c r="A24" s="6" t="s">
        <v>2227</v>
      </c>
      <c r="B24" s="6" t="s">
        <v>73</v>
      </c>
    </row>
    <row r="25" spans="1:2" x14ac:dyDescent="0.2">
      <c r="A25" s="20" t="s">
        <v>2228</v>
      </c>
      <c r="B25" s="20" t="s">
        <v>76</v>
      </c>
    </row>
    <row r="26" spans="1:2" x14ac:dyDescent="0.2">
      <c r="A26" s="6" t="s">
        <v>2229</v>
      </c>
      <c r="B26" s="6" t="s">
        <v>81</v>
      </c>
    </row>
    <row r="27" spans="1:2" x14ac:dyDescent="0.2">
      <c r="A27" s="6" t="s">
        <v>2230</v>
      </c>
      <c r="B27" s="6" t="s">
        <v>86</v>
      </c>
    </row>
    <row r="28" spans="1:2" x14ac:dyDescent="0.2">
      <c r="A28" s="6" t="s">
        <v>2231</v>
      </c>
      <c r="B28" s="6" t="s">
        <v>89</v>
      </c>
    </row>
    <row r="29" spans="1:2" x14ac:dyDescent="0.2">
      <c r="A29" s="6" t="s">
        <v>2232</v>
      </c>
      <c r="B29" s="6" t="s">
        <v>92</v>
      </c>
    </row>
    <row r="30" spans="1:2" x14ac:dyDescent="0.2">
      <c r="A30" s="6" t="s">
        <v>2233</v>
      </c>
      <c r="B30" s="6" t="s">
        <v>83</v>
      </c>
    </row>
    <row r="31" spans="1:2" x14ac:dyDescent="0.2">
      <c r="A31" s="6" t="s">
        <v>2234</v>
      </c>
      <c r="B31" s="6" t="s">
        <v>84</v>
      </c>
    </row>
    <row r="32" spans="1:2" x14ac:dyDescent="0.2">
      <c r="A32" s="6" t="s">
        <v>2235</v>
      </c>
      <c r="B32" s="6" t="s">
        <v>90</v>
      </c>
    </row>
    <row r="33" spans="1:2" x14ac:dyDescent="0.2">
      <c r="A33" s="6" t="s">
        <v>2236</v>
      </c>
      <c r="B33" s="6" t="s">
        <v>91</v>
      </c>
    </row>
    <row r="34" spans="1:2" x14ac:dyDescent="0.2">
      <c r="A34" s="6" t="s">
        <v>2237</v>
      </c>
      <c r="B34" s="6" t="s">
        <v>80</v>
      </c>
    </row>
    <row r="35" spans="1:2" x14ac:dyDescent="0.2">
      <c r="A35" s="6" t="s">
        <v>2238</v>
      </c>
      <c r="B35" s="6" t="s">
        <v>87</v>
      </c>
    </row>
    <row r="36" spans="1:2" x14ac:dyDescent="0.2">
      <c r="A36" s="6" t="s">
        <v>2239</v>
      </c>
      <c r="B36" s="6" t="s">
        <v>88</v>
      </c>
    </row>
    <row r="37" spans="1:2" x14ac:dyDescent="0.2">
      <c r="A37" s="6" t="s">
        <v>2240</v>
      </c>
      <c r="B37" s="6" t="s">
        <v>93</v>
      </c>
    </row>
    <row r="38" spans="1:2" x14ac:dyDescent="0.2">
      <c r="A38" s="6" t="s">
        <v>2241</v>
      </c>
      <c r="B38" s="6" t="s">
        <v>95</v>
      </c>
    </row>
    <row r="39" spans="1:2" x14ac:dyDescent="0.2">
      <c r="A39" s="6" t="s">
        <v>2242</v>
      </c>
      <c r="B39" s="6" t="s">
        <v>99</v>
      </c>
    </row>
    <row r="40" spans="1:2" x14ac:dyDescent="0.2">
      <c r="A40" s="6" t="s">
        <v>2243</v>
      </c>
      <c r="B40" s="6" t="s">
        <v>103</v>
      </c>
    </row>
    <row r="41" spans="1:2" x14ac:dyDescent="0.2">
      <c r="A41" s="6" t="s">
        <v>2244</v>
      </c>
      <c r="B41" s="6" t="s">
        <v>106</v>
      </c>
    </row>
    <row r="42" spans="1:2" x14ac:dyDescent="0.2">
      <c r="A42" s="6" t="s">
        <v>2245</v>
      </c>
      <c r="B42" s="6" t="s">
        <v>96</v>
      </c>
    </row>
    <row r="43" spans="1:2" x14ac:dyDescent="0.2">
      <c r="A43" s="6" t="s">
        <v>2246</v>
      </c>
      <c r="B43" s="6" t="s">
        <v>100</v>
      </c>
    </row>
    <row r="44" spans="1:2" x14ac:dyDescent="0.2">
      <c r="A44" s="6" t="s">
        <v>2247</v>
      </c>
      <c r="B44" s="6" t="s">
        <v>102</v>
      </c>
    </row>
    <row r="45" spans="1:2" x14ac:dyDescent="0.2">
      <c r="A45" s="6" t="s">
        <v>2248</v>
      </c>
      <c r="B45" s="6" t="s">
        <v>104</v>
      </c>
    </row>
    <row r="46" spans="1:2" x14ac:dyDescent="0.2">
      <c r="A46" s="6" t="s">
        <v>2249</v>
      </c>
      <c r="B46" s="6" t="s">
        <v>97</v>
      </c>
    </row>
    <row r="47" spans="1:2" x14ac:dyDescent="0.2">
      <c r="A47" s="6" t="s">
        <v>2250</v>
      </c>
      <c r="B47" s="6" t="s">
        <v>98</v>
      </c>
    </row>
    <row r="48" spans="1:2" x14ac:dyDescent="0.2">
      <c r="A48" s="6" t="s">
        <v>2251</v>
      </c>
      <c r="B48" s="6" t="s">
        <v>101</v>
      </c>
    </row>
    <row r="49" spans="1:2" x14ac:dyDescent="0.2">
      <c r="A49" s="6" t="s">
        <v>2252</v>
      </c>
      <c r="B49" s="6" t="s">
        <v>105</v>
      </c>
    </row>
    <row r="50" spans="1:2" x14ac:dyDescent="0.2">
      <c r="A50" s="6" t="s">
        <v>2253</v>
      </c>
      <c r="B50" s="6" t="s">
        <v>109</v>
      </c>
    </row>
    <row r="51" spans="1:2" x14ac:dyDescent="0.2">
      <c r="A51" s="6" t="s">
        <v>2254</v>
      </c>
      <c r="B51" s="6" t="s">
        <v>111</v>
      </c>
    </row>
    <row r="52" spans="1:2" x14ac:dyDescent="0.2">
      <c r="A52" s="6" t="s">
        <v>2255</v>
      </c>
      <c r="B52" s="6" t="s">
        <v>115</v>
      </c>
    </row>
    <row r="53" spans="1:2" x14ac:dyDescent="0.2">
      <c r="A53" s="6" t="s">
        <v>2256</v>
      </c>
      <c r="B53" s="6" t="s">
        <v>117</v>
      </c>
    </row>
    <row r="54" spans="1:2" x14ac:dyDescent="0.2">
      <c r="A54" s="6" t="s">
        <v>2257</v>
      </c>
      <c r="B54" s="6" t="s">
        <v>108</v>
      </c>
    </row>
    <row r="55" spans="1:2" x14ac:dyDescent="0.2">
      <c r="A55" s="6" t="s">
        <v>2258</v>
      </c>
      <c r="B55" s="6" t="s">
        <v>113</v>
      </c>
    </row>
    <row r="56" spans="1:2" x14ac:dyDescent="0.2">
      <c r="A56" s="6" t="s">
        <v>2259</v>
      </c>
      <c r="B56" s="6" t="s">
        <v>114</v>
      </c>
    </row>
    <row r="57" spans="1:2" x14ac:dyDescent="0.2">
      <c r="A57" s="6" t="s">
        <v>2260</v>
      </c>
      <c r="B57" s="6" t="s">
        <v>119</v>
      </c>
    </row>
    <row r="58" spans="1:2" x14ac:dyDescent="0.2">
      <c r="A58" s="6" t="s">
        <v>2261</v>
      </c>
      <c r="B58" s="6" t="s">
        <v>110</v>
      </c>
    </row>
    <row r="59" spans="1:2" x14ac:dyDescent="0.2">
      <c r="A59" s="6" t="s">
        <v>2262</v>
      </c>
      <c r="B59" s="6" t="s">
        <v>112</v>
      </c>
    </row>
    <row r="60" spans="1:2" x14ac:dyDescent="0.2">
      <c r="A60" s="6" t="s">
        <v>2263</v>
      </c>
      <c r="B60" s="6" t="s">
        <v>116</v>
      </c>
    </row>
    <row r="61" spans="1:2" x14ac:dyDescent="0.2">
      <c r="A61" s="6" t="s">
        <v>2264</v>
      </c>
      <c r="B61" s="6" t="s">
        <v>118</v>
      </c>
    </row>
    <row r="62" spans="1:2" x14ac:dyDescent="0.2">
      <c r="A62" s="6" t="s">
        <v>2265</v>
      </c>
      <c r="B62" s="6" t="s">
        <v>123</v>
      </c>
    </row>
    <row r="63" spans="1:2" x14ac:dyDescent="0.2">
      <c r="A63" s="6" t="s">
        <v>2266</v>
      </c>
      <c r="B63" s="6" t="s">
        <v>125</v>
      </c>
    </row>
    <row r="64" spans="1:2" x14ac:dyDescent="0.2">
      <c r="A64" s="6" t="s">
        <v>2267</v>
      </c>
      <c r="B64" s="6" t="s">
        <v>127</v>
      </c>
    </row>
    <row r="65" spans="1:2" x14ac:dyDescent="0.2">
      <c r="A65" s="6" t="s">
        <v>2268</v>
      </c>
      <c r="B65" s="6" t="s">
        <v>133</v>
      </c>
    </row>
    <row r="66" spans="1:2" x14ac:dyDescent="0.2">
      <c r="A66" s="6" t="s">
        <v>2269</v>
      </c>
      <c r="B66" s="6" t="s">
        <v>121</v>
      </c>
    </row>
    <row r="67" spans="1:2" x14ac:dyDescent="0.2">
      <c r="A67" s="6" t="s">
        <v>2270</v>
      </c>
      <c r="B67" s="6" t="s">
        <v>126</v>
      </c>
    </row>
    <row r="68" spans="1:2" x14ac:dyDescent="0.2">
      <c r="A68" s="6" t="s">
        <v>2271</v>
      </c>
      <c r="B68" s="6" t="s">
        <v>130</v>
      </c>
    </row>
    <row r="69" spans="1:2" x14ac:dyDescent="0.2">
      <c r="A69" s="6" t="s">
        <v>2272</v>
      </c>
      <c r="B69" s="6" t="s">
        <v>131</v>
      </c>
    </row>
    <row r="70" spans="1:2" x14ac:dyDescent="0.2">
      <c r="A70" s="6" t="s">
        <v>2273</v>
      </c>
      <c r="B70" s="6" t="s">
        <v>122</v>
      </c>
    </row>
    <row r="71" spans="1:2" x14ac:dyDescent="0.2">
      <c r="A71" s="6" t="s">
        <v>2274</v>
      </c>
      <c r="B71" s="6" t="s">
        <v>124</v>
      </c>
    </row>
    <row r="72" spans="1:2" x14ac:dyDescent="0.2">
      <c r="A72" s="6" t="s">
        <v>2275</v>
      </c>
      <c r="B72" s="6" t="s">
        <v>129</v>
      </c>
    </row>
    <row r="73" spans="1:2" x14ac:dyDescent="0.2">
      <c r="A73" s="6" t="s">
        <v>2276</v>
      </c>
      <c r="B73" s="6" t="s">
        <v>132</v>
      </c>
    </row>
    <row r="74" spans="1:2" x14ac:dyDescent="0.2">
      <c r="A74" s="6" t="s">
        <v>2277</v>
      </c>
      <c r="B74" s="6" t="s">
        <v>136</v>
      </c>
    </row>
    <row r="75" spans="1:2" x14ac:dyDescent="0.2">
      <c r="A75" s="6" t="s">
        <v>2278</v>
      </c>
      <c r="B75" s="6" t="s">
        <v>139</v>
      </c>
    </row>
    <row r="76" spans="1:2" x14ac:dyDescent="0.2">
      <c r="A76" s="6" t="s">
        <v>2279</v>
      </c>
      <c r="B76" s="6" t="s">
        <v>143</v>
      </c>
    </row>
    <row r="77" spans="1:2" x14ac:dyDescent="0.2">
      <c r="A77" s="6" t="s">
        <v>2280</v>
      </c>
      <c r="B77" s="6" t="s">
        <v>149</v>
      </c>
    </row>
    <row r="78" spans="1:2" x14ac:dyDescent="0.2">
      <c r="A78" s="6" t="s">
        <v>2281</v>
      </c>
      <c r="B78" s="6" t="s">
        <v>135</v>
      </c>
    </row>
    <row r="79" spans="1:2" x14ac:dyDescent="0.2">
      <c r="A79" s="6" t="s">
        <v>2282</v>
      </c>
      <c r="B79" s="6" t="s">
        <v>141</v>
      </c>
    </row>
    <row r="80" spans="1:2" x14ac:dyDescent="0.2">
      <c r="A80" s="6" t="s">
        <v>2283</v>
      </c>
      <c r="B80" s="6" t="s">
        <v>144</v>
      </c>
    </row>
    <row r="81" spans="1:2" x14ac:dyDescent="0.2">
      <c r="A81" s="6" t="s">
        <v>2284</v>
      </c>
      <c r="B81" s="6" t="s">
        <v>146</v>
      </c>
    </row>
    <row r="82" spans="1:2" x14ac:dyDescent="0.2">
      <c r="A82" s="6" t="s">
        <v>2285</v>
      </c>
      <c r="B82" s="6" t="s">
        <v>137</v>
      </c>
    </row>
    <row r="83" spans="1:2" x14ac:dyDescent="0.2">
      <c r="A83" s="6" t="s">
        <v>2286</v>
      </c>
      <c r="B83" s="6" t="s">
        <v>138</v>
      </c>
    </row>
    <row r="84" spans="1:2" x14ac:dyDescent="0.2">
      <c r="A84" s="6" t="s">
        <v>2287</v>
      </c>
      <c r="B84" s="6" t="s">
        <v>142</v>
      </c>
    </row>
    <row r="85" spans="1:2" x14ac:dyDescent="0.2">
      <c r="A85" s="6" t="s">
        <v>2288</v>
      </c>
      <c r="B85" s="6" t="s">
        <v>145</v>
      </c>
    </row>
    <row r="86" spans="1:2" x14ac:dyDescent="0.2">
      <c r="A86" s="6" t="s">
        <v>2289</v>
      </c>
      <c r="B86" s="6" t="s">
        <v>152</v>
      </c>
    </row>
    <row r="87" spans="1:2" x14ac:dyDescent="0.2">
      <c r="A87" s="6" t="s">
        <v>2290</v>
      </c>
      <c r="B87" s="6" t="s">
        <v>154</v>
      </c>
    </row>
    <row r="88" spans="1:2" x14ac:dyDescent="0.2">
      <c r="A88" s="6" t="s">
        <v>2291</v>
      </c>
      <c r="B88" s="6" t="s">
        <v>159</v>
      </c>
    </row>
    <row r="89" spans="1:2" x14ac:dyDescent="0.2">
      <c r="A89" s="6" t="s">
        <v>2292</v>
      </c>
      <c r="B89" s="6" t="s">
        <v>163</v>
      </c>
    </row>
    <row r="90" spans="1:2" x14ac:dyDescent="0.2">
      <c r="A90" s="6" t="s">
        <v>2293</v>
      </c>
      <c r="B90" s="6" t="s">
        <v>151</v>
      </c>
    </row>
    <row r="91" spans="1:2" x14ac:dyDescent="0.2">
      <c r="A91" s="6" t="s">
        <v>2294</v>
      </c>
      <c r="B91" s="6" t="s">
        <v>156</v>
      </c>
    </row>
    <row r="92" spans="1:2" x14ac:dyDescent="0.2">
      <c r="A92" s="6" t="s">
        <v>2295</v>
      </c>
      <c r="B92" s="6" t="s">
        <v>157</v>
      </c>
    </row>
    <row r="93" spans="1:2" x14ac:dyDescent="0.2">
      <c r="A93" s="6" t="s">
        <v>2296</v>
      </c>
      <c r="B93" s="6" t="s">
        <v>161</v>
      </c>
    </row>
    <row r="94" spans="1:2" x14ac:dyDescent="0.2">
      <c r="A94" s="6" t="s">
        <v>2297</v>
      </c>
      <c r="B94" s="6" t="s">
        <v>153</v>
      </c>
    </row>
    <row r="95" spans="1:2" x14ac:dyDescent="0.2">
      <c r="A95" s="6" t="s">
        <v>2298</v>
      </c>
      <c r="B95" s="6" t="s">
        <v>155</v>
      </c>
    </row>
    <row r="96" spans="1:2" x14ac:dyDescent="0.2">
      <c r="A96" s="6" t="s">
        <v>2299</v>
      </c>
      <c r="B96" s="6" t="s">
        <v>158</v>
      </c>
    </row>
    <row r="97" spans="1:2" x14ac:dyDescent="0.2">
      <c r="A97" s="6" t="s">
        <v>2300</v>
      </c>
      <c r="B97" s="6" t="s">
        <v>160</v>
      </c>
    </row>
    <row r="98" spans="1:2" x14ac:dyDescent="0.2">
      <c r="A98" s="6" t="s">
        <v>2301</v>
      </c>
      <c r="B98" s="6" t="s">
        <v>165</v>
      </c>
    </row>
    <row r="99" spans="1:2" x14ac:dyDescent="0.2">
      <c r="A99" s="6" t="s">
        <v>2302</v>
      </c>
      <c r="B99" s="6" t="s">
        <v>169</v>
      </c>
    </row>
    <row r="100" spans="1:2" x14ac:dyDescent="0.2">
      <c r="A100" s="6" t="s">
        <v>2303</v>
      </c>
      <c r="B100" s="6" t="s">
        <v>173</v>
      </c>
    </row>
    <row r="101" spans="1:2" x14ac:dyDescent="0.2">
      <c r="A101" s="6" t="s">
        <v>2304</v>
      </c>
      <c r="B101" s="6" t="s">
        <v>177</v>
      </c>
    </row>
    <row r="102" spans="1:2" x14ac:dyDescent="0.2">
      <c r="A102" s="6" t="s">
        <v>2305</v>
      </c>
      <c r="B102" s="6" t="s">
        <v>167</v>
      </c>
    </row>
    <row r="103" spans="1:2" x14ac:dyDescent="0.2">
      <c r="A103" s="6" t="s">
        <v>2306</v>
      </c>
      <c r="B103" s="6" t="s">
        <v>170</v>
      </c>
    </row>
    <row r="104" spans="1:2" x14ac:dyDescent="0.2">
      <c r="A104" s="6" t="s">
        <v>2307</v>
      </c>
      <c r="B104" s="6" t="s">
        <v>172</v>
      </c>
    </row>
    <row r="105" spans="1:2" x14ac:dyDescent="0.2">
      <c r="A105" s="6" t="s">
        <v>2308</v>
      </c>
      <c r="B105" s="6" t="s">
        <v>175</v>
      </c>
    </row>
    <row r="106" spans="1:2" x14ac:dyDescent="0.2">
      <c r="A106" s="6" t="s">
        <v>2309</v>
      </c>
      <c r="B106" s="6" t="s">
        <v>166</v>
      </c>
    </row>
    <row r="107" spans="1:2" x14ac:dyDescent="0.2">
      <c r="A107" s="6" t="s">
        <v>2310</v>
      </c>
      <c r="B107" s="6" t="s">
        <v>171</v>
      </c>
    </row>
    <row r="108" spans="1:2" x14ac:dyDescent="0.2">
      <c r="A108" s="6" t="s">
        <v>2311</v>
      </c>
      <c r="B108" s="6" t="s">
        <v>174</v>
      </c>
    </row>
    <row r="109" spans="1:2" x14ac:dyDescent="0.2">
      <c r="A109" s="6" t="s">
        <v>2312</v>
      </c>
      <c r="B109" s="6" t="s">
        <v>176</v>
      </c>
    </row>
    <row r="110" spans="1:2" x14ac:dyDescent="0.2">
      <c r="A110" s="6" t="s">
        <v>2313</v>
      </c>
      <c r="B110" s="6" t="s">
        <v>180</v>
      </c>
    </row>
    <row r="111" spans="1:2" x14ac:dyDescent="0.2">
      <c r="A111" s="6" t="s">
        <v>2314</v>
      </c>
      <c r="B111" s="6" t="s">
        <v>183</v>
      </c>
    </row>
    <row r="112" spans="1:2" x14ac:dyDescent="0.2">
      <c r="A112" s="6" t="s">
        <v>2315</v>
      </c>
      <c r="B112" s="6" t="s">
        <v>186</v>
      </c>
    </row>
    <row r="113" spans="1:2" x14ac:dyDescent="0.2">
      <c r="A113" s="6" t="s">
        <v>2316</v>
      </c>
      <c r="B113" s="6" t="s">
        <v>189</v>
      </c>
    </row>
    <row r="114" spans="1:2" x14ac:dyDescent="0.2">
      <c r="A114" s="6" t="s">
        <v>2317</v>
      </c>
      <c r="B114" s="6" t="s">
        <v>179</v>
      </c>
    </row>
    <row r="115" spans="1:2" x14ac:dyDescent="0.2">
      <c r="A115" s="6" t="s">
        <v>2318</v>
      </c>
      <c r="B115" s="6" t="s">
        <v>184</v>
      </c>
    </row>
    <row r="116" spans="1:2" x14ac:dyDescent="0.2">
      <c r="A116" s="6" t="s">
        <v>2319</v>
      </c>
      <c r="B116" s="6" t="s">
        <v>185</v>
      </c>
    </row>
    <row r="117" spans="1:2" x14ac:dyDescent="0.2">
      <c r="A117" s="6" t="s">
        <v>2320</v>
      </c>
      <c r="B117" s="6" t="s">
        <v>188</v>
      </c>
    </row>
    <row r="118" spans="1:2" x14ac:dyDescent="0.2">
      <c r="A118" s="6" t="s">
        <v>2321</v>
      </c>
      <c r="B118" s="6" t="s">
        <v>181</v>
      </c>
    </row>
    <row r="119" spans="1:2" x14ac:dyDescent="0.2">
      <c r="A119" s="6" t="s">
        <v>2322</v>
      </c>
      <c r="B119" s="6" t="s">
        <v>182</v>
      </c>
    </row>
    <row r="120" spans="1:2" x14ac:dyDescent="0.2">
      <c r="A120" s="6" t="s">
        <v>2323</v>
      </c>
      <c r="B120" s="6" t="s">
        <v>187</v>
      </c>
    </row>
    <row r="121" spans="1:2" x14ac:dyDescent="0.2">
      <c r="A121" s="6" t="s">
        <v>2324</v>
      </c>
      <c r="B121" s="6" t="s">
        <v>190</v>
      </c>
    </row>
    <row r="122" spans="1:2" x14ac:dyDescent="0.2">
      <c r="A122" s="6" t="s">
        <v>2325</v>
      </c>
      <c r="B122" s="6" t="s">
        <v>192</v>
      </c>
    </row>
    <row r="123" spans="1:2" x14ac:dyDescent="0.2">
      <c r="A123" s="6" t="s">
        <v>2326</v>
      </c>
      <c r="B123" s="6" t="s">
        <v>195</v>
      </c>
    </row>
    <row r="124" spans="1:2" x14ac:dyDescent="0.2">
      <c r="A124" s="6" t="s">
        <v>2327</v>
      </c>
      <c r="B124" s="6" t="s">
        <v>200</v>
      </c>
    </row>
    <row r="125" spans="1:2" x14ac:dyDescent="0.2">
      <c r="A125" s="6" t="s">
        <v>2328</v>
      </c>
      <c r="B125" s="6" t="s">
        <v>201</v>
      </c>
    </row>
    <row r="126" spans="1:2" x14ac:dyDescent="0.2">
      <c r="A126" s="6" t="s">
        <v>2329</v>
      </c>
      <c r="B126" s="6" t="s">
        <v>193</v>
      </c>
    </row>
    <row r="127" spans="1:2" x14ac:dyDescent="0.2">
      <c r="A127" s="6" t="s">
        <v>2330</v>
      </c>
      <c r="B127" s="6" t="s">
        <v>197</v>
      </c>
    </row>
    <row r="128" spans="1:2" x14ac:dyDescent="0.2">
      <c r="A128" s="6" t="s">
        <v>2331</v>
      </c>
      <c r="B128" s="6" t="s">
        <v>198</v>
      </c>
    </row>
    <row r="129" spans="1:2" x14ac:dyDescent="0.2">
      <c r="A129" s="6" t="s">
        <v>2332</v>
      </c>
      <c r="B129" s="6" t="s">
        <v>202</v>
      </c>
    </row>
    <row r="130" spans="1:2" x14ac:dyDescent="0.2">
      <c r="A130" s="6" t="s">
        <v>2333</v>
      </c>
      <c r="B130" s="6" t="s">
        <v>194</v>
      </c>
    </row>
    <row r="131" spans="1:2" x14ac:dyDescent="0.2">
      <c r="A131" s="6" t="s">
        <v>2334</v>
      </c>
      <c r="B131" s="6" t="s">
        <v>196</v>
      </c>
    </row>
    <row r="132" spans="1:2" x14ac:dyDescent="0.2">
      <c r="A132" s="6" t="s">
        <v>2335</v>
      </c>
      <c r="B132" s="6" t="s">
        <v>199</v>
      </c>
    </row>
    <row r="133" spans="1:2" x14ac:dyDescent="0.2">
      <c r="A133" s="6" t="s">
        <v>2336</v>
      </c>
      <c r="B133" s="6" t="s">
        <v>203</v>
      </c>
    </row>
    <row r="134" spans="1:2" x14ac:dyDescent="0.2">
      <c r="A134" s="6" t="s">
        <v>2204</v>
      </c>
      <c r="B134" s="6" t="s">
        <v>205</v>
      </c>
    </row>
    <row r="135" spans="1:2" x14ac:dyDescent="0.2">
      <c r="A135" s="6" t="s">
        <v>2183</v>
      </c>
      <c r="B135" s="6" t="s">
        <v>210</v>
      </c>
    </row>
    <row r="136" spans="1:2" x14ac:dyDescent="0.2">
      <c r="A136" s="6" t="s">
        <v>2144</v>
      </c>
      <c r="B136" s="6" t="s">
        <v>214</v>
      </c>
    </row>
    <row r="137" spans="1:2" x14ac:dyDescent="0.2">
      <c r="A137" s="6" t="s">
        <v>2337</v>
      </c>
      <c r="B137" s="6" t="s">
        <v>216</v>
      </c>
    </row>
    <row r="138" spans="1:2" x14ac:dyDescent="0.2">
      <c r="A138" s="6" t="s">
        <v>2173</v>
      </c>
      <c r="B138" s="6" t="s">
        <v>207</v>
      </c>
    </row>
    <row r="139" spans="1:2" x14ac:dyDescent="0.2">
      <c r="A139" s="6" t="s">
        <v>2189</v>
      </c>
      <c r="B139" s="6" t="s">
        <v>211</v>
      </c>
    </row>
    <row r="140" spans="1:2" x14ac:dyDescent="0.2">
      <c r="A140" s="6" t="s">
        <v>2201</v>
      </c>
      <c r="B140" s="6" t="s">
        <v>212</v>
      </c>
    </row>
    <row r="141" spans="1:2" x14ac:dyDescent="0.2">
      <c r="A141" s="6" t="s">
        <v>2338</v>
      </c>
      <c r="B141" s="6" t="s">
        <v>218</v>
      </c>
    </row>
    <row r="142" spans="1:2" x14ac:dyDescent="0.2">
      <c r="A142" s="6" t="s">
        <v>2165</v>
      </c>
      <c r="B142" s="6" t="s">
        <v>206</v>
      </c>
    </row>
    <row r="143" spans="1:2" x14ac:dyDescent="0.2">
      <c r="A143" s="6" t="s">
        <v>2179</v>
      </c>
      <c r="B143" s="6" t="s">
        <v>209</v>
      </c>
    </row>
    <row r="144" spans="1:2" x14ac:dyDescent="0.2">
      <c r="A144" s="6" t="s">
        <v>2203</v>
      </c>
      <c r="B144" s="6" t="s">
        <v>213</v>
      </c>
    </row>
    <row r="145" spans="1:2" x14ac:dyDescent="0.2">
      <c r="A145" s="6" t="s">
        <v>2339</v>
      </c>
      <c r="B145" s="6" t="s">
        <v>215</v>
      </c>
    </row>
    <row r="146" spans="1:2" x14ac:dyDescent="0.2">
      <c r="A146" s="6" t="s">
        <v>2340</v>
      </c>
      <c r="B146" s="6" t="s">
        <v>220</v>
      </c>
    </row>
    <row r="147" spans="1:2" x14ac:dyDescent="0.2">
      <c r="A147" s="6" t="s">
        <v>2341</v>
      </c>
      <c r="B147" s="6" t="s">
        <v>225</v>
      </c>
    </row>
    <row r="148" spans="1:2" x14ac:dyDescent="0.2">
      <c r="A148" s="6" t="s">
        <v>2342</v>
      </c>
      <c r="B148" s="6" t="s">
        <v>228</v>
      </c>
    </row>
    <row r="149" spans="1:2" x14ac:dyDescent="0.2">
      <c r="A149" s="6" t="s">
        <v>2343</v>
      </c>
      <c r="B149" s="6" t="s">
        <v>231</v>
      </c>
    </row>
    <row r="150" spans="1:2" x14ac:dyDescent="0.2">
      <c r="A150" s="6" t="s">
        <v>2344</v>
      </c>
      <c r="B150" s="6" t="s">
        <v>221</v>
      </c>
    </row>
    <row r="151" spans="1:2" x14ac:dyDescent="0.2">
      <c r="A151" s="6" t="s">
        <v>2345</v>
      </c>
      <c r="B151" s="6" t="s">
        <v>223</v>
      </c>
    </row>
    <row r="152" spans="1:2" x14ac:dyDescent="0.2">
      <c r="A152" s="6" t="s">
        <v>2346</v>
      </c>
      <c r="B152" s="6" t="s">
        <v>226</v>
      </c>
    </row>
    <row r="153" spans="1:2" x14ac:dyDescent="0.2">
      <c r="A153" s="6" t="s">
        <v>2347</v>
      </c>
      <c r="B153" s="6" t="s">
        <v>230</v>
      </c>
    </row>
    <row r="154" spans="1:2" x14ac:dyDescent="0.2">
      <c r="A154" s="6" t="s">
        <v>2348</v>
      </c>
      <c r="B154" s="6" t="s">
        <v>222</v>
      </c>
    </row>
    <row r="155" spans="1:2" x14ac:dyDescent="0.2">
      <c r="A155" s="6" t="s">
        <v>2349</v>
      </c>
      <c r="B155" s="6" t="s">
        <v>224</v>
      </c>
    </row>
    <row r="156" spans="1:2" x14ac:dyDescent="0.2">
      <c r="A156" s="6" t="s">
        <v>2350</v>
      </c>
      <c r="B156" s="6" t="s">
        <v>227</v>
      </c>
    </row>
    <row r="157" spans="1:2" x14ac:dyDescent="0.2">
      <c r="A157" s="6" t="s">
        <v>2351</v>
      </c>
      <c r="B157" s="6" t="s">
        <v>229</v>
      </c>
    </row>
    <row r="158" spans="1:2" x14ac:dyDescent="0.2">
      <c r="A158" s="6" t="s">
        <v>2352</v>
      </c>
      <c r="B158" s="6" t="s">
        <v>235</v>
      </c>
    </row>
    <row r="159" spans="1:2" x14ac:dyDescent="0.2">
      <c r="A159" s="6" t="s">
        <v>2353</v>
      </c>
      <c r="B159" s="6" t="s">
        <v>237</v>
      </c>
    </row>
    <row r="160" spans="1:2" x14ac:dyDescent="0.2">
      <c r="A160" s="6" t="s">
        <v>2354</v>
      </c>
      <c r="B160" s="6" t="s">
        <v>241</v>
      </c>
    </row>
    <row r="161" spans="1:2" x14ac:dyDescent="0.2">
      <c r="A161" s="6" t="s">
        <v>2355</v>
      </c>
      <c r="B161" s="6" t="s">
        <v>243</v>
      </c>
    </row>
    <row r="162" spans="1:2" x14ac:dyDescent="0.2">
      <c r="A162" s="6" t="s">
        <v>2356</v>
      </c>
      <c r="B162" s="6" t="s">
        <v>234</v>
      </c>
    </row>
    <row r="163" spans="1:2" x14ac:dyDescent="0.2">
      <c r="A163" s="6" t="s">
        <v>2357</v>
      </c>
      <c r="B163" s="6" t="s">
        <v>236</v>
      </c>
    </row>
    <row r="164" spans="1:2" x14ac:dyDescent="0.2">
      <c r="A164" s="6" t="s">
        <v>2358</v>
      </c>
      <c r="B164" s="6" t="s">
        <v>240</v>
      </c>
    </row>
    <row r="165" spans="1:2" x14ac:dyDescent="0.2">
      <c r="A165" s="6" t="s">
        <v>2359</v>
      </c>
      <c r="B165" s="6" t="s">
        <v>244</v>
      </c>
    </row>
    <row r="166" spans="1:2" x14ac:dyDescent="0.2">
      <c r="A166" s="6" t="s">
        <v>2360</v>
      </c>
      <c r="B166" s="6" t="s">
        <v>233</v>
      </c>
    </row>
    <row r="167" spans="1:2" x14ac:dyDescent="0.2">
      <c r="A167" s="6" t="s">
        <v>2361</v>
      </c>
      <c r="B167" s="6" t="s">
        <v>238</v>
      </c>
    </row>
    <row r="168" spans="1:2" x14ac:dyDescent="0.2">
      <c r="A168" s="6" t="s">
        <v>2362</v>
      </c>
      <c r="B168" s="6" t="s">
        <v>239</v>
      </c>
    </row>
    <row r="169" spans="1:2" x14ac:dyDescent="0.2">
      <c r="A169" s="6" t="s">
        <v>2363</v>
      </c>
      <c r="B169" s="6" t="s">
        <v>242</v>
      </c>
    </row>
    <row r="170" spans="1:2" x14ac:dyDescent="0.2">
      <c r="A170" s="6" t="s">
        <v>2364</v>
      </c>
      <c r="B170" s="6" t="s">
        <v>246</v>
      </c>
    </row>
    <row r="171" spans="1:2" x14ac:dyDescent="0.2">
      <c r="A171" s="6" t="s">
        <v>2365</v>
      </c>
      <c r="B171" s="6" t="s">
        <v>249</v>
      </c>
    </row>
    <row r="172" spans="1:2" x14ac:dyDescent="0.2">
      <c r="A172" s="6" t="s">
        <v>2366</v>
      </c>
      <c r="B172" s="6" t="s">
        <v>252</v>
      </c>
    </row>
    <row r="173" spans="1:2" x14ac:dyDescent="0.2">
      <c r="A173" s="6" t="s">
        <v>2367</v>
      </c>
      <c r="B173" s="6" t="s">
        <v>255</v>
      </c>
    </row>
    <row r="174" spans="1:2" x14ac:dyDescent="0.2">
      <c r="A174" s="6" t="s">
        <v>2368</v>
      </c>
      <c r="B174" s="6" t="s">
        <v>248</v>
      </c>
    </row>
    <row r="175" spans="1:2" x14ac:dyDescent="0.2">
      <c r="A175" s="6" t="s">
        <v>2369</v>
      </c>
      <c r="B175" s="6" t="s">
        <v>251</v>
      </c>
    </row>
    <row r="176" spans="1:2" x14ac:dyDescent="0.2">
      <c r="A176" s="6" t="s">
        <v>2370</v>
      </c>
      <c r="B176" s="6" t="s">
        <v>253</v>
      </c>
    </row>
    <row r="177" spans="1:2" x14ac:dyDescent="0.2">
      <c r="A177" s="6" t="s">
        <v>2371</v>
      </c>
      <c r="B177" s="6" t="s">
        <v>256</v>
      </c>
    </row>
    <row r="178" spans="1:2" x14ac:dyDescent="0.2">
      <c r="A178" s="6" t="s">
        <v>2372</v>
      </c>
      <c r="B178" s="6" t="s">
        <v>247</v>
      </c>
    </row>
    <row r="179" spans="1:2" x14ac:dyDescent="0.2">
      <c r="A179" s="6" t="s">
        <v>2373</v>
      </c>
      <c r="B179" s="6" t="s">
        <v>250</v>
      </c>
    </row>
    <row r="180" spans="1:2" x14ac:dyDescent="0.2">
      <c r="A180" s="6" t="s">
        <v>2374</v>
      </c>
      <c r="B180" s="6" t="s">
        <v>254</v>
      </c>
    </row>
    <row r="181" spans="1:2" x14ac:dyDescent="0.2">
      <c r="A181" s="6" t="s">
        <v>2375</v>
      </c>
      <c r="B181" s="6" t="s">
        <v>257</v>
      </c>
    </row>
    <row r="182" spans="1:2" x14ac:dyDescent="0.2">
      <c r="A182" s="6" t="s">
        <v>2376</v>
      </c>
      <c r="B182" s="6" t="s">
        <v>259</v>
      </c>
    </row>
    <row r="183" spans="1:2" x14ac:dyDescent="0.2">
      <c r="A183" s="6" t="s">
        <v>2377</v>
      </c>
      <c r="B183" s="6" t="s">
        <v>265</v>
      </c>
    </row>
    <row r="184" spans="1:2" x14ac:dyDescent="0.2">
      <c r="A184" s="6" t="s">
        <v>2378</v>
      </c>
      <c r="B184" s="6" t="s">
        <v>267</v>
      </c>
    </row>
    <row r="185" spans="1:2" x14ac:dyDescent="0.2">
      <c r="A185" s="6" t="s">
        <v>2379</v>
      </c>
      <c r="B185" s="6" t="s">
        <v>271</v>
      </c>
    </row>
    <row r="186" spans="1:2" x14ac:dyDescent="0.2">
      <c r="A186" s="6" t="s">
        <v>2380</v>
      </c>
      <c r="B186" s="6" t="s">
        <v>262</v>
      </c>
    </row>
    <row r="187" spans="1:2" x14ac:dyDescent="0.2">
      <c r="A187" s="6" t="s">
        <v>2381</v>
      </c>
      <c r="B187" s="6" t="s">
        <v>263</v>
      </c>
    </row>
    <row r="188" spans="1:2" x14ac:dyDescent="0.2">
      <c r="A188" s="6" t="s">
        <v>2382</v>
      </c>
      <c r="B188" s="6" t="s">
        <v>268</v>
      </c>
    </row>
    <row r="189" spans="1:2" x14ac:dyDescent="0.2">
      <c r="A189" s="6" t="s">
        <v>2383</v>
      </c>
      <c r="B189" s="6" t="s">
        <v>269</v>
      </c>
    </row>
    <row r="190" spans="1:2" x14ac:dyDescent="0.2">
      <c r="A190" s="6" t="s">
        <v>2384</v>
      </c>
      <c r="B190" s="6" t="s">
        <v>261</v>
      </c>
    </row>
    <row r="191" spans="1:2" x14ac:dyDescent="0.2">
      <c r="A191" s="6" t="s">
        <v>2385</v>
      </c>
      <c r="B191" s="6" t="s">
        <v>264</v>
      </c>
    </row>
    <row r="192" spans="1:2" x14ac:dyDescent="0.2">
      <c r="A192" s="6" t="s">
        <v>2386</v>
      </c>
      <c r="B192" s="6" t="s">
        <v>266</v>
      </c>
    </row>
    <row r="193" spans="1:2" x14ac:dyDescent="0.2">
      <c r="A193" s="6" t="s">
        <v>2387</v>
      </c>
      <c r="B193" s="6" t="s">
        <v>270</v>
      </c>
    </row>
    <row r="194" spans="1:2" x14ac:dyDescent="0.2">
      <c r="A194" s="6" t="s">
        <v>2388</v>
      </c>
      <c r="B194" s="6" t="s">
        <v>276</v>
      </c>
    </row>
    <row r="195" spans="1:2" x14ac:dyDescent="0.2">
      <c r="A195" s="6" t="s">
        <v>2389</v>
      </c>
      <c r="B195" s="6" t="s">
        <v>277</v>
      </c>
    </row>
    <row r="196" spans="1:2" x14ac:dyDescent="0.2">
      <c r="A196" s="6" t="s">
        <v>2390</v>
      </c>
      <c r="B196" s="6" t="s">
        <v>281</v>
      </c>
    </row>
    <row r="197" spans="1:2" x14ac:dyDescent="0.2">
      <c r="A197" s="6" t="s">
        <v>2391</v>
      </c>
      <c r="B197" s="6" t="s">
        <v>284</v>
      </c>
    </row>
    <row r="198" spans="1:2" x14ac:dyDescent="0.2">
      <c r="A198" s="6" t="s">
        <v>2392</v>
      </c>
      <c r="B198" s="6" t="s">
        <v>275</v>
      </c>
    </row>
    <row r="199" spans="1:2" x14ac:dyDescent="0.2">
      <c r="A199" s="6" t="s">
        <v>2393</v>
      </c>
      <c r="B199" s="6" t="s">
        <v>279</v>
      </c>
    </row>
    <row r="200" spans="1:2" x14ac:dyDescent="0.2">
      <c r="A200" s="6" t="s">
        <v>2394</v>
      </c>
      <c r="B200" s="6" t="s">
        <v>283</v>
      </c>
    </row>
    <row r="201" spans="1:2" x14ac:dyDescent="0.2">
      <c r="A201" s="6" t="s">
        <v>2395</v>
      </c>
      <c r="B201" s="6" t="s">
        <v>286</v>
      </c>
    </row>
    <row r="202" spans="1:2" x14ac:dyDescent="0.2">
      <c r="A202" s="6" t="s">
        <v>2396</v>
      </c>
      <c r="B202" s="6" t="s">
        <v>273</v>
      </c>
    </row>
    <row r="203" spans="1:2" x14ac:dyDescent="0.2">
      <c r="A203" s="6" t="s">
        <v>2397</v>
      </c>
      <c r="B203" s="6" t="s">
        <v>278</v>
      </c>
    </row>
    <row r="204" spans="1:2" x14ac:dyDescent="0.2">
      <c r="A204" s="6" t="s">
        <v>2398</v>
      </c>
      <c r="B204" s="6" t="s">
        <v>280</v>
      </c>
    </row>
    <row r="205" spans="1:2" x14ac:dyDescent="0.2">
      <c r="A205" s="6" t="s">
        <v>2399</v>
      </c>
      <c r="B205" s="6" t="s">
        <v>285</v>
      </c>
    </row>
    <row r="206" spans="1:2" x14ac:dyDescent="0.2">
      <c r="A206" s="6" t="s">
        <v>2400</v>
      </c>
      <c r="B206" s="6" t="s">
        <v>290</v>
      </c>
    </row>
    <row r="207" spans="1:2" x14ac:dyDescent="0.2">
      <c r="A207" s="6" t="s">
        <v>2401</v>
      </c>
      <c r="B207" s="6" t="s">
        <v>293</v>
      </c>
    </row>
    <row r="208" spans="1:2" x14ac:dyDescent="0.2">
      <c r="A208" s="6" t="s">
        <v>2402</v>
      </c>
      <c r="B208" s="6" t="s">
        <v>295</v>
      </c>
    </row>
    <row r="209" spans="1:2" x14ac:dyDescent="0.2">
      <c r="A209" s="6" t="s">
        <v>2403</v>
      </c>
      <c r="B209" s="6" t="s">
        <v>299</v>
      </c>
    </row>
    <row r="210" spans="1:2" x14ac:dyDescent="0.2">
      <c r="A210" s="6" t="s">
        <v>2404</v>
      </c>
      <c r="B210" s="6" t="s">
        <v>289</v>
      </c>
    </row>
    <row r="211" spans="1:2" x14ac:dyDescent="0.2">
      <c r="A211" s="6" t="s">
        <v>2405</v>
      </c>
      <c r="B211" s="6" t="s">
        <v>292</v>
      </c>
    </row>
    <row r="212" spans="1:2" x14ac:dyDescent="0.2">
      <c r="A212" s="6" t="s">
        <v>2406</v>
      </c>
      <c r="B212" s="6" t="s">
        <v>296</v>
      </c>
    </row>
    <row r="213" spans="1:2" x14ac:dyDescent="0.2">
      <c r="A213" s="6" t="s">
        <v>2407</v>
      </c>
      <c r="B213" s="6" t="s">
        <v>297</v>
      </c>
    </row>
    <row r="214" spans="1:2" x14ac:dyDescent="0.2">
      <c r="A214" s="6" t="s">
        <v>2408</v>
      </c>
      <c r="B214" s="6" t="s">
        <v>288</v>
      </c>
    </row>
    <row r="215" spans="1:2" x14ac:dyDescent="0.2">
      <c r="A215" s="6" t="s">
        <v>2409</v>
      </c>
      <c r="B215" s="6" t="s">
        <v>291</v>
      </c>
    </row>
    <row r="216" spans="1:2" x14ac:dyDescent="0.2">
      <c r="A216" s="6" t="s">
        <v>2410</v>
      </c>
      <c r="B216" s="6" t="s">
        <v>294</v>
      </c>
    </row>
    <row r="217" spans="1:2" x14ac:dyDescent="0.2">
      <c r="A217" s="6" t="s">
        <v>2411</v>
      </c>
      <c r="B217" s="6" t="s">
        <v>298</v>
      </c>
    </row>
    <row r="218" spans="1:2" x14ac:dyDescent="0.2">
      <c r="A218" s="6" t="s">
        <v>2412</v>
      </c>
      <c r="B218" s="6" t="s">
        <v>301</v>
      </c>
    </row>
    <row r="219" spans="1:2" x14ac:dyDescent="0.2">
      <c r="A219" s="6" t="s">
        <v>2413</v>
      </c>
      <c r="B219" s="6" t="s">
        <v>306</v>
      </c>
    </row>
    <row r="220" spans="1:2" x14ac:dyDescent="0.2">
      <c r="A220" s="6" t="s">
        <v>2414</v>
      </c>
      <c r="B220" s="6" t="s">
        <v>309</v>
      </c>
    </row>
    <row r="221" spans="1:2" x14ac:dyDescent="0.2">
      <c r="A221" s="6" t="s">
        <v>2415</v>
      </c>
      <c r="B221" s="6" t="s">
        <v>311</v>
      </c>
    </row>
    <row r="222" spans="1:2" x14ac:dyDescent="0.2">
      <c r="A222" s="6" t="s">
        <v>2416</v>
      </c>
      <c r="B222" s="6" t="s">
        <v>303</v>
      </c>
    </row>
    <row r="223" spans="1:2" x14ac:dyDescent="0.2">
      <c r="A223" s="6" t="s">
        <v>2417</v>
      </c>
      <c r="B223" s="6" t="s">
        <v>305</v>
      </c>
    </row>
    <row r="224" spans="1:2" x14ac:dyDescent="0.2">
      <c r="A224" s="6" t="s">
        <v>2418</v>
      </c>
      <c r="B224" s="6" t="s">
        <v>308</v>
      </c>
    </row>
    <row r="225" spans="1:2" x14ac:dyDescent="0.2">
      <c r="A225" s="6" t="s">
        <v>2419</v>
      </c>
      <c r="B225" s="6" t="s">
        <v>310</v>
      </c>
    </row>
    <row r="226" spans="1:2" x14ac:dyDescent="0.2">
      <c r="A226" s="6" t="s">
        <v>2420</v>
      </c>
      <c r="B226" s="6" t="s">
        <v>302</v>
      </c>
    </row>
    <row r="227" spans="1:2" x14ac:dyDescent="0.2">
      <c r="A227" s="6" t="s">
        <v>2421</v>
      </c>
      <c r="B227" s="6" t="s">
        <v>304</v>
      </c>
    </row>
    <row r="228" spans="1:2" x14ac:dyDescent="0.2">
      <c r="A228" s="6" t="s">
        <v>2422</v>
      </c>
      <c r="B228" s="6" t="s">
        <v>307</v>
      </c>
    </row>
    <row r="229" spans="1:2" x14ac:dyDescent="0.2">
      <c r="A229" s="6" t="s">
        <v>2423</v>
      </c>
      <c r="B229" s="6" t="s">
        <v>312</v>
      </c>
    </row>
    <row r="230" spans="1:2" x14ac:dyDescent="0.2">
      <c r="A230" s="6" t="s">
        <v>2424</v>
      </c>
      <c r="B230" s="6" t="s">
        <v>314</v>
      </c>
    </row>
    <row r="231" spans="1:2" x14ac:dyDescent="0.2">
      <c r="A231" s="6" t="s">
        <v>2425</v>
      </c>
      <c r="B231" s="6" t="s">
        <v>318</v>
      </c>
    </row>
    <row r="232" spans="1:2" x14ac:dyDescent="0.2">
      <c r="A232" s="6" t="s">
        <v>2426</v>
      </c>
      <c r="B232" s="6" t="s">
        <v>322</v>
      </c>
    </row>
    <row r="233" spans="1:2" x14ac:dyDescent="0.2">
      <c r="A233" s="6" t="s">
        <v>2427</v>
      </c>
      <c r="B233" s="6" t="s">
        <v>323</v>
      </c>
    </row>
    <row r="234" spans="1:2" x14ac:dyDescent="0.2">
      <c r="A234" s="6" t="s">
        <v>2428</v>
      </c>
      <c r="B234" s="6" t="s">
        <v>315</v>
      </c>
    </row>
    <row r="235" spans="1:2" x14ac:dyDescent="0.2">
      <c r="A235" s="6" t="s">
        <v>2429</v>
      </c>
      <c r="B235" s="6" t="s">
        <v>317</v>
      </c>
    </row>
    <row r="236" spans="1:2" x14ac:dyDescent="0.2">
      <c r="A236" s="6" t="s">
        <v>2430</v>
      </c>
      <c r="B236" s="6" t="s">
        <v>321</v>
      </c>
    </row>
    <row r="237" spans="1:2" x14ac:dyDescent="0.2">
      <c r="A237" s="6" t="s">
        <v>2431</v>
      </c>
      <c r="B237" s="6" t="s">
        <v>325</v>
      </c>
    </row>
    <row r="238" spans="1:2" x14ac:dyDescent="0.2">
      <c r="A238" s="6" t="s">
        <v>2432</v>
      </c>
      <c r="B238" s="6" t="s">
        <v>316</v>
      </c>
    </row>
    <row r="239" spans="1:2" x14ac:dyDescent="0.2">
      <c r="A239" s="6" t="s">
        <v>2433</v>
      </c>
      <c r="B239" s="6" t="s">
        <v>319</v>
      </c>
    </row>
    <row r="240" spans="1:2" x14ac:dyDescent="0.2">
      <c r="A240" s="6" t="s">
        <v>2434</v>
      </c>
      <c r="B240" s="6" t="s">
        <v>320</v>
      </c>
    </row>
    <row r="241" spans="1:2" x14ac:dyDescent="0.2">
      <c r="A241" s="6" t="s">
        <v>2435</v>
      </c>
      <c r="B241" s="6" t="s">
        <v>324</v>
      </c>
    </row>
    <row r="242" spans="1:2" x14ac:dyDescent="0.2">
      <c r="A242" s="6" t="s">
        <v>2436</v>
      </c>
      <c r="B242" s="6" t="s">
        <v>327</v>
      </c>
    </row>
    <row r="243" spans="1:2" x14ac:dyDescent="0.2">
      <c r="A243" s="6" t="s">
        <v>2437</v>
      </c>
      <c r="B243" s="6" t="s">
        <v>332</v>
      </c>
    </row>
    <row r="244" spans="1:2" x14ac:dyDescent="0.2">
      <c r="A244" s="6" t="s">
        <v>2438</v>
      </c>
      <c r="B244" s="6" t="s">
        <v>335</v>
      </c>
    </row>
    <row r="245" spans="1:2" x14ac:dyDescent="0.2">
      <c r="A245" s="6" t="s">
        <v>2439</v>
      </c>
      <c r="B245" s="6" t="s">
        <v>338</v>
      </c>
    </row>
    <row r="246" spans="1:2" x14ac:dyDescent="0.2">
      <c r="A246" s="6" t="s">
        <v>2440</v>
      </c>
      <c r="B246" s="6" t="s">
        <v>328</v>
      </c>
    </row>
    <row r="247" spans="1:2" x14ac:dyDescent="0.2">
      <c r="A247" s="6" t="s">
        <v>2441</v>
      </c>
      <c r="B247" s="6" t="s">
        <v>331</v>
      </c>
    </row>
    <row r="248" spans="1:2" x14ac:dyDescent="0.2">
      <c r="A248" s="6" t="s">
        <v>2442</v>
      </c>
      <c r="B248" s="6" t="s">
        <v>333</v>
      </c>
    </row>
    <row r="249" spans="1:2" x14ac:dyDescent="0.2">
      <c r="A249" s="6" t="s">
        <v>2443</v>
      </c>
      <c r="B249" s="6" t="s">
        <v>337</v>
      </c>
    </row>
    <row r="250" spans="1:2" x14ac:dyDescent="0.2">
      <c r="A250" s="6" t="s">
        <v>2444</v>
      </c>
      <c r="B250" s="6" t="s">
        <v>329</v>
      </c>
    </row>
    <row r="251" spans="1:2" x14ac:dyDescent="0.2">
      <c r="A251" s="6" t="s">
        <v>2445</v>
      </c>
      <c r="B251" s="6" t="s">
        <v>330</v>
      </c>
    </row>
    <row r="252" spans="1:2" x14ac:dyDescent="0.2">
      <c r="A252" s="6" t="s">
        <v>2446</v>
      </c>
      <c r="B252" s="6" t="s">
        <v>334</v>
      </c>
    </row>
    <row r="253" spans="1:2" x14ac:dyDescent="0.2">
      <c r="A253" s="6" t="s">
        <v>2447</v>
      </c>
      <c r="B253" s="6" t="s">
        <v>336</v>
      </c>
    </row>
    <row r="254" spans="1:2" x14ac:dyDescent="0.2">
      <c r="A254" s="6" t="s">
        <v>2448</v>
      </c>
      <c r="B254" s="6" t="s">
        <v>340</v>
      </c>
    </row>
    <row r="255" spans="1:2" x14ac:dyDescent="0.2">
      <c r="A255" s="6" t="s">
        <v>2449</v>
      </c>
      <c r="B255" s="6" t="s">
        <v>345</v>
      </c>
    </row>
    <row r="256" spans="1:2" x14ac:dyDescent="0.2">
      <c r="A256" s="6" t="s">
        <v>2450</v>
      </c>
      <c r="B256" s="6" t="s">
        <v>346</v>
      </c>
    </row>
    <row r="257" spans="1:2" x14ac:dyDescent="0.2">
      <c r="A257" s="6" t="s">
        <v>2451</v>
      </c>
      <c r="B257" s="6" t="s">
        <v>351</v>
      </c>
    </row>
    <row r="258" spans="1:2" x14ac:dyDescent="0.2">
      <c r="A258" s="6" t="s">
        <v>2452</v>
      </c>
      <c r="B258" s="6" t="s">
        <v>342</v>
      </c>
    </row>
    <row r="259" spans="1:2" x14ac:dyDescent="0.2">
      <c r="A259" s="6" t="s">
        <v>2453</v>
      </c>
      <c r="B259" s="6" t="s">
        <v>344</v>
      </c>
    </row>
    <row r="260" spans="1:2" x14ac:dyDescent="0.2">
      <c r="A260" s="6" t="s">
        <v>2454</v>
      </c>
      <c r="B260" s="6" t="s">
        <v>348</v>
      </c>
    </row>
    <row r="261" spans="1:2" x14ac:dyDescent="0.2">
      <c r="A261" s="6" t="s">
        <v>2455</v>
      </c>
      <c r="B261" s="6" t="s">
        <v>350</v>
      </c>
    </row>
    <row r="262" spans="1:2" x14ac:dyDescent="0.2">
      <c r="A262" s="6" t="s">
        <v>2456</v>
      </c>
      <c r="B262" s="6" t="s">
        <v>341</v>
      </c>
    </row>
    <row r="263" spans="1:2" x14ac:dyDescent="0.2">
      <c r="A263" s="6" t="s">
        <v>2457</v>
      </c>
      <c r="B263" s="6" t="s">
        <v>343</v>
      </c>
    </row>
    <row r="264" spans="1:2" x14ac:dyDescent="0.2">
      <c r="A264" s="6" t="s">
        <v>2458</v>
      </c>
      <c r="B264" s="6" t="s">
        <v>347</v>
      </c>
    </row>
    <row r="265" spans="1:2" x14ac:dyDescent="0.2">
      <c r="A265" s="6" t="s">
        <v>2459</v>
      </c>
      <c r="B265" s="6" t="s">
        <v>349</v>
      </c>
    </row>
    <row r="266" spans="1:2" x14ac:dyDescent="0.2">
      <c r="A266" s="6" t="s">
        <v>2460</v>
      </c>
      <c r="B266" s="6" t="s">
        <v>353</v>
      </c>
    </row>
    <row r="267" spans="1:2" x14ac:dyDescent="0.2">
      <c r="A267" s="6" t="s">
        <v>2461</v>
      </c>
      <c r="B267" s="6" t="s">
        <v>358</v>
      </c>
    </row>
    <row r="268" spans="1:2" x14ac:dyDescent="0.2">
      <c r="A268" s="6" t="s">
        <v>2462</v>
      </c>
      <c r="B268" s="6" t="s">
        <v>361</v>
      </c>
    </row>
    <row r="269" spans="1:2" x14ac:dyDescent="0.2">
      <c r="A269" s="6" t="s">
        <v>2463</v>
      </c>
      <c r="B269" s="6" t="s">
        <v>363</v>
      </c>
    </row>
    <row r="270" spans="1:2" x14ac:dyDescent="0.2">
      <c r="A270" s="6" t="s">
        <v>2464</v>
      </c>
      <c r="B270" s="6" t="s">
        <v>354</v>
      </c>
    </row>
    <row r="271" spans="1:2" x14ac:dyDescent="0.2">
      <c r="A271" s="6" t="s">
        <v>2465</v>
      </c>
      <c r="B271" s="6" t="s">
        <v>356</v>
      </c>
    </row>
    <row r="272" spans="1:2" x14ac:dyDescent="0.2">
      <c r="A272" s="6" t="s">
        <v>2466</v>
      </c>
      <c r="B272" s="6" t="s">
        <v>360</v>
      </c>
    </row>
    <row r="273" spans="1:2" x14ac:dyDescent="0.2">
      <c r="A273" s="6" t="s">
        <v>2467</v>
      </c>
      <c r="B273" s="6" t="s">
        <v>362</v>
      </c>
    </row>
    <row r="274" spans="1:2" x14ac:dyDescent="0.2">
      <c r="A274" s="6" t="s">
        <v>2468</v>
      </c>
      <c r="B274" s="6" t="s">
        <v>355</v>
      </c>
    </row>
    <row r="275" spans="1:2" x14ac:dyDescent="0.2">
      <c r="A275" s="6" t="s">
        <v>2469</v>
      </c>
      <c r="B275" s="6" t="s">
        <v>357</v>
      </c>
    </row>
    <row r="276" spans="1:2" x14ac:dyDescent="0.2">
      <c r="A276" s="6" t="s">
        <v>2470</v>
      </c>
      <c r="B276" s="6" t="s">
        <v>359</v>
      </c>
    </row>
    <row r="277" spans="1:2" x14ac:dyDescent="0.2">
      <c r="A277" s="6" t="s">
        <v>2471</v>
      </c>
      <c r="B277" s="6" t="s">
        <v>364</v>
      </c>
    </row>
    <row r="278" spans="1:2" x14ac:dyDescent="0.2">
      <c r="A278" s="6" t="s">
        <v>2472</v>
      </c>
      <c r="B278" s="6" t="s">
        <v>366</v>
      </c>
    </row>
    <row r="279" spans="1:2" x14ac:dyDescent="0.2">
      <c r="A279" s="6" t="s">
        <v>2473</v>
      </c>
      <c r="B279" s="6" t="s">
        <v>371</v>
      </c>
    </row>
    <row r="280" spans="1:2" x14ac:dyDescent="0.2">
      <c r="A280" s="6" t="s">
        <v>2474</v>
      </c>
      <c r="B280" s="6" t="s">
        <v>374</v>
      </c>
    </row>
    <row r="281" spans="1:2" x14ac:dyDescent="0.2">
      <c r="A281" s="6" t="s">
        <v>2475</v>
      </c>
      <c r="B281" s="6" t="s">
        <v>375</v>
      </c>
    </row>
    <row r="282" spans="1:2" x14ac:dyDescent="0.2">
      <c r="A282" s="6" t="s">
        <v>2476</v>
      </c>
      <c r="B282" s="6" t="s">
        <v>368</v>
      </c>
    </row>
    <row r="283" spans="1:2" x14ac:dyDescent="0.2">
      <c r="A283" s="6" t="s">
        <v>2477</v>
      </c>
      <c r="B283" s="6" t="s">
        <v>369</v>
      </c>
    </row>
    <row r="284" spans="1:2" x14ac:dyDescent="0.2">
      <c r="A284" s="6" t="s">
        <v>2478</v>
      </c>
      <c r="B284" s="6" t="s">
        <v>373</v>
      </c>
    </row>
    <row r="285" spans="1:2" x14ac:dyDescent="0.2">
      <c r="A285" s="6" t="s">
        <v>2479</v>
      </c>
      <c r="B285" s="6" t="s">
        <v>376</v>
      </c>
    </row>
    <row r="286" spans="1:2" x14ac:dyDescent="0.2">
      <c r="A286" s="6" t="s">
        <v>2480</v>
      </c>
      <c r="B286" s="6" t="s">
        <v>367</v>
      </c>
    </row>
    <row r="287" spans="1:2" x14ac:dyDescent="0.2">
      <c r="A287" s="6" t="s">
        <v>2481</v>
      </c>
      <c r="B287" s="6" t="s">
        <v>370</v>
      </c>
    </row>
    <row r="288" spans="1:2" x14ac:dyDescent="0.2">
      <c r="A288" s="6" t="s">
        <v>2482</v>
      </c>
      <c r="B288" s="6" t="s">
        <v>372</v>
      </c>
    </row>
    <row r="289" spans="1:2" x14ac:dyDescent="0.2">
      <c r="A289" s="6" t="s">
        <v>2483</v>
      </c>
      <c r="B289" s="6" t="s">
        <v>377</v>
      </c>
    </row>
    <row r="290" spans="1:2" x14ac:dyDescent="0.2">
      <c r="A290" s="6" t="s">
        <v>2484</v>
      </c>
      <c r="B290" s="6" t="s">
        <v>380</v>
      </c>
    </row>
    <row r="291" spans="1:2" x14ac:dyDescent="0.2">
      <c r="A291" s="6" t="s">
        <v>2485</v>
      </c>
      <c r="B291" s="6" t="s">
        <v>383</v>
      </c>
    </row>
    <row r="292" spans="1:2" x14ac:dyDescent="0.2">
      <c r="A292" s="6" t="s">
        <v>2486</v>
      </c>
      <c r="B292" s="6" t="s">
        <v>387</v>
      </c>
    </row>
    <row r="293" spans="1:2" x14ac:dyDescent="0.2">
      <c r="A293" s="6" t="s">
        <v>2487</v>
      </c>
      <c r="B293" s="6" t="s">
        <v>389</v>
      </c>
    </row>
    <row r="294" spans="1:2" x14ac:dyDescent="0.2">
      <c r="A294" s="6" t="s">
        <v>2488</v>
      </c>
      <c r="B294" s="6" t="s">
        <v>381</v>
      </c>
    </row>
    <row r="295" spans="1:2" x14ac:dyDescent="0.2">
      <c r="A295" s="6" t="s">
        <v>2489</v>
      </c>
      <c r="B295" s="6" t="s">
        <v>382</v>
      </c>
    </row>
    <row r="296" spans="1:2" x14ac:dyDescent="0.2">
      <c r="A296" s="6" t="s">
        <v>2490</v>
      </c>
      <c r="B296" s="6" t="s">
        <v>386</v>
      </c>
    </row>
    <row r="297" spans="1:2" x14ac:dyDescent="0.2">
      <c r="A297" s="6" t="s">
        <v>2491</v>
      </c>
      <c r="B297" s="6" t="s">
        <v>388</v>
      </c>
    </row>
    <row r="298" spans="1:2" x14ac:dyDescent="0.2">
      <c r="A298" s="6" t="s">
        <v>2492</v>
      </c>
      <c r="B298" s="6" t="s">
        <v>379</v>
      </c>
    </row>
    <row r="299" spans="1:2" x14ac:dyDescent="0.2">
      <c r="A299" s="6" t="s">
        <v>2493</v>
      </c>
      <c r="B299" s="6" t="s">
        <v>384</v>
      </c>
    </row>
    <row r="300" spans="1:2" x14ac:dyDescent="0.2">
      <c r="A300" s="6" t="s">
        <v>2494</v>
      </c>
      <c r="B300" s="6" t="s">
        <v>385</v>
      </c>
    </row>
    <row r="301" spans="1:2" x14ac:dyDescent="0.2">
      <c r="A301" s="6" t="s">
        <v>2495</v>
      </c>
      <c r="B301" s="6" t="s">
        <v>390</v>
      </c>
    </row>
    <row r="302" spans="1:2" x14ac:dyDescent="0.2">
      <c r="A302" s="6" t="s">
        <v>2496</v>
      </c>
      <c r="B302" s="6" t="s">
        <v>392</v>
      </c>
    </row>
    <row r="303" spans="1:2" x14ac:dyDescent="0.2">
      <c r="A303" s="6" t="s">
        <v>2497</v>
      </c>
      <c r="B303" s="6" t="s">
        <v>395</v>
      </c>
    </row>
    <row r="304" spans="1:2" x14ac:dyDescent="0.2">
      <c r="A304" s="6" t="s">
        <v>2498</v>
      </c>
      <c r="B304" s="6" t="s">
        <v>399</v>
      </c>
    </row>
    <row r="305" spans="1:2" x14ac:dyDescent="0.2">
      <c r="A305" s="6" t="s">
        <v>2499</v>
      </c>
      <c r="B305" s="6" t="s">
        <v>401</v>
      </c>
    </row>
    <row r="306" spans="1:2" x14ac:dyDescent="0.2">
      <c r="A306" s="6" t="s">
        <v>2500</v>
      </c>
      <c r="B306" s="6" t="s">
        <v>394</v>
      </c>
    </row>
    <row r="307" spans="1:2" x14ac:dyDescent="0.2">
      <c r="A307" s="6" t="s">
        <v>2501</v>
      </c>
      <c r="B307" s="6" t="s">
        <v>396</v>
      </c>
    </row>
    <row r="308" spans="1:2" x14ac:dyDescent="0.2">
      <c r="A308" s="6" t="s">
        <v>2502</v>
      </c>
      <c r="B308" s="6" t="s">
        <v>398</v>
      </c>
    </row>
    <row r="309" spans="1:2" x14ac:dyDescent="0.2">
      <c r="A309" s="6" t="s">
        <v>2503</v>
      </c>
      <c r="B309" s="6" t="s">
        <v>403</v>
      </c>
    </row>
    <row r="310" spans="1:2" x14ac:dyDescent="0.2">
      <c r="A310" s="6" t="s">
        <v>2504</v>
      </c>
      <c r="B310" s="6" t="s">
        <v>393</v>
      </c>
    </row>
    <row r="311" spans="1:2" x14ac:dyDescent="0.2">
      <c r="A311" s="6" t="s">
        <v>2505</v>
      </c>
      <c r="B311" s="6" t="s">
        <v>397</v>
      </c>
    </row>
    <row r="312" spans="1:2" x14ac:dyDescent="0.2">
      <c r="A312" s="6" t="s">
        <v>2506</v>
      </c>
      <c r="B312" s="6" t="s">
        <v>400</v>
      </c>
    </row>
    <row r="313" spans="1:2" x14ac:dyDescent="0.2">
      <c r="A313" s="6" t="s">
        <v>2507</v>
      </c>
      <c r="B313" s="6" t="s">
        <v>402</v>
      </c>
    </row>
    <row r="314" spans="1:2" x14ac:dyDescent="0.2">
      <c r="A314" s="6" t="s">
        <v>2508</v>
      </c>
      <c r="B314" s="6" t="s">
        <v>406</v>
      </c>
    </row>
    <row r="315" spans="1:2" x14ac:dyDescent="0.2">
      <c r="A315" s="6" t="s">
        <v>2509</v>
      </c>
      <c r="B315" s="6" t="s">
        <v>409</v>
      </c>
    </row>
    <row r="316" spans="1:2" x14ac:dyDescent="0.2">
      <c r="A316" s="6" t="s">
        <v>2510</v>
      </c>
      <c r="B316" s="6" t="s">
        <v>413</v>
      </c>
    </row>
    <row r="317" spans="1:2" x14ac:dyDescent="0.2">
      <c r="A317" s="6" t="s">
        <v>2511</v>
      </c>
      <c r="B317" s="6" t="s">
        <v>415</v>
      </c>
    </row>
    <row r="318" spans="1:2" x14ac:dyDescent="0.2">
      <c r="A318" s="6" t="s">
        <v>2512</v>
      </c>
      <c r="B318" s="6" t="s">
        <v>407</v>
      </c>
    </row>
    <row r="319" spans="1:2" x14ac:dyDescent="0.2">
      <c r="A319" s="6" t="s">
        <v>2513</v>
      </c>
      <c r="B319" s="6" t="s">
        <v>410</v>
      </c>
    </row>
    <row r="320" spans="1:2" x14ac:dyDescent="0.2">
      <c r="A320" s="6" t="s">
        <v>2514</v>
      </c>
      <c r="B320" s="6" t="s">
        <v>411</v>
      </c>
    </row>
    <row r="321" spans="1:2" x14ac:dyDescent="0.2">
      <c r="A321" s="6" t="s">
        <v>2515</v>
      </c>
      <c r="B321" s="6" t="s">
        <v>414</v>
      </c>
    </row>
    <row r="322" spans="1:2" x14ac:dyDescent="0.2">
      <c r="A322" s="6" t="s">
        <v>2516</v>
      </c>
      <c r="B322" s="6" t="s">
        <v>405</v>
      </c>
    </row>
    <row r="323" spans="1:2" x14ac:dyDescent="0.2">
      <c r="A323" s="6" t="s">
        <v>2517</v>
      </c>
      <c r="B323" s="6" t="s">
        <v>408</v>
      </c>
    </row>
    <row r="324" spans="1:2" x14ac:dyDescent="0.2">
      <c r="A324" s="6" t="s">
        <v>2518</v>
      </c>
      <c r="B324" s="6" t="s">
        <v>412</v>
      </c>
    </row>
    <row r="325" spans="1:2" x14ac:dyDescent="0.2">
      <c r="A325" s="6" t="s">
        <v>2519</v>
      </c>
      <c r="B325" s="6" t="s">
        <v>416</v>
      </c>
    </row>
    <row r="326" spans="1:2" x14ac:dyDescent="0.2">
      <c r="A326" s="6" t="s">
        <v>2520</v>
      </c>
      <c r="B326" s="6" t="s">
        <v>420</v>
      </c>
    </row>
    <row r="327" spans="1:2" x14ac:dyDescent="0.2">
      <c r="A327" s="6" t="s">
        <v>2521</v>
      </c>
      <c r="B327" s="6" t="s">
        <v>423</v>
      </c>
    </row>
    <row r="328" spans="1:2" x14ac:dyDescent="0.2">
      <c r="A328" s="6" t="s">
        <v>2522</v>
      </c>
      <c r="B328" s="6" t="s">
        <v>424</v>
      </c>
    </row>
    <row r="329" spans="1:2" x14ac:dyDescent="0.2">
      <c r="A329" s="6" t="s">
        <v>2523</v>
      </c>
      <c r="B329" s="6" t="s">
        <v>429</v>
      </c>
    </row>
    <row r="330" spans="1:2" x14ac:dyDescent="0.2">
      <c r="A330" s="6" t="s">
        <v>2524</v>
      </c>
      <c r="B330" s="6" t="s">
        <v>418</v>
      </c>
    </row>
    <row r="331" spans="1:2" x14ac:dyDescent="0.2">
      <c r="A331" s="6" t="s">
        <v>2525</v>
      </c>
      <c r="B331" s="6" t="s">
        <v>422</v>
      </c>
    </row>
    <row r="332" spans="1:2" x14ac:dyDescent="0.2">
      <c r="A332" s="6" t="s">
        <v>2526</v>
      </c>
      <c r="B332" s="6" t="s">
        <v>425</v>
      </c>
    </row>
    <row r="333" spans="1:2" x14ac:dyDescent="0.2">
      <c r="A333" s="6" t="s">
        <v>2527</v>
      </c>
      <c r="B333" s="6" t="s">
        <v>428</v>
      </c>
    </row>
    <row r="334" spans="1:2" x14ac:dyDescent="0.2">
      <c r="A334" s="6" t="s">
        <v>2528</v>
      </c>
      <c r="B334" s="6" t="s">
        <v>419</v>
      </c>
    </row>
    <row r="335" spans="1:2" x14ac:dyDescent="0.2">
      <c r="A335" s="6" t="s">
        <v>2529</v>
      </c>
      <c r="B335" s="6" t="s">
        <v>421</v>
      </c>
    </row>
    <row r="336" spans="1:2" x14ac:dyDescent="0.2">
      <c r="A336" s="6" t="s">
        <v>2530</v>
      </c>
      <c r="B336" s="6" t="s">
        <v>426</v>
      </c>
    </row>
    <row r="337" spans="1:2" x14ac:dyDescent="0.2">
      <c r="A337" s="6" t="s">
        <v>2531</v>
      </c>
      <c r="B337" s="6" t="s">
        <v>427</v>
      </c>
    </row>
    <row r="338" spans="1:2" x14ac:dyDescent="0.2">
      <c r="A338" s="6" t="s">
        <v>2532</v>
      </c>
      <c r="B338" s="6" t="s">
        <v>432</v>
      </c>
    </row>
    <row r="339" spans="1:2" x14ac:dyDescent="0.2">
      <c r="A339" s="6" t="s">
        <v>2533</v>
      </c>
      <c r="B339" s="6" t="s">
        <v>435</v>
      </c>
    </row>
    <row r="340" spans="1:2" x14ac:dyDescent="0.2">
      <c r="A340" s="6" t="s">
        <v>2534</v>
      </c>
      <c r="B340" s="6" t="s">
        <v>438</v>
      </c>
    </row>
    <row r="341" spans="1:2" x14ac:dyDescent="0.2">
      <c r="A341" s="6" t="s">
        <v>2535</v>
      </c>
      <c r="B341" s="6" t="s">
        <v>442</v>
      </c>
    </row>
    <row r="342" spans="1:2" x14ac:dyDescent="0.2">
      <c r="A342" s="6" t="s">
        <v>2536</v>
      </c>
      <c r="B342" s="6" t="s">
        <v>431</v>
      </c>
    </row>
    <row r="343" spans="1:2" x14ac:dyDescent="0.2">
      <c r="A343" s="6" t="s">
        <v>2537</v>
      </c>
      <c r="B343" s="6" t="s">
        <v>436</v>
      </c>
    </row>
    <row r="344" spans="1:2" x14ac:dyDescent="0.2">
      <c r="A344" s="6" t="s">
        <v>2538</v>
      </c>
      <c r="B344" s="6" t="s">
        <v>437</v>
      </c>
    </row>
    <row r="345" spans="1:2" x14ac:dyDescent="0.2">
      <c r="A345" s="6" t="s">
        <v>2539</v>
      </c>
      <c r="B345" s="6" t="s">
        <v>440</v>
      </c>
    </row>
    <row r="346" spans="1:2" x14ac:dyDescent="0.2">
      <c r="A346" s="6" t="s">
        <v>2540</v>
      </c>
      <c r="B346" s="6" t="s">
        <v>433</v>
      </c>
    </row>
    <row r="347" spans="1:2" x14ac:dyDescent="0.2">
      <c r="A347" s="6" t="s">
        <v>2541</v>
      </c>
      <c r="B347" s="6" t="s">
        <v>434</v>
      </c>
    </row>
    <row r="348" spans="1:2" x14ac:dyDescent="0.2">
      <c r="A348" s="6" t="s">
        <v>2542</v>
      </c>
      <c r="B348" s="6" t="s">
        <v>439</v>
      </c>
    </row>
    <row r="349" spans="1:2" x14ac:dyDescent="0.2">
      <c r="A349" s="6" t="s">
        <v>2543</v>
      </c>
      <c r="B349" s="6" t="s">
        <v>441</v>
      </c>
    </row>
    <row r="350" spans="1:2" x14ac:dyDescent="0.2">
      <c r="A350" s="6" t="s">
        <v>2544</v>
      </c>
      <c r="B350" s="6" t="s">
        <v>444</v>
      </c>
    </row>
    <row r="351" spans="1:2" x14ac:dyDescent="0.2">
      <c r="A351" s="6" t="s">
        <v>2545</v>
      </c>
      <c r="B351" s="6" t="s">
        <v>449</v>
      </c>
    </row>
    <row r="352" spans="1:2" x14ac:dyDescent="0.2">
      <c r="A352" s="6" t="s">
        <v>2546</v>
      </c>
      <c r="B352" s="6" t="s">
        <v>451</v>
      </c>
    </row>
    <row r="353" spans="1:2" x14ac:dyDescent="0.2">
      <c r="A353" s="6" t="s">
        <v>2547</v>
      </c>
      <c r="B353" s="6" t="s">
        <v>455</v>
      </c>
    </row>
    <row r="354" spans="1:2" x14ac:dyDescent="0.2">
      <c r="A354" s="6" t="s">
        <v>2548</v>
      </c>
      <c r="B354" s="6" t="s">
        <v>445</v>
      </c>
    </row>
    <row r="355" spans="1:2" x14ac:dyDescent="0.2">
      <c r="A355" s="6" t="s">
        <v>2549</v>
      </c>
      <c r="B355" s="6" t="s">
        <v>448</v>
      </c>
    </row>
    <row r="356" spans="1:2" x14ac:dyDescent="0.2">
      <c r="A356" s="6" t="s">
        <v>2550</v>
      </c>
      <c r="B356" s="6" t="s">
        <v>452</v>
      </c>
    </row>
    <row r="357" spans="1:2" x14ac:dyDescent="0.2">
      <c r="A357" s="6" t="s">
        <v>2551</v>
      </c>
      <c r="B357" s="6" t="s">
        <v>454</v>
      </c>
    </row>
    <row r="358" spans="1:2" x14ac:dyDescent="0.2">
      <c r="A358" s="6" t="s">
        <v>2552</v>
      </c>
      <c r="B358" s="6" t="s">
        <v>446</v>
      </c>
    </row>
    <row r="359" spans="1:2" x14ac:dyDescent="0.2">
      <c r="A359" s="6" t="s">
        <v>2553</v>
      </c>
      <c r="B359" s="6" t="s">
        <v>447</v>
      </c>
    </row>
    <row r="360" spans="1:2" x14ac:dyDescent="0.2">
      <c r="A360" s="6" t="s">
        <v>2554</v>
      </c>
      <c r="B360" s="6" t="s">
        <v>450</v>
      </c>
    </row>
    <row r="361" spans="1:2" x14ac:dyDescent="0.2">
      <c r="A361" s="6" t="s">
        <v>2555</v>
      </c>
      <c r="B361" s="6" t="s">
        <v>453</v>
      </c>
    </row>
    <row r="362" spans="1:2" x14ac:dyDescent="0.2">
      <c r="A362" s="18" t="s">
        <v>2556</v>
      </c>
      <c r="B362" s="6" t="s">
        <v>458</v>
      </c>
    </row>
    <row r="363" spans="1:2" x14ac:dyDescent="0.2">
      <c r="A363" s="6" t="s">
        <v>2557</v>
      </c>
      <c r="B363" s="6" t="s">
        <v>461</v>
      </c>
    </row>
    <row r="364" spans="1:2" x14ac:dyDescent="0.2">
      <c r="A364" s="6" t="s">
        <v>2558</v>
      </c>
      <c r="B364" s="6" t="s">
        <v>463</v>
      </c>
    </row>
    <row r="365" spans="1:2" x14ac:dyDescent="0.2">
      <c r="A365" s="6" t="s">
        <v>2559</v>
      </c>
      <c r="B365" s="6" t="s">
        <v>468</v>
      </c>
    </row>
    <row r="366" spans="1:2" x14ac:dyDescent="0.2">
      <c r="A366" s="6" t="s">
        <v>2560</v>
      </c>
      <c r="B366" s="6" t="s">
        <v>457</v>
      </c>
    </row>
    <row r="367" spans="1:2" x14ac:dyDescent="0.2">
      <c r="A367" s="6" t="s">
        <v>2561</v>
      </c>
      <c r="B367" s="6" t="s">
        <v>462</v>
      </c>
    </row>
    <row r="368" spans="1:2" x14ac:dyDescent="0.2">
      <c r="A368" s="6" t="s">
        <v>2562</v>
      </c>
      <c r="B368" s="6" t="s">
        <v>464</v>
      </c>
    </row>
    <row r="369" spans="1:2" x14ac:dyDescent="0.2">
      <c r="A369" s="6" t="s">
        <v>2563</v>
      </c>
      <c r="B369" s="6" t="s">
        <v>466</v>
      </c>
    </row>
    <row r="370" spans="1:2" x14ac:dyDescent="0.2">
      <c r="A370" s="6" t="s">
        <v>2564</v>
      </c>
      <c r="B370" s="6" t="s">
        <v>459</v>
      </c>
    </row>
    <row r="371" spans="1:2" x14ac:dyDescent="0.2">
      <c r="A371" s="6" t="s">
        <v>2565</v>
      </c>
      <c r="B371" s="6" t="s">
        <v>460</v>
      </c>
    </row>
    <row r="372" spans="1:2" x14ac:dyDescent="0.2">
      <c r="A372" s="6" t="s">
        <v>2566</v>
      </c>
      <c r="B372" s="6" t="s">
        <v>465</v>
      </c>
    </row>
    <row r="373" spans="1:2" x14ac:dyDescent="0.2">
      <c r="A373" s="6" t="s">
        <v>2567</v>
      </c>
      <c r="B373" s="6" t="s">
        <v>467</v>
      </c>
    </row>
    <row r="374" spans="1:2" x14ac:dyDescent="0.2">
      <c r="A374" s="6" t="s">
        <v>2568</v>
      </c>
      <c r="B374" s="6" t="s">
        <v>471</v>
      </c>
    </row>
    <row r="375" spans="1:2" x14ac:dyDescent="0.2">
      <c r="A375" s="6" t="s">
        <v>2569</v>
      </c>
      <c r="B375" s="6" t="s">
        <v>475</v>
      </c>
    </row>
    <row r="376" spans="1:2" x14ac:dyDescent="0.2">
      <c r="A376" s="6" t="s">
        <v>2570</v>
      </c>
      <c r="B376" s="6" t="s">
        <v>478</v>
      </c>
    </row>
    <row r="377" spans="1:2" x14ac:dyDescent="0.2">
      <c r="A377" s="6" t="s">
        <v>2571</v>
      </c>
      <c r="B377" s="6" t="s">
        <v>479</v>
      </c>
    </row>
    <row r="378" spans="1:2" x14ac:dyDescent="0.2">
      <c r="A378" s="6" t="s">
        <v>2572</v>
      </c>
      <c r="B378" s="6" t="s">
        <v>472</v>
      </c>
    </row>
    <row r="379" spans="1:2" x14ac:dyDescent="0.2">
      <c r="A379" s="6" t="s">
        <v>2573</v>
      </c>
      <c r="B379" s="6" t="s">
        <v>473</v>
      </c>
    </row>
    <row r="380" spans="1:2" x14ac:dyDescent="0.2">
      <c r="A380" s="6" t="s">
        <v>2574</v>
      </c>
      <c r="B380" s="6" t="s">
        <v>477</v>
      </c>
    </row>
    <row r="381" spans="1:2" x14ac:dyDescent="0.2">
      <c r="A381" s="6" t="s">
        <v>2575</v>
      </c>
      <c r="B381" s="6" t="s">
        <v>480</v>
      </c>
    </row>
    <row r="382" spans="1:2" x14ac:dyDescent="0.2">
      <c r="A382" s="6" t="s">
        <v>2576</v>
      </c>
      <c r="B382" s="6" t="s">
        <v>470</v>
      </c>
    </row>
    <row r="383" spans="1:2" x14ac:dyDescent="0.2">
      <c r="A383" s="6" t="s">
        <v>2577</v>
      </c>
      <c r="B383" s="6" t="s">
        <v>474</v>
      </c>
    </row>
    <row r="384" spans="1:2" x14ac:dyDescent="0.2">
      <c r="A384" s="6" t="s">
        <v>2578</v>
      </c>
      <c r="B384" s="6" t="s">
        <v>476</v>
      </c>
    </row>
    <row r="385" spans="1:2" x14ac:dyDescent="0.2">
      <c r="A385" s="6" t="s">
        <v>2579</v>
      </c>
      <c r="B385" s="6" t="s">
        <v>481</v>
      </c>
    </row>
    <row r="386" spans="1:2" x14ac:dyDescent="0.2">
      <c r="A386" s="6" t="s">
        <v>2580</v>
      </c>
      <c r="B386" s="6" t="s">
        <v>483</v>
      </c>
    </row>
    <row r="387" spans="1:2" x14ac:dyDescent="0.2">
      <c r="A387" s="6" t="s">
        <v>2581</v>
      </c>
      <c r="B387" s="6" t="s">
        <v>486</v>
      </c>
    </row>
    <row r="388" spans="1:2" x14ac:dyDescent="0.2">
      <c r="A388" s="6" t="s">
        <v>2582</v>
      </c>
      <c r="B388" s="6" t="s">
        <v>490</v>
      </c>
    </row>
    <row r="389" spans="1:2" x14ac:dyDescent="0.2">
      <c r="A389" s="6" t="s">
        <v>2583</v>
      </c>
      <c r="B389" s="6" t="s">
        <v>493</v>
      </c>
    </row>
    <row r="390" spans="1:2" x14ac:dyDescent="0.2">
      <c r="A390" s="6" t="s">
        <v>2584</v>
      </c>
      <c r="B390" s="6" t="s">
        <v>485</v>
      </c>
    </row>
    <row r="391" spans="1:2" x14ac:dyDescent="0.2">
      <c r="A391" s="6" t="s">
        <v>2585</v>
      </c>
      <c r="B391" s="6" t="s">
        <v>488</v>
      </c>
    </row>
    <row r="392" spans="1:2" x14ac:dyDescent="0.2">
      <c r="A392" s="6" t="s">
        <v>2586</v>
      </c>
      <c r="B392" s="6" t="s">
        <v>491</v>
      </c>
    </row>
    <row r="393" spans="1:2" x14ac:dyDescent="0.2">
      <c r="A393" s="6" t="s">
        <v>2587</v>
      </c>
      <c r="B393" s="6" t="s">
        <v>494</v>
      </c>
    </row>
    <row r="394" spans="1:2" x14ac:dyDescent="0.2">
      <c r="A394" s="6" t="s">
        <v>2588</v>
      </c>
      <c r="B394" s="6" t="s">
        <v>484</v>
      </c>
    </row>
    <row r="395" spans="1:2" x14ac:dyDescent="0.2">
      <c r="A395" s="6" t="s">
        <v>2589</v>
      </c>
      <c r="B395" s="6" t="s">
        <v>487</v>
      </c>
    </row>
    <row r="396" spans="1:2" x14ac:dyDescent="0.2">
      <c r="A396" s="6" t="s">
        <v>2590</v>
      </c>
      <c r="B396" s="6" t="s">
        <v>489</v>
      </c>
    </row>
    <row r="397" spans="1:2" x14ac:dyDescent="0.2">
      <c r="A397" s="6" t="s">
        <v>2591</v>
      </c>
      <c r="B397" s="6" t="s">
        <v>492</v>
      </c>
    </row>
    <row r="398" spans="1:2" x14ac:dyDescent="0.2">
      <c r="A398" s="6" t="s">
        <v>2592</v>
      </c>
      <c r="B398" s="6" t="s">
        <v>496</v>
      </c>
    </row>
    <row r="399" spans="1:2" x14ac:dyDescent="0.2">
      <c r="A399" s="6" t="s">
        <v>2593</v>
      </c>
      <c r="B399" s="6" t="s">
        <v>501</v>
      </c>
    </row>
    <row r="400" spans="1:2" x14ac:dyDescent="0.2">
      <c r="A400" s="6" t="s">
        <v>2594</v>
      </c>
      <c r="B400" s="6" t="s">
        <v>503</v>
      </c>
    </row>
    <row r="401" spans="1:2" x14ac:dyDescent="0.2">
      <c r="A401" s="6" t="s">
        <v>2595</v>
      </c>
      <c r="B401" s="6" t="s">
        <v>507</v>
      </c>
    </row>
    <row r="402" spans="1:2" x14ac:dyDescent="0.2">
      <c r="A402" s="6" t="s">
        <v>2596</v>
      </c>
      <c r="B402" s="6" t="s">
        <v>498</v>
      </c>
    </row>
    <row r="403" spans="1:2" x14ac:dyDescent="0.2">
      <c r="A403" s="6" t="s">
        <v>2597</v>
      </c>
      <c r="B403" s="6" t="s">
        <v>499</v>
      </c>
    </row>
    <row r="404" spans="1:2" x14ac:dyDescent="0.2">
      <c r="A404" s="6" t="s">
        <v>2598</v>
      </c>
      <c r="B404" s="6" t="s">
        <v>504</v>
      </c>
    </row>
    <row r="405" spans="1:2" x14ac:dyDescent="0.2">
      <c r="A405" s="6" t="s">
        <v>2599</v>
      </c>
      <c r="B405" s="6" t="s">
        <v>505</v>
      </c>
    </row>
    <row r="406" spans="1:2" x14ac:dyDescent="0.2">
      <c r="A406" s="6" t="s">
        <v>2600</v>
      </c>
      <c r="B406" s="6" t="s">
        <v>497</v>
      </c>
    </row>
    <row r="407" spans="1:2" x14ac:dyDescent="0.2">
      <c r="A407" s="6" t="s">
        <v>2601</v>
      </c>
      <c r="B407" s="6" t="s">
        <v>500</v>
      </c>
    </row>
    <row r="408" spans="1:2" x14ac:dyDescent="0.2">
      <c r="A408" s="6" t="s">
        <v>2602</v>
      </c>
      <c r="B408" s="6" t="s">
        <v>502</v>
      </c>
    </row>
    <row r="409" spans="1:2" x14ac:dyDescent="0.2">
      <c r="A409" s="6" t="s">
        <v>2603</v>
      </c>
      <c r="B409" s="6" t="s">
        <v>506</v>
      </c>
    </row>
    <row r="410" spans="1:2" x14ac:dyDescent="0.2">
      <c r="A410" s="6" t="s">
        <v>2604</v>
      </c>
      <c r="B410" s="6" t="s">
        <v>511</v>
      </c>
    </row>
    <row r="411" spans="1:2" x14ac:dyDescent="0.2">
      <c r="A411" s="6" t="s">
        <v>2605</v>
      </c>
      <c r="B411" s="6" t="s">
        <v>514</v>
      </c>
    </row>
    <row r="412" spans="1:2" x14ac:dyDescent="0.2">
      <c r="A412" s="6" t="s">
        <v>2606</v>
      </c>
      <c r="B412" s="6" t="s">
        <v>519</v>
      </c>
    </row>
    <row r="413" spans="1:2" x14ac:dyDescent="0.2">
      <c r="A413" s="6" t="s">
        <v>2607</v>
      </c>
      <c r="B413" s="6" t="s">
        <v>521</v>
      </c>
    </row>
    <row r="414" spans="1:2" x14ac:dyDescent="0.2">
      <c r="A414" s="6" t="s">
        <v>2608</v>
      </c>
      <c r="B414" s="6" t="s">
        <v>510</v>
      </c>
    </row>
    <row r="415" spans="1:2" x14ac:dyDescent="0.2">
      <c r="A415" s="6" t="s">
        <v>2609</v>
      </c>
      <c r="B415" s="6" t="s">
        <v>512</v>
      </c>
    </row>
    <row r="416" spans="1:2" x14ac:dyDescent="0.2">
      <c r="A416" s="6" t="s">
        <v>2610</v>
      </c>
      <c r="B416" s="6" t="s">
        <v>516</v>
      </c>
    </row>
    <row r="417" spans="1:2" x14ac:dyDescent="0.2">
      <c r="A417" s="6" t="s">
        <v>2611</v>
      </c>
      <c r="B417" s="6" t="s">
        <v>522</v>
      </c>
    </row>
    <row r="418" spans="1:2" x14ac:dyDescent="0.2">
      <c r="A418" s="6" t="s">
        <v>2612</v>
      </c>
      <c r="B418" s="6" t="s">
        <v>509</v>
      </c>
    </row>
    <row r="419" spans="1:2" x14ac:dyDescent="0.2">
      <c r="A419" s="6" t="s">
        <v>2613</v>
      </c>
      <c r="B419" s="6" t="s">
        <v>515</v>
      </c>
    </row>
    <row r="420" spans="1:2" x14ac:dyDescent="0.2">
      <c r="A420" s="6" t="s">
        <v>2614</v>
      </c>
      <c r="B420" s="6" t="s">
        <v>518</v>
      </c>
    </row>
    <row r="421" spans="1:2" x14ac:dyDescent="0.2">
      <c r="A421" s="6" t="s">
        <v>2615</v>
      </c>
      <c r="B421" s="6" t="s">
        <v>520</v>
      </c>
    </row>
    <row r="422" spans="1:2" x14ac:dyDescent="0.2">
      <c r="A422" s="6" t="s">
        <v>2616</v>
      </c>
      <c r="B422" s="6" t="s">
        <v>525</v>
      </c>
    </row>
    <row r="423" spans="1:2" x14ac:dyDescent="0.2">
      <c r="A423" s="6" t="s">
        <v>2617</v>
      </c>
      <c r="B423" s="6" t="s">
        <v>527</v>
      </c>
    </row>
    <row r="424" spans="1:2" x14ac:dyDescent="0.2">
      <c r="A424" s="6" t="s">
        <v>2618</v>
      </c>
      <c r="B424" s="6" t="s">
        <v>531</v>
      </c>
    </row>
    <row r="425" spans="1:2" x14ac:dyDescent="0.2">
      <c r="A425" s="6" t="s">
        <v>2619</v>
      </c>
      <c r="B425" s="6" t="s">
        <v>535</v>
      </c>
    </row>
    <row r="426" spans="1:2" x14ac:dyDescent="0.2">
      <c r="A426" s="6" t="s">
        <v>2620</v>
      </c>
      <c r="B426" s="6" t="s">
        <v>526</v>
      </c>
    </row>
    <row r="427" spans="1:2" x14ac:dyDescent="0.2">
      <c r="A427" s="6" t="s">
        <v>2621</v>
      </c>
      <c r="B427" s="6" t="s">
        <v>529</v>
      </c>
    </row>
    <row r="428" spans="1:2" x14ac:dyDescent="0.2">
      <c r="A428" s="6" t="s">
        <v>2622</v>
      </c>
      <c r="B428" s="6" t="s">
        <v>530</v>
      </c>
    </row>
    <row r="429" spans="1:2" x14ac:dyDescent="0.2">
      <c r="A429" s="6" t="s">
        <v>2623</v>
      </c>
      <c r="B429" s="6" t="s">
        <v>534</v>
      </c>
    </row>
    <row r="430" spans="1:2" x14ac:dyDescent="0.2">
      <c r="A430" s="6" t="s">
        <v>2624</v>
      </c>
      <c r="B430" s="6" t="s">
        <v>524</v>
      </c>
    </row>
    <row r="431" spans="1:2" x14ac:dyDescent="0.2">
      <c r="A431" s="6" t="s">
        <v>2625</v>
      </c>
      <c r="B431" s="6" t="s">
        <v>528</v>
      </c>
    </row>
    <row r="432" spans="1:2" x14ac:dyDescent="0.2">
      <c r="A432" s="6" t="s">
        <v>2626</v>
      </c>
      <c r="B432" s="6" t="s">
        <v>532</v>
      </c>
    </row>
    <row r="433" spans="1:2" x14ac:dyDescent="0.2">
      <c r="A433" s="6" t="s">
        <v>2627</v>
      </c>
      <c r="B433" s="6" t="s">
        <v>533</v>
      </c>
    </row>
    <row r="434" spans="1:2" x14ac:dyDescent="0.2">
      <c r="A434" s="6" t="s">
        <v>2628</v>
      </c>
      <c r="B434" s="6" t="s">
        <v>538</v>
      </c>
    </row>
    <row r="435" spans="1:2" x14ac:dyDescent="0.2">
      <c r="A435" s="6" t="s">
        <v>2629</v>
      </c>
      <c r="B435" s="6" t="s">
        <v>540</v>
      </c>
    </row>
    <row r="436" spans="1:2" x14ac:dyDescent="0.2">
      <c r="A436" s="6" t="s">
        <v>2630</v>
      </c>
      <c r="B436" s="6" t="s">
        <v>545</v>
      </c>
    </row>
    <row r="437" spans="1:2" x14ac:dyDescent="0.2">
      <c r="A437" s="6" t="s">
        <v>2631</v>
      </c>
      <c r="B437" s="6" t="s">
        <v>549</v>
      </c>
    </row>
    <row r="438" spans="1:2" x14ac:dyDescent="0.2">
      <c r="A438" s="6" t="s">
        <v>2632</v>
      </c>
      <c r="B438" s="6" t="s">
        <v>539</v>
      </c>
    </row>
    <row r="439" spans="1:2" x14ac:dyDescent="0.2">
      <c r="A439" s="6" t="s">
        <v>2633</v>
      </c>
      <c r="B439" s="6" t="s">
        <v>541</v>
      </c>
    </row>
    <row r="440" spans="1:2" x14ac:dyDescent="0.2">
      <c r="A440" s="6" t="s">
        <v>2634</v>
      </c>
      <c r="B440" s="6" t="s">
        <v>543</v>
      </c>
    </row>
    <row r="441" spans="1:2" x14ac:dyDescent="0.2">
      <c r="A441" s="6" t="s">
        <v>2635</v>
      </c>
      <c r="B441" s="6" t="s">
        <v>547</v>
      </c>
    </row>
    <row r="442" spans="1:2" x14ac:dyDescent="0.2">
      <c r="A442" s="6" t="s">
        <v>2636</v>
      </c>
      <c r="B442" s="6" t="s">
        <v>537</v>
      </c>
    </row>
    <row r="443" spans="1:2" x14ac:dyDescent="0.2">
      <c r="A443" s="6" t="s">
        <v>2637</v>
      </c>
      <c r="B443" s="6" t="s">
        <v>542</v>
      </c>
    </row>
    <row r="444" spans="1:2" x14ac:dyDescent="0.2">
      <c r="A444" s="6" t="s">
        <v>2638</v>
      </c>
      <c r="B444" s="6" t="s">
        <v>544</v>
      </c>
    </row>
    <row r="445" spans="1:2" x14ac:dyDescent="0.2">
      <c r="A445" s="6" t="s">
        <v>2639</v>
      </c>
      <c r="B445" s="6" t="s">
        <v>548</v>
      </c>
    </row>
    <row r="446" spans="1:2" x14ac:dyDescent="0.2">
      <c r="A446" s="6" t="s">
        <v>2640</v>
      </c>
      <c r="B446" s="6" t="s">
        <v>554</v>
      </c>
    </row>
    <row r="447" spans="1:2" x14ac:dyDescent="0.2">
      <c r="A447" s="6" t="s">
        <v>2641</v>
      </c>
      <c r="B447" s="6" t="s">
        <v>556</v>
      </c>
    </row>
    <row r="448" spans="1:2" x14ac:dyDescent="0.2">
      <c r="A448" s="6" t="s">
        <v>2642</v>
      </c>
      <c r="B448" s="6" t="s">
        <v>560</v>
      </c>
    </row>
    <row r="449" spans="1:2" x14ac:dyDescent="0.2">
      <c r="A449" s="6" t="s">
        <v>2643</v>
      </c>
      <c r="B449" s="6" t="s">
        <v>562</v>
      </c>
    </row>
    <row r="450" spans="1:2" x14ac:dyDescent="0.2">
      <c r="A450" s="6" t="s">
        <v>2644</v>
      </c>
      <c r="B450" s="6" t="s">
        <v>551</v>
      </c>
    </row>
    <row r="451" spans="1:2" x14ac:dyDescent="0.2">
      <c r="A451" s="6" t="s">
        <v>2645</v>
      </c>
      <c r="B451" s="6" t="s">
        <v>557</v>
      </c>
    </row>
    <row r="452" spans="1:2" x14ac:dyDescent="0.2">
      <c r="A452" s="6" t="s">
        <v>2646</v>
      </c>
      <c r="B452" s="6" t="s">
        <v>559</v>
      </c>
    </row>
    <row r="453" spans="1:2" x14ac:dyDescent="0.2">
      <c r="A453" s="6" t="s">
        <v>2647</v>
      </c>
      <c r="B453" s="6" t="s">
        <v>563</v>
      </c>
    </row>
    <row r="454" spans="1:2" x14ac:dyDescent="0.2">
      <c r="A454" s="6" t="s">
        <v>2648</v>
      </c>
      <c r="B454" s="6" t="s">
        <v>552</v>
      </c>
    </row>
    <row r="455" spans="1:2" x14ac:dyDescent="0.2">
      <c r="A455" s="6" t="s">
        <v>2649</v>
      </c>
      <c r="B455" s="6" t="s">
        <v>555</v>
      </c>
    </row>
    <row r="456" spans="1:2" x14ac:dyDescent="0.2">
      <c r="A456" s="6" t="s">
        <v>2650</v>
      </c>
      <c r="B456" s="6" t="s">
        <v>558</v>
      </c>
    </row>
    <row r="457" spans="1:2" x14ac:dyDescent="0.2">
      <c r="A457" s="6" t="s">
        <v>2651</v>
      </c>
      <c r="B457" s="6" t="s">
        <v>561</v>
      </c>
    </row>
    <row r="458" spans="1:2" x14ac:dyDescent="0.2">
      <c r="A458" s="6" t="s">
        <v>2652</v>
      </c>
      <c r="B458" s="6" t="s">
        <v>565</v>
      </c>
    </row>
    <row r="459" spans="1:2" x14ac:dyDescent="0.2">
      <c r="A459" s="6" t="s">
        <v>2653</v>
      </c>
      <c r="B459" s="6" t="s">
        <v>569</v>
      </c>
    </row>
    <row r="460" spans="1:2" x14ac:dyDescent="0.2">
      <c r="A460" s="6" t="s">
        <v>2654</v>
      </c>
      <c r="B460" s="6" t="s">
        <v>573</v>
      </c>
    </row>
    <row r="461" spans="1:2" x14ac:dyDescent="0.2">
      <c r="A461" s="6" t="s">
        <v>2655</v>
      </c>
      <c r="B461" s="6" t="s">
        <v>576</v>
      </c>
    </row>
    <row r="462" spans="1:2" x14ac:dyDescent="0.2">
      <c r="A462" s="6" t="s">
        <v>2656</v>
      </c>
      <c r="B462" s="6" t="s">
        <v>567</v>
      </c>
    </row>
    <row r="463" spans="1:2" x14ac:dyDescent="0.2">
      <c r="A463" s="6" t="s">
        <v>2657</v>
      </c>
      <c r="B463" s="6" t="s">
        <v>568</v>
      </c>
    </row>
    <row r="464" spans="1:2" x14ac:dyDescent="0.2">
      <c r="A464" s="6" t="s">
        <v>2658</v>
      </c>
      <c r="B464" s="6" t="s">
        <v>571</v>
      </c>
    </row>
    <row r="465" spans="1:2" x14ac:dyDescent="0.2">
      <c r="A465" s="6" t="s">
        <v>2659</v>
      </c>
      <c r="B465" s="6" t="s">
        <v>575</v>
      </c>
    </row>
    <row r="466" spans="1:2" x14ac:dyDescent="0.2">
      <c r="A466" s="6" t="s">
        <v>2660</v>
      </c>
      <c r="B466" s="6" t="s">
        <v>566</v>
      </c>
    </row>
    <row r="467" spans="1:2" x14ac:dyDescent="0.2">
      <c r="A467" s="6" t="s">
        <v>2661</v>
      </c>
      <c r="B467" s="6" t="s">
        <v>570</v>
      </c>
    </row>
    <row r="468" spans="1:2" x14ac:dyDescent="0.2">
      <c r="A468" s="6" t="s">
        <v>2662</v>
      </c>
      <c r="B468" s="6" t="s">
        <v>572</v>
      </c>
    </row>
    <row r="469" spans="1:2" x14ac:dyDescent="0.2">
      <c r="A469" s="6" t="s">
        <v>2663</v>
      </c>
      <c r="B469" s="6" t="s">
        <v>574</v>
      </c>
    </row>
    <row r="470" spans="1:2" x14ac:dyDescent="0.2">
      <c r="A470" s="6" t="s">
        <v>2664</v>
      </c>
      <c r="B470" s="6" t="s">
        <v>579</v>
      </c>
    </row>
    <row r="471" spans="1:2" x14ac:dyDescent="0.2">
      <c r="A471" s="6" t="s">
        <v>2665</v>
      </c>
      <c r="B471" s="6" t="s">
        <v>583</v>
      </c>
    </row>
    <row r="472" spans="1:2" x14ac:dyDescent="0.2">
      <c r="A472" s="6" t="s">
        <v>2666</v>
      </c>
      <c r="B472" s="6" t="s">
        <v>584</v>
      </c>
    </row>
    <row r="473" spans="1:2" x14ac:dyDescent="0.2">
      <c r="A473" s="6" t="s">
        <v>2667</v>
      </c>
      <c r="B473" s="6" t="s">
        <v>587</v>
      </c>
    </row>
    <row r="474" spans="1:2" x14ac:dyDescent="0.2">
      <c r="A474" s="6" t="s">
        <v>2668</v>
      </c>
      <c r="B474" s="6" t="s">
        <v>578</v>
      </c>
    </row>
    <row r="475" spans="1:2" x14ac:dyDescent="0.2">
      <c r="A475" s="6" t="s">
        <v>2669</v>
      </c>
      <c r="B475" s="6" t="s">
        <v>582</v>
      </c>
    </row>
    <row r="476" spans="1:2" x14ac:dyDescent="0.2">
      <c r="A476" s="6" t="s">
        <v>2670</v>
      </c>
      <c r="B476" s="6" t="s">
        <v>586</v>
      </c>
    </row>
    <row r="477" spans="1:2" x14ac:dyDescent="0.2">
      <c r="A477" s="6" t="s">
        <v>2671</v>
      </c>
      <c r="B477" s="6" t="s">
        <v>589</v>
      </c>
    </row>
    <row r="478" spans="1:2" x14ac:dyDescent="0.2">
      <c r="A478" s="6" t="s">
        <v>2672</v>
      </c>
      <c r="B478" s="6" t="s">
        <v>580</v>
      </c>
    </row>
    <row r="479" spans="1:2" x14ac:dyDescent="0.2">
      <c r="A479" s="6" t="s">
        <v>2673</v>
      </c>
      <c r="B479" s="6" t="s">
        <v>581</v>
      </c>
    </row>
    <row r="480" spans="1:2" x14ac:dyDescent="0.2">
      <c r="A480" s="6" t="s">
        <v>2674</v>
      </c>
      <c r="B480" s="6" t="s">
        <v>585</v>
      </c>
    </row>
    <row r="481" spans="1:2" x14ac:dyDescent="0.2">
      <c r="A481" s="6" t="s">
        <v>2675</v>
      </c>
      <c r="B481" s="6" t="s">
        <v>588</v>
      </c>
    </row>
    <row r="482" spans="1:2" x14ac:dyDescent="0.2">
      <c r="A482" s="6" t="s">
        <v>2158</v>
      </c>
      <c r="B482" s="6" t="s">
        <v>591</v>
      </c>
    </row>
    <row r="483" spans="1:2" x14ac:dyDescent="0.2">
      <c r="A483" s="6" t="s">
        <v>2176</v>
      </c>
      <c r="B483" s="6" t="s">
        <v>594</v>
      </c>
    </row>
    <row r="484" spans="1:2" x14ac:dyDescent="0.2">
      <c r="A484" s="6" t="s">
        <v>2205</v>
      </c>
      <c r="B484" s="6" t="s">
        <v>598</v>
      </c>
    </row>
    <row r="485" spans="1:2" x14ac:dyDescent="0.2">
      <c r="A485" s="6" t="s">
        <v>2676</v>
      </c>
      <c r="B485" s="6" t="s">
        <v>601</v>
      </c>
    </row>
    <row r="486" spans="1:2" x14ac:dyDescent="0.2">
      <c r="A486" s="6" t="s">
        <v>2162</v>
      </c>
      <c r="B486" s="6" t="s">
        <v>593</v>
      </c>
    </row>
    <row r="487" spans="1:2" x14ac:dyDescent="0.2">
      <c r="A487" s="6" t="s">
        <v>2178</v>
      </c>
      <c r="B487" s="6" t="s">
        <v>596</v>
      </c>
    </row>
    <row r="488" spans="1:2" x14ac:dyDescent="0.2">
      <c r="A488" s="6" t="s">
        <v>2202</v>
      </c>
      <c r="B488" s="6" t="s">
        <v>597</v>
      </c>
    </row>
    <row r="489" spans="1:2" x14ac:dyDescent="0.2">
      <c r="A489" s="6" t="s">
        <v>2677</v>
      </c>
      <c r="B489" s="6" t="s">
        <v>600</v>
      </c>
    </row>
    <row r="490" spans="1:2" x14ac:dyDescent="0.2">
      <c r="A490" s="6" t="s">
        <v>2159</v>
      </c>
      <c r="B490" s="6" t="s">
        <v>592</v>
      </c>
    </row>
    <row r="491" spans="1:2" x14ac:dyDescent="0.2">
      <c r="A491" s="6" t="s">
        <v>2177</v>
      </c>
      <c r="B491" s="6" t="s">
        <v>595</v>
      </c>
    </row>
    <row r="492" spans="1:2" x14ac:dyDescent="0.2">
      <c r="A492" s="6" t="s">
        <v>2211</v>
      </c>
      <c r="B492" s="6" t="s">
        <v>599</v>
      </c>
    </row>
    <row r="493" spans="1:2" x14ac:dyDescent="0.2">
      <c r="A493" s="6" t="s">
        <v>2678</v>
      </c>
      <c r="B493" s="6" t="s">
        <v>602</v>
      </c>
    </row>
    <row r="494" spans="1:2" x14ac:dyDescent="0.2">
      <c r="A494" s="6" t="s">
        <v>2679</v>
      </c>
      <c r="B494" s="6" t="s">
        <v>605</v>
      </c>
    </row>
    <row r="495" spans="1:2" x14ac:dyDescent="0.2">
      <c r="A495" s="6" t="s">
        <v>2680</v>
      </c>
      <c r="B495" s="6" t="s">
        <v>607</v>
      </c>
    </row>
    <row r="496" spans="1:2" x14ac:dyDescent="0.2">
      <c r="A496" s="6" t="s">
        <v>2681</v>
      </c>
      <c r="B496" s="6" t="s">
        <v>610</v>
      </c>
    </row>
    <row r="497" spans="1:2" x14ac:dyDescent="0.2">
      <c r="A497" s="6" t="s">
        <v>2682</v>
      </c>
      <c r="B497" s="6" t="s">
        <v>613</v>
      </c>
    </row>
    <row r="498" spans="1:2" x14ac:dyDescent="0.2">
      <c r="A498" s="6" t="s">
        <v>2683</v>
      </c>
      <c r="B498" s="6" t="s">
        <v>606</v>
      </c>
    </row>
    <row r="499" spans="1:2" x14ac:dyDescent="0.2">
      <c r="A499" s="6" t="s">
        <v>2684</v>
      </c>
      <c r="B499" s="6" t="s">
        <v>609</v>
      </c>
    </row>
    <row r="500" spans="1:2" x14ac:dyDescent="0.2">
      <c r="A500" s="6" t="s">
        <v>2685</v>
      </c>
      <c r="B500" s="6" t="s">
        <v>612</v>
      </c>
    </row>
    <row r="501" spans="1:2" x14ac:dyDescent="0.2">
      <c r="A501" s="6" t="s">
        <v>2686</v>
      </c>
      <c r="B501" s="6" t="s">
        <v>615</v>
      </c>
    </row>
    <row r="502" spans="1:2" x14ac:dyDescent="0.2">
      <c r="A502" s="6" t="s">
        <v>2687</v>
      </c>
      <c r="B502" s="6" t="s">
        <v>604</v>
      </c>
    </row>
    <row r="503" spans="1:2" x14ac:dyDescent="0.2">
      <c r="A503" s="6" t="s">
        <v>2688</v>
      </c>
      <c r="B503" s="6" t="s">
        <v>608</v>
      </c>
    </row>
    <row r="504" spans="1:2" x14ac:dyDescent="0.2">
      <c r="A504" s="6" t="s">
        <v>2689</v>
      </c>
      <c r="B504" s="6" t="s">
        <v>611</v>
      </c>
    </row>
    <row r="505" spans="1:2" x14ac:dyDescent="0.2">
      <c r="A505" s="6" t="s">
        <v>2690</v>
      </c>
      <c r="B505" s="6" t="s">
        <v>614</v>
      </c>
    </row>
    <row r="506" spans="1:2" x14ac:dyDescent="0.2">
      <c r="A506" s="6" t="s">
        <v>2691</v>
      </c>
      <c r="B506" s="6" t="s">
        <v>619</v>
      </c>
    </row>
    <row r="507" spans="1:2" x14ac:dyDescent="0.2">
      <c r="A507" s="6" t="s">
        <v>2692</v>
      </c>
      <c r="B507" s="6" t="s">
        <v>621</v>
      </c>
    </row>
    <row r="508" spans="1:2" x14ac:dyDescent="0.2">
      <c r="A508" s="6" t="s">
        <v>2693</v>
      </c>
      <c r="B508" s="6" t="s">
        <v>625</v>
      </c>
    </row>
    <row r="509" spans="1:2" x14ac:dyDescent="0.2">
      <c r="A509" s="6" t="s">
        <v>2694</v>
      </c>
      <c r="B509" s="6" t="s">
        <v>627</v>
      </c>
    </row>
    <row r="510" spans="1:2" x14ac:dyDescent="0.2">
      <c r="A510" s="6" t="s">
        <v>2695</v>
      </c>
      <c r="B510" s="6" t="s">
        <v>617</v>
      </c>
    </row>
    <row r="511" spans="1:2" x14ac:dyDescent="0.2">
      <c r="A511" s="6" t="s">
        <v>2696</v>
      </c>
      <c r="B511" s="6" t="s">
        <v>620</v>
      </c>
    </row>
    <row r="512" spans="1:2" x14ac:dyDescent="0.2">
      <c r="A512" s="6" t="s">
        <v>2697</v>
      </c>
      <c r="B512" s="6" t="s">
        <v>623</v>
      </c>
    </row>
    <row r="513" spans="1:2" x14ac:dyDescent="0.2">
      <c r="A513" s="6" t="s">
        <v>2698</v>
      </c>
      <c r="B513" s="6" t="s">
        <v>628</v>
      </c>
    </row>
    <row r="514" spans="1:2" x14ac:dyDescent="0.2">
      <c r="A514" s="6" t="s">
        <v>2699</v>
      </c>
      <c r="B514" s="6" t="s">
        <v>618</v>
      </c>
    </row>
    <row r="515" spans="1:2" x14ac:dyDescent="0.2">
      <c r="A515" s="6" t="s">
        <v>2700</v>
      </c>
      <c r="B515" s="6" t="s">
        <v>622</v>
      </c>
    </row>
    <row r="516" spans="1:2" x14ac:dyDescent="0.2">
      <c r="A516" s="6" t="s">
        <v>2701</v>
      </c>
      <c r="B516" s="6" t="s">
        <v>624</v>
      </c>
    </row>
    <row r="517" spans="1:2" x14ac:dyDescent="0.2">
      <c r="A517" s="6" t="s">
        <v>2702</v>
      </c>
      <c r="B517" s="6" t="s">
        <v>626</v>
      </c>
    </row>
    <row r="518" spans="1:2" x14ac:dyDescent="0.2">
      <c r="A518" s="6" t="s">
        <v>2703</v>
      </c>
      <c r="B518" s="6" t="s">
        <v>632</v>
      </c>
    </row>
    <row r="519" spans="1:2" x14ac:dyDescent="0.2">
      <c r="A519" s="6" t="s">
        <v>2704</v>
      </c>
      <c r="B519" s="6" t="s">
        <v>633</v>
      </c>
    </row>
    <row r="520" spans="1:2" x14ac:dyDescent="0.2">
      <c r="A520" s="6" t="s">
        <v>2705</v>
      </c>
      <c r="B520" s="6" t="s">
        <v>638</v>
      </c>
    </row>
    <row r="521" spans="1:2" x14ac:dyDescent="0.2">
      <c r="A521" s="6" t="s">
        <v>2706</v>
      </c>
      <c r="B521" s="6" t="s">
        <v>640</v>
      </c>
    </row>
    <row r="522" spans="1:2" x14ac:dyDescent="0.2">
      <c r="A522" s="6" t="s">
        <v>2707</v>
      </c>
      <c r="B522" s="6" t="s">
        <v>630</v>
      </c>
    </row>
    <row r="523" spans="1:2" x14ac:dyDescent="0.2">
      <c r="A523" s="6" t="s">
        <v>2708</v>
      </c>
      <c r="B523" s="6" t="s">
        <v>635</v>
      </c>
    </row>
    <row r="524" spans="1:2" x14ac:dyDescent="0.2">
      <c r="A524" s="6" t="s">
        <v>2709</v>
      </c>
      <c r="B524" s="6" t="s">
        <v>636</v>
      </c>
    </row>
    <row r="525" spans="1:2" x14ac:dyDescent="0.2">
      <c r="A525" s="6" t="s">
        <v>2710</v>
      </c>
      <c r="B525" s="6" t="s">
        <v>641</v>
      </c>
    </row>
    <row r="526" spans="1:2" x14ac:dyDescent="0.2">
      <c r="A526" s="6" t="s">
        <v>2711</v>
      </c>
      <c r="B526" s="6" t="s">
        <v>631</v>
      </c>
    </row>
    <row r="527" spans="1:2" x14ac:dyDescent="0.2">
      <c r="A527" s="6" t="s">
        <v>2712</v>
      </c>
      <c r="B527" s="6" t="s">
        <v>634</v>
      </c>
    </row>
    <row r="528" spans="1:2" x14ac:dyDescent="0.2">
      <c r="A528" s="6" t="s">
        <v>2713</v>
      </c>
      <c r="B528" s="6" t="s">
        <v>637</v>
      </c>
    </row>
    <row r="529" spans="1:2" x14ac:dyDescent="0.2">
      <c r="A529" s="6" t="s">
        <v>2714</v>
      </c>
      <c r="B529" s="6" t="s">
        <v>639</v>
      </c>
    </row>
    <row r="530" spans="1:2" x14ac:dyDescent="0.2">
      <c r="A530" s="6" t="s">
        <v>2715</v>
      </c>
      <c r="B530" s="6" t="s">
        <v>645</v>
      </c>
    </row>
    <row r="531" spans="1:2" x14ac:dyDescent="0.2">
      <c r="A531" s="6" t="s">
        <v>2716</v>
      </c>
      <c r="B531" s="6" t="s">
        <v>647</v>
      </c>
    </row>
    <row r="532" spans="1:2" x14ac:dyDescent="0.2">
      <c r="A532" s="6" t="s">
        <v>2717</v>
      </c>
      <c r="B532" s="6" t="s">
        <v>649</v>
      </c>
    </row>
    <row r="533" spans="1:2" x14ac:dyDescent="0.2">
      <c r="A533" s="6" t="s">
        <v>2718</v>
      </c>
      <c r="B533" s="6" t="s">
        <v>652</v>
      </c>
    </row>
    <row r="534" spans="1:2" x14ac:dyDescent="0.2">
      <c r="A534" s="6" t="s">
        <v>2719</v>
      </c>
      <c r="B534" s="6" t="s">
        <v>644</v>
      </c>
    </row>
    <row r="535" spans="1:2" x14ac:dyDescent="0.2">
      <c r="A535" s="6" t="s">
        <v>2720</v>
      </c>
      <c r="B535" s="6" t="s">
        <v>648</v>
      </c>
    </row>
    <row r="536" spans="1:2" x14ac:dyDescent="0.2">
      <c r="A536" s="6" t="s">
        <v>2721</v>
      </c>
      <c r="B536" s="6" t="s">
        <v>650</v>
      </c>
    </row>
    <row r="537" spans="1:2" x14ac:dyDescent="0.2">
      <c r="A537" s="6" t="s">
        <v>2722</v>
      </c>
      <c r="B537" s="6" t="s">
        <v>654</v>
      </c>
    </row>
    <row r="538" spans="1:2" x14ac:dyDescent="0.2">
      <c r="A538" s="6" t="s">
        <v>2723</v>
      </c>
      <c r="B538" s="6" t="s">
        <v>643</v>
      </c>
    </row>
    <row r="539" spans="1:2" x14ac:dyDescent="0.2">
      <c r="A539" s="6" t="s">
        <v>2724</v>
      </c>
      <c r="B539" s="6" t="s">
        <v>646</v>
      </c>
    </row>
    <row r="540" spans="1:2" x14ac:dyDescent="0.2">
      <c r="A540" s="6" t="s">
        <v>2725</v>
      </c>
      <c r="B540" s="6" t="s">
        <v>651</v>
      </c>
    </row>
    <row r="541" spans="1:2" x14ac:dyDescent="0.2">
      <c r="A541" s="6" t="s">
        <v>2726</v>
      </c>
      <c r="B541" s="6" t="s">
        <v>653</v>
      </c>
    </row>
    <row r="542" spans="1:2" x14ac:dyDescent="0.2">
      <c r="A542" s="6" t="s">
        <v>2727</v>
      </c>
      <c r="B542" s="6" t="s">
        <v>658</v>
      </c>
    </row>
    <row r="543" spans="1:2" x14ac:dyDescent="0.2">
      <c r="A543" s="6" t="s">
        <v>2728</v>
      </c>
      <c r="B543" s="6" t="s">
        <v>660</v>
      </c>
    </row>
    <row r="544" spans="1:2" x14ac:dyDescent="0.2">
      <c r="A544" s="6" t="s">
        <v>2729</v>
      </c>
      <c r="B544" s="6" t="s">
        <v>662</v>
      </c>
    </row>
    <row r="545" spans="1:2" x14ac:dyDescent="0.2">
      <c r="A545" s="6" t="s">
        <v>2730</v>
      </c>
      <c r="B545" s="6" t="s">
        <v>666</v>
      </c>
    </row>
    <row r="546" spans="1:2" x14ac:dyDescent="0.2">
      <c r="A546" s="6" t="s">
        <v>2731</v>
      </c>
      <c r="B546" s="6" t="s">
        <v>657</v>
      </c>
    </row>
    <row r="547" spans="1:2" x14ac:dyDescent="0.2">
      <c r="A547" s="6" t="s">
        <v>2732</v>
      </c>
      <c r="B547" s="6" t="s">
        <v>661</v>
      </c>
    </row>
    <row r="548" spans="1:2" x14ac:dyDescent="0.2">
      <c r="A548" s="6" t="s">
        <v>2733</v>
      </c>
      <c r="B548" s="6" t="s">
        <v>664</v>
      </c>
    </row>
    <row r="549" spans="1:2" x14ac:dyDescent="0.2">
      <c r="A549" s="6" t="s">
        <v>2734</v>
      </c>
      <c r="B549" s="6" t="s">
        <v>665</v>
      </c>
    </row>
    <row r="550" spans="1:2" x14ac:dyDescent="0.2">
      <c r="A550" s="6" t="s">
        <v>2735</v>
      </c>
      <c r="B550" s="6" t="s">
        <v>656</v>
      </c>
    </row>
    <row r="551" spans="1:2" x14ac:dyDescent="0.2">
      <c r="A551" s="6" t="s">
        <v>2736</v>
      </c>
      <c r="B551" s="6" t="s">
        <v>659</v>
      </c>
    </row>
    <row r="552" spans="1:2" x14ac:dyDescent="0.2">
      <c r="A552" s="6" t="s">
        <v>2737</v>
      </c>
      <c r="B552" s="6" t="s">
        <v>663</v>
      </c>
    </row>
    <row r="553" spans="1:2" x14ac:dyDescent="0.2">
      <c r="A553" s="6" t="s">
        <v>2738</v>
      </c>
      <c r="B553" s="6" t="s">
        <v>667</v>
      </c>
    </row>
    <row r="554" spans="1:2" x14ac:dyDescent="0.2">
      <c r="A554" s="6" t="s">
        <v>2739</v>
      </c>
      <c r="B554" s="6" t="s">
        <v>671</v>
      </c>
    </row>
    <row r="555" spans="1:2" x14ac:dyDescent="0.2">
      <c r="A555" s="6" t="s">
        <v>2740</v>
      </c>
      <c r="B555" s="6" t="s">
        <v>674</v>
      </c>
    </row>
    <row r="556" spans="1:2" x14ac:dyDescent="0.2">
      <c r="A556" s="6" t="s">
        <v>2741</v>
      </c>
      <c r="B556" s="6" t="s">
        <v>677</v>
      </c>
    </row>
    <row r="557" spans="1:2" x14ac:dyDescent="0.2">
      <c r="A557" s="6" t="s">
        <v>2742</v>
      </c>
      <c r="B557" s="6" t="s">
        <v>680</v>
      </c>
    </row>
    <row r="558" spans="1:2" x14ac:dyDescent="0.2">
      <c r="A558" s="6" t="s">
        <v>2743</v>
      </c>
      <c r="B558" s="6" t="s">
        <v>669</v>
      </c>
    </row>
    <row r="559" spans="1:2" x14ac:dyDescent="0.2">
      <c r="A559" s="6" t="s">
        <v>2744</v>
      </c>
      <c r="B559" s="6" t="s">
        <v>672</v>
      </c>
    </row>
    <row r="560" spans="1:2" x14ac:dyDescent="0.2">
      <c r="A560" s="6" t="s">
        <v>2745</v>
      </c>
      <c r="B560" s="6" t="s">
        <v>675</v>
      </c>
    </row>
    <row r="561" spans="1:2" x14ac:dyDescent="0.2">
      <c r="A561" s="6" t="s">
        <v>2746</v>
      </c>
      <c r="B561" s="6" t="s">
        <v>678</v>
      </c>
    </row>
    <row r="562" spans="1:2" x14ac:dyDescent="0.2">
      <c r="A562" s="6" t="s">
        <v>2747</v>
      </c>
      <c r="B562" s="6" t="s">
        <v>670</v>
      </c>
    </row>
    <row r="563" spans="1:2" x14ac:dyDescent="0.2">
      <c r="A563" s="6" t="s">
        <v>2748</v>
      </c>
      <c r="B563" s="6" t="s">
        <v>673</v>
      </c>
    </row>
    <row r="564" spans="1:2" x14ac:dyDescent="0.2">
      <c r="A564" s="6" t="s">
        <v>2749</v>
      </c>
      <c r="B564" s="6" t="s">
        <v>676</v>
      </c>
    </row>
    <row r="565" spans="1:2" x14ac:dyDescent="0.2">
      <c r="A565" s="6" t="s">
        <v>2750</v>
      </c>
      <c r="B565" s="6" t="s">
        <v>679</v>
      </c>
    </row>
    <row r="566" spans="1:2" x14ac:dyDescent="0.2">
      <c r="A566" s="6" t="s">
        <v>2751</v>
      </c>
      <c r="B566" s="6" t="s">
        <v>684</v>
      </c>
    </row>
    <row r="567" spans="1:2" x14ac:dyDescent="0.2">
      <c r="A567" s="6" t="s">
        <v>2752</v>
      </c>
      <c r="B567" s="6" t="s">
        <v>685</v>
      </c>
    </row>
    <row r="568" spans="1:2" x14ac:dyDescent="0.2">
      <c r="A568" s="6" t="s">
        <v>2753</v>
      </c>
      <c r="B568" s="6" t="s">
        <v>690</v>
      </c>
    </row>
    <row r="569" spans="1:2" x14ac:dyDescent="0.2">
      <c r="A569" s="6" t="s">
        <v>2754</v>
      </c>
      <c r="B569" s="6" t="s">
        <v>692</v>
      </c>
    </row>
    <row r="570" spans="1:2" x14ac:dyDescent="0.2">
      <c r="A570" s="6" t="s">
        <v>2755</v>
      </c>
      <c r="B570" s="6" t="s">
        <v>682</v>
      </c>
    </row>
    <row r="571" spans="1:2" x14ac:dyDescent="0.2">
      <c r="A571" s="6" t="s">
        <v>2756</v>
      </c>
      <c r="B571" s="6" t="s">
        <v>686</v>
      </c>
    </row>
    <row r="572" spans="1:2" x14ac:dyDescent="0.2">
      <c r="A572" s="6" t="s">
        <v>2757</v>
      </c>
      <c r="B572" s="6" t="s">
        <v>688</v>
      </c>
    </row>
    <row r="573" spans="1:2" x14ac:dyDescent="0.2">
      <c r="A573" s="6" t="s">
        <v>2758</v>
      </c>
      <c r="B573" s="6" t="s">
        <v>693</v>
      </c>
    </row>
    <row r="574" spans="1:2" x14ac:dyDescent="0.2">
      <c r="A574" s="6" t="s">
        <v>2759</v>
      </c>
      <c r="B574" s="6" t="s">
        <v>683</v>
      </c>
    </row>
    <row r="575" spans="1:2" x14ac:dyDescent="0.2">
      <c r="A575" s="6" t="s">
        <v>2760</v>
      </c>
      <c r="B575" s="6" t="s">
        <v>687</v>
      </c>
    </row>
    <row r="576" spans="1:2" x14ac:dyDescent="0.2">
      <c r="A576" s="6" t="s">
        <v>2761</v>
      </c>
      <c r="B576" s="6" t="s">
        <v>689</v>
      </c>
    </row>
    <row r="577" spans="1:2" x14ac:dyDescent="0.2">
      <c r="A577" s="6" t="s">
        <v>2762</v>
      </c>
      <c r="B577" s="6" t="s">
        <v>691</v>
      </c>
    </row>
    <row r="578" spans="1:2" x14ac:dyDescent="0.2">
      <c r="A578" s="6" t="s">
        <v>2763</v>
      </c>
      <c r="B578" s="6" t="s">
        <v>697</v>
      </c>
    </row>
    <row r="579" spans="1:2" x14ac:dyDescent="0.2">
      <c r="A579" s="6" t="s">
        <v>2764</v>
      </c>
      <c r="B579" s="6" t="s">
        <v>701</v>
      </c>
    </row>
    <row r="580" spans="1:2" x14ac:dyDescent="0.2">
      <c r="A580" s="6" t="s">
        <v>2765</v>
      </c>
      <c r="B580" s="6" t="s">
        <v>705</v>
      </c>
    </row>
    <row r="581" spans="1:2" x14ac:dyDescent="0.2">
      <c r="A581" s="6" t="s">
        <v>2766</v>
      </c>
      <c r="B581" s="6" t="s">
        <v>708</v>
      </c>
    </row>
    <row r="582" spans="1:2" x14ac:dyDescent="0.2">
      <c r="A582" s="6" t="s">
        <v>2767</v>
      </c>
      <c r="B582" s="6" t="s">
        <v>696</v>
      </c>
    </row>
    <row r="583" spans="1:2" x14ac:dyDescent="0.2">
      <c r="A583" s="6" t="s">
        <v>2768</v>
      </c>
      <c r="B583" s="6" t="s">
        <v>700</v>
      </c>
    </row>
    <row r="584" spans="1:2" x14ac:dyDescent="0.2">
      <c r="A584" s="6" t="s">
        <v>2769</v>
      </c>
      <c r="B584" s="6" t="s">
        <v>702</v>
      </c>
    </row>
    <row r="585" spans="1:2" x14ac:dyDescent="0.2">
      <c r="A585" s="6" t="s">
        <v>2770</v>
      </c>
      <c r="B585" s="6" t="s">
        <v>707</v>
      </c>
    </row>
    <row r="586" spans="1:2" x14ac:dyDescent="0.2">
      <c r="A586" s="6" t="s">
        <v>2771</v>
      </c>
      <c r="B586" s="6" t="s">
        <v>695</v>
      </c>
    </row>
    <row r="587" spans="1:2" x14ac:dyDescent="0.2">
      <c r="A587" s="6" t="s">
        <v>2772</v>
      </c>
      <c r="B587" s="6" t="s">
        <v>698</v>
      </c>
    </row>
    <row r="588" spans="1:2" x14ac:dyDescent="0.2">
      <c r="A588" s="6" t="s">
        <v>2773</v>
      </c>
      <c r="B588" s="6" t="s">
        <v>704</v>
      </c>
    </row>
    <row r="589" spans="1:2" x14ac:dyDescent="0.2">
      <c r="A589" s="6" t="s">
        <v>2774</v>
      </c>
      <c r="B589" s="6" t="s">
        <v>706</v>
      </c>
    </row>
    <row r="590" spans="1:2" x14ac:dyDescent="0.2">
      <c r="A590" s="6" t="s">
        <v>2775</v>
      </c>
      <c r="B590" s="6" t="s">
        <v>711</v>
      </c>
    </row>
    <row r="591" spans="1:2" x14ac:dyDescent="0.2">
      <c r="A591" s="6" t="s">
        <v>2776</v>
      </c>
      <c r="B591" s="6" t="s">
        <v>713</v>
      </c>
    </row>
    <row r="592" spans="1:2" x14ac:dyDescent="0.2">
      <c r="A592" s="6" t="s">
        <v>2777</v>
      </c>
      <c r="B592" s="6" t="s">
        <v>717</v>
      </c>
    </row>
    <row r="593" spans="1:2" x14ac:dyDescent="0.2">
      <c r="A593" s="6" t="s">
        <v>2778</v>
      </c>
      <c r="B593" s="6" t="s">
        <v>721</v>
      </c>
    </row>
    <row r="594" spans="1:2" x14ac:dyDescent="0.2">
      <c r="A594" s="6" t="s">
        <v>2779</v>
      </c>
      <c r="B594" s="6" t="s">
        <v>710</v>
      </c>
    </row>
    <row r="595" spans="1:2" x14ac:dyDescent="0.2">
      <c r="A595" s="6" t="s">
        <v>2780</v>
      </c>
      <c r="B595" s="6" t="s">
        <v>715</v>
      </c>
    </row>
    <row r="596" spans="1:2" x14ac:dyDescent="0.2">
      <c r="A596" s="6" t="s">
        <v>2781</v>
      </c>
      <c r="B596" s="6" t="s">
        <v>718</v>
      </c>
    </row>
    <row r="597" spans="1:2" x14ac:dyDescent="0.2">
      <c r="A597" s="6" t="s">
        <v>2782</v>
      </c>
      <c r="B597" s="6" t="s">
        <v>719</v>
      </c>
    </row>
    <row r="598" spans="1:2" x14ac:dyDescent="0.2">
      <c r="A598" s="6" t="s">
        <v>2783</v>
      </c>
      <c r="B598" s="6" t="s">
        <v>712</v>
      </c>
    </row>
    <row r="599" spans="1:2" x14ac:dyDescent="0.2">
      <c r="A599" s="6" t="s">
        <v>2784</v>
      </c>
      <c r="B599" s="6" t="s">
        <v>714</v>
      </c>
    </row>
    <row r="600" spans="1:2" x14ac:dyDescent="0.2">
      <c r="A600" s="6" t="s">
        <v>2785</v>
      </c>
      <c r="B600" s="6" t="s">
        <v>716</v>
      </c>
    </row>
    <row r="601" spans="1:2" x14ac:dyDescent="0.2">
      <c r="A601" s="6" t="s">
        <v>2786</v>
      </c>
      <c r="B601" s="6" t="s">
        <v>720</v>
      </c>
    </row>
    <row r="602" spans="1:2" x14ac:dyDescent="0.2">
      <c r="A602" s="6" t="s">
        <v>2787</v>
      </c>
      <c r="B602" s="6" t="s">
        <v>724</v>
      </c>
    </row>
    <row r="603" spans="1:2" x14ac:dyDescent="0.2">
      <c r="A603" s="6" t="s">
        <v>2788</v>
      </c>
      <c r="B603" s="6" t="s">
        <v>726</v>
      </c>
    </row>
    <row r="604" spans="1:2" x14ac:dyDescent="0.2">
      <c r="A604" s="6" t="s">
        <v>2789</v>
      </c>
      <c r="B604" s="6" t="s">
        <v>732</v>
      </c>
    </row>
    <row r="605" spans="1:2" x14ac:dyDescent="0.2">
      <c r="A605" s="6" t="s">
        <v>2790</v>
      </c>
      <c r="B605" s="6" t="s">
        <v>734</v>
      </c>
    </row>
    <row r="606" spans="1:2" x14ac:dyDescent="0.2">
      <c r="A606" s="6" t="s">
        <v>2791</v>
      </c>
      <c r="B606" s="6" t="s">
        <v>725</v>
      </c>
    </row>
    <row r="607" spans="1:2" x14ac:dyDescent="0.2">
      <c r="A607" s="6" t="s">
        <v>2792</v>
      </c>
      <c r="B607" s="6" t="s">
        <v>728</v>
      </c>
    </row>
    <row r="608" spans="1:2" x14ac:dyDescent="0.2">
      <c r="A608" s="6" t="s">
        <v>2793</v>
      </c>
      <c r="B608" s="6" t="s">
        <v>729</v>
      </c>
    </row>
    <row r="609" spans="1:2" x14ac:dyDescent="0.2">
      <c r="A609" s="6" t="s">
        <v>2794</v>
      </c>
      <c r="B609" s="6" t="s">
        <v>735</v>
      </c>
    </row>
    <row r="610" spans="1:2" x14ac:dyDescent="0.2">
      <c r="A610" s="6" t="s">
        <v>2795</v>
      </c>
      <c r="B610" s="6" t="s">
        <v>723</v>
      </c>
    </row>
    <row r="611" spans="1:2" x14ac:dyDescent="0.2">
      <c r="A611" s="6" t="s">
        <v>2796</v>
      </c>
      <c r="B611" s="6" t="s">
        <v>727</v>
      </c>
    </row>
    <row r="612" spans="1:2" x14ac:dyDescent="0.2">
      <c r="A612" s="6" t="s">
        <v>2797</v>
      </c>
      <c r="B612" s="6" t="s">
        <v>731</v>
      </c>
    </row>
    <row r="613" spans="1:2" x14ac:dyDescent="0.2">
      <c r="A613" s="6" t="s">
        <v>2798</v>
      </c>
      <c r="B613" s="6" t="s">
        <v>733</v>
      </c>
    </row>
    <row r="614" spans="1:2" x14ac:dyDescent="0.2">
      <c r="A614" s="6" t="s">
        <v>2799</v>
      </c>
      <c r="B614" s="6" t="s">
        <v>739</v>
      </c>
    </row>
    <row r="615" spans="1:2" x14ac:dyDescent="0.2">
      <c r="A615" s="6" t="s">
        <v>2800</v>
      </c>
      <c r="B615" s="6" t="s">
        <v>741</v>
      </c>
    </row>
    <row r="616" spans="1:2" x14ac:dyDescent="0.2">
      <c r="A616" s="6" t="s">
        <v>2801</v>
      </c>
      <c r="B616" s="6" t="s">
        <v>745</v>
      </c>
    </row>
    <row r="617" spans="1:2" x14ac:dyDescent="0.2">
      <c r="A617" s="6" t="s">
        <v>2802</v>
      </c>
      <c r="B617" s="6" t="s">
        <v>748</v>
      </c>
    </row>
    <row r="618" spans="1:2" x14ac:dyDescent="0.2">
      <c r="A618" s="6" t="s">
        <v>2803</v>
      </c>
      <c r="B618" s="6" t="s">
        <v>738</v>
      </c>
    </row>
    <row r="619" spans="1:2" x14ac:dyDescent="0.2">
      <c r="A619" s="6" t="s">
        <v>2804</v>
      </c>
      <c r="B619" s="6" t="s">
        <v>740</v>
      </c>
    </row>
    <row r="620" spans="1:2" x14ac:dyDescent="0.2">
      <c r="A620" s="6" t="s">
        <v>2805</v>
      </c>
      <c r="B620" s="6" t="s">
        <v>743</v>
      </c>
    </row>
    <row r="621" spans="1:2" x14ac:dyDescent="0.2">
      <c r="A621" s="6" t="s">
        <v>2806</v>
      </c>
      <c r="B621" s="6" t="s">
        <v>746</v>
      </c>
    </row>
    <row r="622" spans="1:2" x14ac:dyDescent="0.2">
      <c r="A622" s="6" t="s">
        <v>2807</v>
      </c>
      <c r="B622" s="6" t="s">
        <v>737</v>
      </c>
    </row>
    <row r="623" spans="1:2" x14ac:dyDescent="0.2">
      <c r="A623" s="6" t="s">
        <v>2808</v>
      </c>
      <c r="B623" s="6" t="s">
        <v>742</v>
      </c>
    </row>
    <row r="624" spans="1:2" x14ac:dyDescent="0.2">
      <c r="A624" s="6" t="s">
        <v>2809</v>
      </c>
      <c r="B624" s="6" t="s">
        <v>744</v>
      </c>
    </row>
    <row r="625" spans="1:2" x14ac:dyDescent="0.2">
      <c r="A625" s="6" t="s">
        <v>2810</v>
      </c>
      <c r="B625" s="6" t="s">
        <v>747</v>
      </c>
    </row>
    <row r="626" spans="1:2" x14ac:dyDescent="0.2">
      <c r="A626" s="6" t="s">
        <v>2811</v>
      </c>
      <c r="B626" s="6" t="s">
        <v>752</v>
      </c>
    </row>
    <row r="627" spans="1:2" x14ac:dyDescent="0.2">
      <c r="A627" s="6" t="s">
        <v>2812</v>
      </c>
      <c r="B627" s="6" t="s">
        <v>755</v>
      </c>
    </row>
    <row r="628" spans="1:2" x14ac:dyDescent="0.2">
      <c r="A628" s="6" t="s">
        <v>2813</v>
      </c>
      <c r="B628" s="6" t="s">
        <v>757</v>
      </c>
    </row>
    <row r="629" spans="1:2" x14ac:dyDescent="0.2">
      <c r="A629" s="6" t="s">
        <v>2814</v>
      </c>
      <c r="B629" s="6" t="s">
        <v>760</v>
      </c>
    </row>
    <row r="630" spans="1:2" x14ac:dyDescent="0.2">
      <c r="A630" s="6" t="s">
        <v>2815</v>
      </c>
      <c r="B630" s="6" t="s">
        <v>751</v>
      </c>
    </row>
    <row r="631" spans="1:2" x14ac:dyDescent="0.2">
      <c r="A631" s="6" t="s">
        <v>2816</v>
      </c>
      <c r="B631" s="6" t="s">
        <v>754</v>
      </c>
    </row>
    <row r="632" spans="1:2" x14ac:dyDescent="0.2">
      <c r="A632" s="6" t="s">
        <v>2817</v>
      </c>
      <c r="B632" s="6" t="s">
        <v>756</v>
      </c>
    </row>
    <row r="633" spans="1:2" x14ac:dyDescent="0.2">
      <c r="A633" s="6" t="s">
        <v>2818</v>
      </c>
      <c r="B633" s="6" t="s">
        <v>761</v>
      </c>
    </row>
    <row r="634" spans="1:2" x14ac:dyDescent="0.2">
      <c r="A634" s="6" t="s">
        <v>2819</v>
      </c>
      <c r="B634" s="6" t="s">
        <v>750</v>
      </c>
    </row>
    <row r="635" spans="1:2" x14ac:dyDescent="0.2">
      <c r="A635" s="6" t="s">
        <v>2820</v>
      </c>
      <c r="B635" s="6" t="s">
        <v>753</v>
      </c>
    </row>
    <row r="636" spans="1:2" x14ac:dyDescent="0.2">
      <c r="A636" s="6" t="s">
        <v>2821</v>
      </c>
      <c r="B636" s="6" t="s">
        <v>758</v>
      </c>
    </row>
    <row r="637" spans="1:2" x14ac:dyDescent="0.2">
      <c r="A637" s="6" t="s">
        <v>2822</v>
      </c>
      <c r="B637" s="6" t="s">
        <v>759</v>
      </c>
    </row>
    <row r="638" spans="1:2" x14ac:dyDescent="0.2">
      <c r="A638" s="6" t="s">
        <v>2823</v>
      </c>
      <c r="B638" s="6" t="s">
        <v>765</v>
      </c>
    </row>
    <row r="639" spans="1:2" x14ac:dyDescent="0.2">
      <c r="A639" s="6" t="s">
        <v>2824</v>
      </c>
      <c r="B639" s="6" t="s">
        <v>767</v>
      </c>
    </row>
    <row r="640" spans="1:2" x14ac:dyDescent="0.2">
      <c r="A640" s="6" t="s">
        <v>2825</v>
      </c>
      <c r="B640" s="6" t="s">
        <v>769</v>
      </c>
    </row>
    <row r="641" spans="1:2" x14ac:dyDescent="0.2">
      <c r="A641" s="6" t="s">
        <v>2826</v>
      </c>
      <c r="B641" s="6" t="s">
        <v>774</v>
      </c>
    </row>
    <row r="642" spans="1:2" x14ac:dyDescent="0.2">
      <c r="A642" s="6" t="s">
        <v>2827</v>
      </c>
      <c r="B642" s="6" t="s">
        <v>764</v>
      </c>
    </row>
    <row r="643" spans="1:2" x14ac:dyDescent="0.2">
      <c r="A643" s="6" t="s">
        <v>2828</v>
      </c>
      <c r="B643" s="6" t="s">
        <v>768</v>
      </c>
    </row>
    <row r="644" spans="1:2" x14ac:dyDescent="0.2">
      <c r="A644" s="6" t="s">
        <v>2829</v>
      </c>
      <c r="B644" s="6" t="s">
        <v>770</v>
      </c>
    </row>
    <row r="645" spans="1:2" x14ac:dyDescent="0.2">
      <c r="A645" s="6" t="s">
        <v>2830</v>
      </c>
      <c r="B645" s="6" t="s">
        <v>772</v>
      </c>
    </row>
    <row r="646" spans="1:2" x14ac:dyDescent="0.2">
      <c r="A646" s="6" t="s">
        <v>2831</v>
      </c>
      <c r="B646" s="6" t="s">
        <v>763</v>
      </c>
    </row>
    <row r="647" spans="1:2" x14ac:dyDescent="0.2">
      <c r="A647" s="6" t="s">
        <v>2832</v>
      </c>
      <c r="B647" s="6" t="s">
        <v>766</v>
      </c>
    </row>
    <row r="648" spans="1:2" x14ac:dyDescent="0.2">
      <c r="A648" s="6" t="s">
        <v>2833</v>
      </c>
      <c r="B648" s="6" t="s">
        <v>771</v>
      </c>
    </row>
    <row r="649" spans="1:2" x14ac:dyDescent="0.2">
      <c r="A649" s="6" t="s">
        <v>2834</v>
      </c>
      <c r="B649" s="6" t="s">
        <v>773</v>
      </c>
    </row>
    <row r="650" spans="1:2" x14ac:dyDescent="0.2">
      <c r="A650" s="6" t="s">
        <v>2157</v>
      </c>
      <c r="B650" s="6" t="s">
        <v>778</v>
      </c>
    </row>
    <row r="651" spans="1:2" x14ac:dyDescent="0.2">
      <c r="A651" s="6" t="s">
        <v>2195</v>
      </c>
      <c r="B651" s="6" t="s">
        <v>780</v>
      </c>
    </row>
    <row r="652" spans="1:2" x14ac:dyDescent="0.2">
      <c r="A652" s="6" t="s">
        <v>2200</v>
      </c>
      <c r="B652" s="6" t="s">
        <v>783</v>
      </c>
    </row>
    <row r="653" spans="1:2" x14ac:dyDescent="0.2">
      <c r="A653" s="6" t="s">
        <v>2835</v>
      </c>
      <c r="B653" s="6" t="s">
        <v>785</v>
      </c>
    </row>
    <row r="654" spans="1:2" x14ac:dyDescent="0.2">
      <c r="A654" s="6" t="s">
        <v>2197</v>
      </c>
      <c r="B654" s="6" t="s">
        <v>776</v>
      </c>
    </row>
    <row r="655" spans="1:2" x14ac:dyDescent="0.2">
      <c r="A655" s="6" t="s">
        <v>2181</v>
      </c>
      <c r="B655" s="6" t="s">
        <v>779</v>
      </c>
    </row>
    <row r="656" spans="1:2" x14ac:dyDescent="0.2">
      <c r="A656" s="6" t="s">
        <v>2140</v>
      </c>
      <c r="B656" s="6" t="s">
        <v>784</v>
      </c>
    </row>
    <row r="657" spans="1:2" x14ac:dyDescent="0.2">
      <c r="A657" s="6" t="s">
        <v>2836</v>
      </c>
      <c r="B657" s="6" t="s">
        <v>786</v>
      </c>
    </row>
    <row r="658" spans="1:2" x14ac:dyDescent="0.2">
      <c r="A658" s="6" t="s">
        <v>2156</v>
      </c>
      <c r="B658" s="6" t="s">
        <v>777</v>
      </c>
    </row>
    <row r="659" spans="1:2" x14ac:dyDescent="0.2">
      <c r="A659" s="6" t="s">
        <v>2198</v>
      </c>
      <c r="B659" s="6" t="s">
        <v>781</v>
      </c>
    </row>
    <row r="660" spans="1:2" x14ac:dyDescent="0.2">
      <c r="A660" s="6" t="s">
        <v>2199</v>
      </c>
      <c r="B660" s="6" t="s">
        <v>782</v>
      </c>
    </row>
    <row r="661" spans="1:2" x14ac:dyDescent="0.2">
      <c r="A661" s="6" t="s">
        <v>2837</v>
      </c>
      <c r="B661" s="6" t="s">
        <v>787</v>
      </c>
    </row>
    <row r="662" spans="1:2" x14ac:dyDescent="0.2">
      <c r="A662" s="6" t="s">
        <v>2838</v>
      </c>
      <c r="B662" s="6" t="s">
        <v>790</v>
      </c>
    </row>
    <row r="663" spans="1:2" x14ac:dyDescent="0.2">
      <c r="A663" s="6" t="s">
        <v>2839</v>
      </c>
      <c r="B663" s="6" t="s">
        <v>792</v>
      </c>
    </row>
    <row r="664" spans="1:2" x14ac:dyDescent="0.2">
      <c r="A664" s="6" t="s">
        <v>2840</v>
      </c>
      <c r="B664" s="6" t="s">
        <v>795</v>
      </c>
    </row>
    <row r="665" spans="1:2" x14ac:dyDescent="0.2">
      <c r="A665" s="6" t="s">
        <v>2841</v>
      </c>
      <c r="B665" s="6" t="s">
        <v>798</v>
      </c>
    </row>
    <row r="666" spans="1:2" x14ac:dyDescent="0.2">
      <c r="A666" s="6" t="s">
        <v>2842</v>
      </c>
      <c r="B666" s="6" t="s">
        <v>789</v>
      </c>
    </row>
    <row r="667" spans="1:2" x14ac:dyDescent="0.2">
      <c r="A667" s="6" t="s">
        <v>2843</v>
      </c>
      <c r="B667" s="6" t="s">
        <v>794</v>
      </c>
    </row>
    <row r="668" spans="1:2" x14ac:dyDescent="0.2">
      <c r="A668" s="6" t="s">
        <v>2844</v>
      </c>
      <c r="B668" s="6" t="s">
        <v>796</v>
      </c>
    </row>
    <row r="669" spans="1:2" x14ac:dyDescent="0.2">
      <c r="A669" s="6" t="s">
        <v>2845</v>
      </c>
      <c r="B669" s="6" t="s">
        <v>800</v>
      </c>
    </row>
    <row r="670" spans="1:2" x14ac:dyDescent="0.2">
      <c r="A670" s="6" t="s">
        <v>2846</v>
      </c>
      <c r="B670" s="6" t="s">
        <v>791</v>
      </c>
    </row>
    <row r="671" spans="1:2" x14ac:dyDescent="0.2">
      <c r="A671" s="6" t="s">
        <v>2847</v>
      </c>
      <c r="B671" s="6" t="s">
        <v>793</v>
      </c>
    </row>
    <row r="672" spans="1:2" x14ac:dyDescent="0.2">
      <c r="A672" s="6" t="s">
        <v>2848</v>
      </c>
      <c r="B672" s="6" t="s">
        <v>797</v>
      </c>
    </row>
    <row r="673" spans="1:2" x14ac:dyDescent="0.2">
      <c r="A673" s="6" t="s">
        <v>2849</v>
      </c>
      <c r="B673" s="6" t="s">
        <v>799</v>
      </c>
    </row>
    <row r="674" spans="1:2" x14ac:dyDescent="0.2">
      <c r="A674" s="6" t="s">
        <v>2850</v>
      </c>
      <c r="B674" s="6" t="s">
        <v>802</v>
      </c>
    </row>
    <row r="675" spans="1:2" x14ac:dyDescent="0.2">
      <c r="A675" s="6" t="s">
        <v>2851</v>
      </c>
      <c r="B675" s="6" t="s">
        <v>806</v>
      </c>
    </row>
    <row r="676" spans="1:2" x14ac:dyDescent="0.2">
      <c r="A676" s="6" t="s">
        <v>2852</v>
      </c>
      <c r="B676" s="6" t="s">
        <v>808</v>
      </c>
    </row>
    <row r="677" spans="1:2" x14ac:dyDescent="0.2">
      <c r="A677" s="6" t="s">
        <v>2853</v>
      </c>
      <c r="B677" s="6" t="s">
        <v>812</v>
      </c>
    </row>
    <row r="678" spans="1:2" x14ac:dyDescent="0.2">
      <c r="A678" s="6" t="s">
        <v>2854</v>
      </c>
      <c r="B678" s="6" t="s">
        <v>804</v>
      </c>
    </row>
    <row r="679" spans="1:2" x14ac:dyDescent="0.2">
      <c r="A679" s="6" t="s">
        <v>2855</v>
      </c>
      <c r="B679" s="6" t="s">
        <v>807</v>
      </c>
    </row>
    <row r="680" spans="1:2" x14ac:dyDescent="0.2">
      <c r="A680" s="6" t="s">
        <v>2856</v>
      </c>
      <c r="B680" s="6" t="s">
        <v>809</v>
      </c>
    </row>
    <row r="681" spans="1:2" x14ac:dyDescent="0.2">
      <c r="A681" s="6" t="s">
        <v>2857</v>
      </c>
      <c r="B681" s="6" t="s">
        <v>811</v>
      </c>
    </row>
    <row r="682" spans="1:2" x14ac:dyDescent="0.2">
      <c r="A682" s="6" t="s">
        <v>2858</v>
      </c>
      <c r="B682" s="6" t="s">
        <v>803</v>
      </c>
    </row>
    <row r="683" spans="1:2" x14ac:dyDescent="0.2">
      <c r="A683" s="6" t="s">
        <v>2859</v>
      </c>
      <c r="B683" s="6" t="s">
        <v>805</v>
      </c>
    </row>
    <row r="684" spans="1:2" x14ac:dyDescent="0.2">
      <c r="A684" s="6" t="s">
        <v>2860</v>
      </c>
      <c r="B684" s="6" t="s">
        <v>810</v>
      </c>
    </row>
    <row r="685" spans="1:2" x14ac:dyDescent="0.2">
      <c r="A685" s="6" t="s">
        <v>2861</v>
      </c>
      <c r="B685" s="6" t="s">
        <v>813</v>
      </c>
    </row>
    <row r="686" spans="1:2" x14ac:dyDescent="0.2">
      <c r="A686" s="6" t="s">
        <v>2862</v>
      </c>
      <c r="B686" s="6" t="s">
        <v>817</v>
      </c>
    </row>
    <row r="687" spans="1:2" x14ac:dyDescent="0.2">
      <c r="A687" s="6" t="s">
        <v>2863</v>
      </c>
      <c r="B687" s="6" t="s">
        <v>820</v>
      </c>
    </row>
    <row r="688" spans="1:2" x14ac:dyDescent="0.2">
      <c r="A688" s="6" t="s">
        <v>2864</v>
      </c>
      <c r="B688" s="6" t="s">
        <v>822</v>
      </c>
    </row>
    <row r="689" spans="1:2" x14ac:dyDescent="0.2">
      <c r="A689" s="6" t="s">
        <v>2865</v>
      </c>
      <c r="B689" s="6" t="s">
        <v>826</v>
      </c>
    </row>
    <row r="690" spans="1:2" x14ac:dyDescent="0.2">
      <c r="A690" s="6" t="s">
        <v>2866</v>
      </c>
      <c r="B690" s="6" t="s">
        <v>815</v>
      </c>
    </row>
    <row r="691" spans="1:2" x14ac:dyDescent="0.2">
      <c r="A691" s="6" t="s">
        <v>2867</v>
      </c>
      <c r="B691" s="6" t="s">
        <v>818</v>
      </c>
    </row>
    <row r="692" spans="1:2" x14ac:dyDescent="0.2">
      <c r="A692" s="6" t="s">
        <v>2868</v>
      </c>
      <c r="B692" s="6" t="s">
        <v>821</v>
      </c>
    </row>
    <row r="693" spans="1:2" x14ac:dyDescent="0.2">
      <c r="A693" s="6" t="s">
        <v>2869</v>
      </c>
      <c r="B693" s="6" t="s">
        <v>825</v>
      </c>
    </row>
    <row r="694" spans="1:2" x14ac:dyDescent="0.2">
      <c r="A694" s="6" t="s">
        <v>2870</v>
      </c>
      <c r="B694" s="6" t="s">
        <v>816</v>
      </c>
    </row>
    <row r="695" spans="1:2" x14ac:dyDescent="0.2">
      <c r="A695" s="6" t="s">
        <v>2871</v>
      </c>
      <c r="B695" s="6" t="s">
        <v>819</v>
      </c>
    </row>
    <row r="696" spans="1:2" x14ac:dyDescent="0.2">
      <c r="A696" s="6" t="s">
        <v>2872</v>
      </c>
      <c r="B696" s="6" t="s">
        <v>823</v>
      </c>
    </row>
    <row r="697" spans="1:2" x14ac:dyDescent="0.2">
      <c r="A697" s="6" t="s">
        <v>2873</v>
      </c>
      <c r="B697" s="6" t="s">
        <v>824</v>
      </c>
    </row>
    <row r="698" spans="1:2" x14ac:dyDescent="0.2">
      <c r="A698" s="6" t="s">
        <v>2874</v>
      </c>
      <c r="B698" s="6" t="s">
        <v>828</v>
      </c>
    </row>
    <row r="699" spans="1:2" x14ac:dyDescent="0.2">
      <c r="A699" s="6" t="s">
        <v>2875</v>
      </c>
      <c r="B699" s="6" t="s">
        <v>833</v>
      </c>
    </row>
    <row r="700" spans="1:2" x14ac:dyDescent="0.2">
      <c r="A700" s="6" t="s">
        <v>2876</v>
      </c>
      <c r="B700" s="6" t="s">
        <v>835</v>
      </c>
    </row>
    <row r="701" spans="1:2" x14ac:dyDescent="0.2">
      <c r="A701" s="6" t="s">
        <v>2877</v>
      </c>
      <c r="B701" s="6" t="s">
        <v>839</v>
      </c>
    </row>
    <row r="702" spans="1:2" x14ac:dyDescent="0.2">
      <c r="A702" s="6" t="s">
        <v>2878</v>
      </c>
      <c r="B702" s="6" t="s">
        <v>829</v>
      </c>
    </row>
    <row r="703" spans="1:2" x14ac:dyDescent="0.2">
      <c r="A703" s="6" t="s">
        <v>2879</v>
      </c>
      <c r="B703" s="6" t="s">
        <v>831</v>
      </c>
    </row>
    <row r="704" spans="1:2" x14ac:dyDescent="0.2">
      <c r="A704" s="6" t="s">
        <v>2880</v>
      </c>
      <c r="B704" s="6" t="s">
        <v>836</v>
      </c>
    </row>
    <row r="705" spans="1:2" x14ac:dyDescent="0.2">
      <c r="A705" s="6" t="s">
        <v>2881</v>
      </c>
      <c r="B705" s="6" t="s">
        <v>838</v>
      </c>
    </row>
    <row r="706" spans="1:2" x14ac:dyDescent="0.2">
      <c r="A706" s="6" t="s">
        <v>2882</v>
      </c>
      <c r="B706" s="6" t="s">
        <v>830</v>
      </c>
    </row>
    <row r="707" spans="1:2" x14ac:dyDescent="0.2">
      <c r="A707" s="6" t="s">
        <v>2883</v>
      </c>
      <c r="B707" s="6" t="s">
        <v>832</v>
      </c>
    </row>
    <row r="708" spans="1:2" x14ac:dyDescent="0.2">
      <c r="A708" s="6" t="s">
        <v>2884</v>
      </c>
      <c r="B708" s="6" t="s">
        <v>834</v>
      </c>
    </row>
    <row r="709" spans="1:2" x14ac:dyDescent="0.2">
      <c r="A709" s="6" t="s">
        <v>2885</v>
      </c>
      <c r="B709" s="6" t="s">
        <v>837</v>
      </c>
    </row>
    <row r="710" spans="1:2" x14ac:dyDescent="0.2">
      <c r="A710" s="6" t="s">
        <v>2886</v>
      </c>
      <c r="B710" s="6" t="s">
        <v>842</v>
      </c>
    </row>
    <row r="711" spans="1:2" x14ac:dyDescent="0.2">
      <c r="A711" s="6" t="s">
        <v>2887</v>
      </c>
      <c r="B711" s="6" t="s">
        <v>846</v>
      </c>
    </row>
    <row r="712" spans="1:2" x14ac:dyDescent="0.2">
      <c r="A712" s="6" t="s">
        <v>2888</v>
      </c>
      <c r="B712" s="6" t="s">
        <v>847</v>
      </c>
    </row>
    <row r="713" spans="1:2" x14ac:dyDescent="0.2">
      <c r="A713" s="6" t="s">
        <v>2889</v>
      </c>
      <c r="B713" s="6" t="s">
        <v>852</v>
      </c>
    </row>
    <row r="714" spans="1:2" x14ac:dyDescent="0.2">
      <c r="A714" s="6" t="s">
        <v>2890</v>
      </c>
      <c r="B714" s="6" t="s">
        <v>841</v>
      </c>
    </row>
    <row r="715" spans="1:2" x14ac:dyDescent="0.2">
      <c r="A715" s="6" t="s">
        <v>2891</v>
      </c>
      <c r="B715" s="6" t="s">
        <v>844</v>
      </c>
    </row>
    <row r="716" spans="1:2" x14ac:dyDescent="0.2">
      <c r="A716" s="6" t="s">
        <v>2892</v>
      </c>
      <c r="B716" s="6" t="s">
        <v>849</v>
      </c>
    </row>
    <row r="717" spans="1:2" x14ac:dyDescent="0.2">
      <c r="A717" s="6" t="s">
        <v>2893</v>
      </c>
      <c r="B717" s="6" t="s">
        <v>850</v>
      </c>
    </row>
    <row r="718" spans="1:2" x14ac:dyDescent="0.2">
      <c r="A718" s="6" t="s">
        <v>2894</v>
      </c>
      <c r="B718" s="6" t="s">
        <v>843</v>
      </c>
    </row>
    <row r="719" spans="1:2" x14ac:dyDescent="0.2">
      <c r="A719" s="6" t="s">
        <v>2895</v>
      </c>
      <c r="B719" s="6" t="s">
        <v>845</v>
      </c>
    </row>
    <row r="720" spans="1:2" x14ac:dyDescent="0.2">
      <c r="A720" s="6" t="s">
        <v>2896</v>
      </c>
      <c r="B720" s="6" t="s">
        <v>848</v>
      </c>
    </row>
    <row r="721" spans="1:2" x14ac:dyDescent="0.2">
      <c r="A721" s="6" t="s">
        <v>2897</v>
      </c>
      <c r="B721" s="6" t="s">
        <v>851</v>
      </c>
    </row>
    <row r="722" spans="1:2" x14ac:dyDescent="0.2">
      <c r="A722" s="18" t="s">
        <v>2898</v>
      </c>
      <c r="B722" s="6" t="s">
        <v>855</v>
      </c>
    </row>
    <row r="723" spans="1:2" x14ac:dyDescent="0.2">
      <c r="A723" s="6" t="s">
        <v>2899</v>
      </c>
      <c r="B723" s="6" t="s">
        <v>858</v>
      </c>
    </row>
    <row r="724" spans="1:2" x14ac:dyDescent="0.2">
      <c r="A724" s="6" t="s">
        <v>2900</v>
      </c>
      <c r="B724" s="6" t="s">
        <v>861</v>
      </c>
    </row>
    <row r="725" spans="1:2" x14ac:dyDescent="0.2">
      <c r="A725" s="6" t="s">
        <v>2901</v>
      </c>
      <c r="B725" s="6" t="s">
        <v>865</v>
      </c>
    </row>
    <row r="726" spans="1:2" x14ac:dyDescent="0.2">
      <c r="A726" s="6" t="s">
        <v>2902</v>
      </c>
      <c r="B726" s="6" t="s">
        <v>856</v>
      </c>
    </row>
    <row r="727" spans="1:2" x14ac:dyDescent="0.2">
      <c r="A727" s="6" t="s">
        <v>2903</v>
      </c>
      <c r="B727" s="6" t="s">
        <v>857</v>
      </c>
    </row>
    <row r="728" spans="1:2" x14ac:dyDescent="0.2">
      <c r="A728" s="6" t="s">
        <v>2904</v>
      </c>
      <c r="B728" s="6" t="s">
        <v>862</v>
      </c>
    </row>
    <row r="729" spans="1:2" x14ac:dyDescent="0.2">
      <c r="A729" s="6" t="s">
        <v>2905</v>
      </c>
      <c r="B729" s="6" t="s">
        <v>864</v>
      </c>
    </row>
    <row r="730" spans="1:2" x14ac:dyDescent="0.2">
      <c r="A730" s="6" t="s">
        <v>2906</v>
      </c>
      <c r="B730" s="6" t="s">
        <v>854</v>
      </c>
    </row>
    <row r="731" spans="1:2" x14ac:dyDescent="0.2">
      <c r="A731" s="6" t="s">
        <v>2907</v>
      </c>
      <c r="B731" s="6" t="s">
        <v>859</v>
      </c>
    </row>
    <row r="732" spans="1:2" x14ac:dyDescent="0.2">
      <c r="A732" s="6" t="s">
        <v>2908</v>
      </c>
      <c r="B732" s="6" t="s">
        <v>860</v>
      </c>
    </row>
    <row r="733" spans="1:2" x14ac:dyDescent="0.2">
      <c r="A733" s="6" t="s">
        <v>2909</v>
      </c>
      <c r="B733" s="6" t="s">
        <v>863</v>
      </c>
    </row>
    <row r="734" spans="1:2" x14ac:dyDescent="0.2">
      <c r="A734" s="6" t="s">
        <v>2910</v>
      </c>
      <c r="B734" s="6" t="s">
        <v>870</v>
      </c>
    </row>
    <row r="735" spans="1:2" x14ac:dyDescent="0.2">
      <c r="A735" s="6" t="s">
        <v>2911</v>
      </c>
      <c r="B735" s="6" t="s">
        <v>871</v>
      </c>
    </row>
    <row r="736" spans="1:2" x14ac:dyDescent="0.2">
      <c r="A736" s="6" t="s">
        <v>2912</v>
      </c>
      <c r="B736" s="6" t="s">
        <v>876</v>
      </c>
    </row>
    <row r="737" spans="1:2" x14ac:dyDescent="0.2">
      <c r="A737" s="6" t="s">
        <v>2913</v>
      </c>
      <c r="B737" s="6" t="s">
        <v>877</v>
      </c>
    </row>
    <row r="738" spans="1:2" x14ac:dyDescent="0.2">
      <c r="A738" s="6" t="s">
        <v>2914</v>
      </c>
      <c r="B738" s="6" t="s">
        <v>869</v>
      </c>
    </row>
    <row r="739" spans="1:2" x14ac:dyDescent="0.2">
      <c r="A739" s="6" t="s">
        <v>2915</v>
      </c>
      <c r="B739" s="6" t="s">
        <v>873</v>
      </c>
    </row>
    <row r="740" spans="1:2" x14ac:dyDescent="0.2">
      <c r="A740" s="6" t="s">
        <v>2916</v>
      </c>
      <c r="B740" s="6" t="s">
        <v>875</v>
      </c>
    </row>
    <row r="741" spans="1:2" x14ac:dyDescent="0.2">
      <c r="A741" s="6" t="s">
        <v>2917</v>
      </c>
      <c r="B741" s="6" t="s">
        <v>878</v>
      </c>
    </row>
    <row r="742" spans="1:2" x14ac:dyDescent="0.2">
      <c r="A742" s="6" t="s">
        <v>2918</v>
      </c>
      <c r="B742" s="6" t="s">
        <v>867</v>
      </c>
    </row>
    <row r="743" spans="1:2" x14ac:dyDescent="0.2">
      <c r="A743" s="6" t="s">
        <v>2919</v>
      </c>
      <c r="B743" s="6" t="s">
        <v>872</v>
      </c>
    </row>
    <row r="744" spans="1:2" x14ac:dyDescent="0.2">
      <c r="A744" s="6" t="s">
        <v>2920</v>
      </c>
      <c r="B744" s="6" t="s">
        <v>874</v>
      </c>
    </row>
    <row r="745" spans="1:2" x14ac:dyDescent="0.2">
      <c r="A745" s="6" t="s">
        <v>2921</v>
      </c>
      <c r="B745" s="6" t="s">
        <v>879</v>
      </c>
    </row>
    <row r="746" spans="1:2" x14ac:dyDescent="0.2">
      <c r="A746" s="6" t="s">
        <v>2922</v>
      </c>
      <c r="B746" s="6" t="s">
        <v>881</v>
      </c>
    </row>
    <row r="747" spans="1:2" x14ac:dyDescent="0.2">
      <c r="A747" s="6" t="s">
        <v>2923</v>
      </c>
      <c r="B747" s="6" t="s">
        <v>886</v>
      </c>
    </row>
    <row r="748" spans="1:2" x14ac:dyDescent="0.2">
      <c r="A748" s="6" t="s">
        <v>2924</v>
      </c>
      <c r="B748" s="6" t="s">
        <v>887</v>
      </c>
    </row>
    <row r="749" spans="1:2" x14ac:dyDescent="0.2">
      <c r="A749" s="6" t="s">
        <v>2925</v>
      </c>
      <c r="B749" s="6" t="s">
        <v>891</v>
      </c>
    </row>
    <row r="750" spans="1:2" x14ac:dyDescent="0.2">
      <c r="A750" s="6" t="s">
        <v>2926</v>
      </c>
      <c r="B750" s="6" t="s">
        <v>883</v>
      </c>
    </row>
    <row r="751" spans="1:2" x14ac:dyDescent="0.2">
      <c r="A751" s="6" t="s">
        <v>2927</v>
      </c>
      <c r="B751" s="6" t="s">
        <v>884</v>
      </c>
    </row>
    <row r="752" spans="1:2" x14ac:dyDescent="0.2">
      <c r="A752" s="6" t="s">
        <v>2928</v>
      </c>
      <c r="B752" s="6" t="s">
        <v>888</v>
      </c>
    </row>
    <row r="753" spans="1:2" x14ac:dyDescent="0.2">
      <c r="A753" s="6" t="s">
        <v>2929</v>
      </c>
      <c r="B753" s="6" t="s">
        <v>890</v>
      </c>
    </row>
    <row r="754" spans="1:2" x14ac:dyDescent="0.2">
      <c r="A754" s="6" t="s">
        <v>2930</v>
      </c>
      <c r="B754" s="6" t="s">
        <v>882</v>
      </c>
    </row>
    <row r="755" spans="1:2" x14ac:dyDescent="0.2">
      <c r="A755" s="6" t="s">
        <v>2931</v>
      </c>
      <c r="B755" s="6" t="s">
        <v>885</v>
      </c>
    </row>
    <row r="756" spans="1:2" x14ac:dyDescent="0.2">
      <c r="A756" s="6" t="s">
        <v>2932</v>
      </c>
      <c r="B756" s="6" t="s">
        <v>889</v>
      </c>
    </row>
    <row r="757" spans="1:2" x14ac:dyDescent="0.2">
      <c r="A757" s="6" t="s">
        <v>2933</v>
      </c>
      <c r="B757" s="6" t="s">
        <v>892</v>
      </c>
    </row>
    <row r="758" spans="1:2" x14ac:dyDescent="0.2">
      <c r="A758" s="6" t="s">
        <v>2151</v>
      </c>
      <c r="B758" s="6" t="s">
        <v>894</v>
      </c>
    </row>
    <row r="759" spans="1:2" x14ac:dyDescent="0.2">
      <c r="A759" s="6" t="s">
        <v>2186</v>
      </c>
      <c r="B759" s="6" t="s">
        <v>898</v>
      </c>
    </row>
    <row r="760" spans="1:2" x14ac:dyDescent="0.2">
      <c r="A760" s="6" t="s">
        <v>2206</v>
      </c>
      <c r="B760" s="6" t="s">
        <v>900</v>
      </c>
    </row>
    <row r="761" spans="1:2" x14ac:dyDescent="0.2">
      <c r="A761" s="6" t="s">
        <v>2934</v>
      </c>
      <c r="B761" s="6" t="s">
        <v>903</v>
      </c>
    </row>
    <row r="762" spans="1:2" x14ac:dyDescent="0.2">
      <c r="A762" s="6" t="s">
        <v>2168</v>
      </c>
      <c r="B762" s="6" t="s">
        <v>895</v>
      </c>
    </row>
    <row r="763" spans="1:2" x14ac:dyDescent="0.2">
      <c r="A763" s="6" t="s">
        <v>2193</v>
      </c>
      <c r="B763" s="6" t="s">
        <v>899</v>
      </c>
    </row>
    <row r="764" spans="1:2" x14ac:dyDescent="0.2">
      <c r="A764" s="6" t="s">
        <v>2148</v>
      </c>
      <c r="B764" s="6" t="s">
        <v>902</v>
      </c>
    </row>
    <row r="765" spans="1:2" x14ac:dyDescent="0.2">
      <c r="A765" s="6" t="s">
        <v>2935</v>
      </c>
      <c r="B765" s="6" t="s">
        <v>904</v>
      </c>
    </row>
    <row r="766" spans="1:2" x14ac:dyDescent="0.2">
      <c r="A766" s="6" t="s">
        <v>2170</v>
      </c>
      <c r="B766" s="6" t="s">
        <v>896</v>
      </c>
    </row>
    <row r="767" spans="1:2" x14ac:dyDescent="0.2">
      <c r="A767" s="6" t="s">
        <v>2185</v>
      </c>
      <c r="B767" s="6" t="s">
        <v>897</v>
      </c>
    </row>
    <row r="768" spans="1:2" x14ac:dyDescent="0.2">
      <c r="A768" s="6" t="s">
        <v>2141</v>
      </c>
      <c r="B768" s="6" t="s">
        <v>901</v>
      </c>
    </row>
    <row r="769" spans="1:2" x14ac:dyDescent="0.2">
      <c r="A769" s="6" t="s">
        <v>2936</v>
      </c>
      <c r="B769" s="6" t="s">
        <v>906</v>
      </c>
    </row>
    <row r="770" spans="1:2" x14ac:dyDescent="0.2">
      <c r="A770" s="6" t="s">
        <v>2937</v>
      </c>
      <c r="B770" s="6" t="s">
        <v>908</v>
      </c>
    </row>
    <row r="771" spans="1:2" x14ac:dyDescent="0.2">
      <c r="A771" s="6" t="s">
        <v>2938</v>
      </c>
      <c r="B771" s="6" t="s">
        <v>912</v>
      </c>
    </row>
    <row r="772" spans="1:2" x14ac:dyDescent="0.2">
      <c r="A772" s="6" t="s">
        <v>2939</v>
      </c>
      <c r="B772" s="6" t="s">
        <v>916</v>
      </c>
    </row>
    <row r="773" spans="1:2" x14ac:dyDescent="0.2">
      <c r="A773" s="6" t="s">
        <v>2940</v>
      </c>
      <c r="B773" s="6" t="s">
        <v>917</v>
      </c>
    </row>
    <row r="774" spans="1:2" x14ac:dyDescent="0.2">
      <c r="A774" s="6" t="s">
        <v>2941</v>
      </c>
      <c r="B774" s="6" t="s">
        <v>910</v>
      </c>
    </row>
    <row r="775" spans="1:2" x14ac:dyDescent="0.2">
      <c r="A775" s="6" t="s">
        <v>2942</v>
      </c>
      <c r="B775" s="6" t="s">
        <v>911</v>
      </c>
    </row>
    <row r="776" spans="1:2" x14ac:dyDescent="0.2">
      <c r="A776" s="6" t="s">
        <v>2943</v>
      </c>
      <c r="B776" s="6" t="s">
        <v>914</v>
      </c>
    </row>
    <row r="777" spans="1:2" x14ac:dyDescent="0.2">
      <c r="A777" s="6" t="s">
        <v>2944</v>
      </c>
      <c r="B777" s="6" t="s">
        <v>918</v>
      </c>
    </row>
    <row r="778" spans="1:2" x14ac:dyDescent="0.2">
      <c r="A778" s="6" t="s">
        <v>2945</v>
      </c>
      <c r="B778" s="6" t="s">
        <v>909</v>
      </c>
    </row>
    <row r="779" spans="1:2" x14ac:dyDescent="0.2">
      <c r="A779" s="6" t="s">
        <v>2946</v>
      </c>
      <c r="B779" s="6" t="s">
        <v>913</v>
      </c>
    </row>
    <row r="780" spans="1:2" x14ac:dyDescent="0.2">
      <c r="A780" s="6" t="s">
        <v>2947</v>
      </c>
      <c r="B780" s="6" t="s">
        <v>915</v>
      </c>
    </row>
    <row r="781" spans="1:2" x14ac:dyDescent="0.2">
      <c r="A781" s="6" t="s">
        <v>2948</v>
      </c>
      <c r="B781" s="6" t="s">
        <v>919</v>
      </c>
    </row>
    <row r="782" spans="1:2" x14ac:dyDescent="0.2">
      <c r="A782" s="6" t="s">
        <v>2949</v>
      </c>
      <c r="B782" s="6" t="s">
        <v>922</v>
      </c>
    </row>
    <row r="783" spans="1:2" x14ac:dyDescent="0.2">
      <c r="A783" s="6" t="s">
        <v>2950</v>
      </c>
      <c r="B783" s="6" t="s">
        <v>926</v>
      </c>
    </row>
    <row r="784" spans="1:2" x14ac:dyDescent="0.2">
      <c r="A784" s="6" t="s">
        <v>2951</v>
      </c>
      <c r="B784" s="6" t="s">
        <v>928</v>
      </c>
    </row>
    <row r="785" spans="1:2" x14ac:dyDescent="0.2">
      <c r="A785" s="6" t="s">
        <v>2952</v>
      </c>
      <c r="B785" s="6" t="s">
        <v>930</v>
      </c>
    </row>
    <row r="786" spans="1:2" x14ac:dyDescent="0.2">
      <c r="A786" s="6" t="s">
        <v>2953</v>
      </c>
      <c r="B786" s="6" t="s">
        <v>921</v>
      </c>
    </row>
    <row r="787" spans="1:2" x14ac:dyDescent="0.2">
      <c r="A787" s="6" t="s">
        <v>2954</v>
      </c>
      <c r="B787" s="6" t="s">
        <v>925</v>
      </c>
    </row>
    <row r="788" spans="1:2" x14ac:dyDescent="0.2">
      <c r="A788" s="6" t="s">
        <v>2955</v>
      </c>
      <c r="B788" s="6" t="s">
        <v>929</v>
      </c>
    </row>
    <row r="789" spans="1:2" x14ac:dyDescent="0.2">
      <c r="A789" s="6" t="s">
        <v>2956</v>
      </c>
      <c r="B789" s="6" t="s">
        <v>931</v>
      </c>
    </row>
    <row r="790" spans="1:2" x14ac:dyDescent="0.2">
      <c r="A790" s="6" t="s">
        <v>2957</v>
      </c>
      <c r="B790" s="6" t="s">
        <v>923</v>
      </c>
    </row>
    <row r="791" spans="1:2" x14ac:dyDescent="0.2">
      <c r="A791" s="6" t="s">
        <v>2958</v>
      </c>
      <c r="B791" s="6" t="s">
        <v>924</v>
      </c>
    </row>
    <row r="792" spans="1:2" x14ac:dyDescent="0.2">
      <c r="A792" s="6" t="s">
        <v>2959</v>
      </c>
      <c r="B792" s="6" t="s">
        <v>927</v>
      </c>
    </row>
    <row r="793" spans="1:2" x14ac:dyDescent="0.2">
      <c r="A793" s="6" t="s">
        <v>2960</v>
      </c>
      <c r="B793" s="6" t="s">
        <v>932</v>
      </c>
    </row>
    <row r="794" spans="1:2" x14ac:dyDescent="0.2">
      <c r="A794" s="6" t="s">
        <v>2961</v>
      </c>
      <c r="B794" s="6" t="s">
        <v>934</v>
      </c>
    </row>
    <row r="795" spans="1:2" x14ac:dyDescent="0.2">
      <c r="A795" s="6" t="s">
        <v>2962</v>
      </c>
      <c r="B795" s="6" t="s">
        <v>939</v>
      </c>
    </row>
    <row r="796" spans="1:2" x14ac:dyDescent="0.2">
      <c r="A796" s="6" t="s">
        <v>2963</v>
      </c>
      <c r="B796" s="6" t="s">
        <v>942</v>
      </c>
    </row>
    <row r="797" spans="1:2" x14ac:dyDescent="0.2">
      <c r="A797" s="6" t="s">
        <v>2964</v>
      </c>
      <c r="B797" s="6" t="s">
        <v>945</v>
      </c>
    </row>
    <row r="798" spans="1:2" x14ac:dyDescent="0.2">
      <c r="A798" s="6" t="s">
        <v>2965</v>
      </c>
      <c r="B798" s="6" t="s">
        <v>935</v>
      </c>
    </row>
    <row r="799" spans="1:2" x14ac:dyDescent="0.2">
      <c r="A799" s="6" t="s">
        <v>2966</v>
      </c>
      <c r="B799" s="6" t="s">
        <v>938</v>
      </c>
    </row>
    <row r="800" spans="1:2" x14ac:dyDescent="0.2">
      <c r="A800" s="6" t="s">
        <v>2967</v>
      </c>
      <c r="B800" s="6" t="s">
        <v>941</v>
      </c>
    </row>
    <row r="801" spans="1:2" x14ac:dyDescent="0.2">
      <c r="A801" s="6" t="s">
        <v>2968</v>
      </c>
      <c r="B801" s="6" t="s">
        <v>943</v>
      </c>
    </row>
    <row r="802" spans="1:2" x14ac:dyDescent="0.2">
      <c r="A802" s="6" t="s">
        <v>2969</v>
      </c>
      <c r="B802" s="6" t="s">
        <v>936</v>
      </c>
    </row>
    <row r="803" spans="1:2" x14ac:dyDescent="0.2">
      <c r="A803" s="6" t="s">
        <v>2970</v>
      </c>
      <c r="B803" s="6" t="s">
        <v>937</v>
      </c>
    </row>
    <row r="804" spans="1:2" x14ac:dyDescent="0.2">
      <c r="A804" s="6" t="s">
        <v>2971</v>
      </c>
      <c r="B804" s="6" t="s">
        <v>940</v>
      </c>
    </row>
    <row r="805" spans="1:2" x14ac:dyDescent="0.2">
      <c r="A805" s="6" t="s">
        <v>2972</v>
      </c>
      <c r="B805" s="6" t="s">
        <v>944</v>
      </c>
    </row>
    <row r="806" spans="1:2" x14ac:dyDescent="0.2">
      <c r="A806" s="6" t="s">
        <v>2973</v>
      </c>
      <c r="B806" s="6" t="s">
        <v>947</v>
      </c>
    </row>
    <row r="807" spans="1:2" x14ac:dyDescent="0.2">
      <c r="A807" s="6" t="s">
        <v>2974</v>
      </c>
      <c r="B807" s="6" t="s">
        <v>950</v>
      </c>
    </row>
    <row r="808" spans="1:2" x14ac:dyDescent="0.2">
      <c r="A808" s="6" t="s">
        <v>2975</v>
      </c>
      <c r="B808" s="6" t="s">
        <v>955</v>
      </c>
    </row>
    <row r="809" spans="1:2" x14ac:dyDescent="0.2">
      <c r="A809" s="6" t="s">
        <v>2976</v>
      </c>
      <c r="B809" s="6" t="s">
        <v>956</v>
      </c>
    </row>
    <row r="810" spans="1:2" x14ac:dyDescent="0.2">
      <c r="A810" s="6" t="s">
        <v>2977</v>
      </c>
      <c r="B810" s="6" t="s">
        <v>949</v>
      </c>
    </row>
    <row r="811" spans="1:2" x14ac:dyDescent="0.2">
      <c r="A811" s="6" t="s">
        <v>2978</v>
      </c>
      <c r="B811" s="6" t="s">
        <v>951</v>
      </c>
    </row>
    <row r="812" spans="1:2" x14ac:dyDescent="0.2">
      <c r="A812" s="6" t="s">
        <v>2979</v>
      </c>
      <c r="B812" s="6" t="s">
        <v>954</v>
      </c>
    </row>
    <row r="813" spans="1:2" x14ac:dyDescent="0.2">
      <c r="A813" s="6" t="s">
        <v>2980</v>
      </c>
      <c r="B813" s="6" t="s">
        <v>957</v>
      </c>
    </row>
    <row r="814" spans="1:2" x14ac:dyDescent="0.2">
      <c r="A814" s="6" t="s">
        <v>2981</v>
      </c>
      <c r="B814" s="6" t="s">
        <v>948</v>
      </c>
    </row>
    <row r="815" spans="1:2" x14ac:dyDescent="0.2">
      <c r="A815" s="6" t="s">
        <v>2982</v>
      </c>
      <c r="B815" s="6" t="s">
        <v>952</v>
      </c>
    </row>
    <row r="816" spans="1:2" x14ac:dyDescent="0.2">
      <c r="A816" s="6" t="s">
        <v>2983</v>
      </c>
      <c r="B816" s="6" t="s">
        <v>953</v>
      </c>
    </row>
    <row r="817" spans="1:2" x14ac:dyDescent="0.2">
      <c r="A817" s="6" t="s">
        <v>2984</v>
      </c>
      <c r="B817" s="6" t="s">
        <v>958</v>
      </c>
    </row>
    <row r="818" spans="1:2" x14ac:dyDescent="0.2">
      <c r="A818" s="6" t="s">
        <v>2985</v>
      </c>
      <c r="B818" s="6" t="s">
        <v>961</v>
      </c>
    </row>
    <row r="819" spans="1:2" x14ac:dyDescent="0.2">
      <c r="A819" s="6" t="s">
        <v>2986</v>
      </c>
      <c r="B819" s="6" t="s">
        <v>965</v>
      </c>
    </row>
    <row r="820" spans="1:2" x14ac:dyDescent="0.2">
      <c r="A820" s="6" t="s">
        <v>2987</v>
      </c>
      <c r="B820" s="6" t="s">
        <v>967</v>
      </c>
    </row>
    <row r="821" spans="1:2" x14ac:dyDescent="0.2">
      <c r="A821" s="6" t="s">
        <v>2988</v>
      </c>
      <c r="B821" s="6" t="s">
        <v>971</v>
      </c>
    </row>
    <row r="822" spans="1:2" x14ac:dyDescent="0.2">
      <c r="A822" s="6" t="s">
        <v>2989</v>
      </c>
      <c r="B822" s="6" t="s">
        <v>962</v>
      </c>
    </row>
    <row r="823" spans="1:2" x14ac:dyDescent="0.2">
      <c r="A823" s="6" t="s">
        <v>2990</v>
      </c>
      <c r="B823" s="6" t="s">
        <v>963</v>
      </c>
    </row>
    <row r="824" spans="1:2" x14ac:dyDescent="0.2">
      <c r="A824" s="6" t="s">
        <v>2991</v>
      </c>
      <c r="B824" s="6" t="s">
        <v>966</v>
      </c>
    </row>
    <row r="825" spans="1:2" x14ac:dyDescent="0.2">
      <c r="A825" s="6" t="s">
        <v>2992</v>
      </c>
      <c r="B825" s="6" t="s">
        <v>969</v>
      </c>
    </row>
    <row r="826" spans="1:2" x14ac:dyDescent="0.2">
      <c r="A826" s="6" t="s">
        <v>2993</v>
      </c>
      <c r="B826" s="6" t="s">
        <v>960</v>
      </c>
    </row>
    <row r="827" spans="1:2" x14ac:dyDescent="0.2">
      <c r="A827" s="6" t="s">
        <v>2994</v>
      </c>
      <c r="B827" s="6" t="s">
        <v>964</v>
      </c>
    </row>
    <row r="828" spans="1:2" x14ac:dyDescent="0.2">
      <c r="A828" s="6" t="s">
        <v>2995</v>
      </c>
      <c r="B828" s="6" t="s">
        <v>968</v>
      </c>
    </row>
    <row r="829" spans="1:2" x14ac:dyDescent="0.2">
      <c r="A829" s="6" t="s">
        <v>2996</v>
      </c>
      <c r="B829" s="6" t="s">
        <v>970</v>
      </c>
    </row>
    <row r="830" spans="1:2" x14ac:dyDescent="0.2">
      <c r="A830" s="6" t="s">
        <v>2997</v>
      </c>
      <c r="B830" s="6" t="s">
        <v>975</v>
      </c>
    </row>
    <row r="831" spans="1:2" x14ac:dyDescent="0.2">
      <c r="A831" s="6" t="s">
        <v>2998</v>
      </c>
      <c r="B831" s="6" t="s">
        <v>976</v>
      </c>
    </row>
    <row r="832" spans="1:2" x14ac:dyDescent="0.2">
      <c r="A832" s="6" t="s">
        <v>2999</v>
      </c>
      <c r="B832" s="6" t="s">
        <v>980</v>
      </c>
    </row>
    <row r="833" spans="1:2" x14ac:dyDescent="0.2">
      <c r="A833" s="6" t="s">
        <v>3000</v>
      </c>
      <c r="B833" s="6" t="s">
        <v>984</v>
      </c>
    </row>
    <row r="834" spans="1:2" x14ac:dyDescent="0.2">
      <c r="A834" s="6" t="s">
        <v>3001</v>
      </c>
      <c r="B834" s="6" t="s">
        <v>973</v>
      </c>
    </row>
    <row r="835" spans="1:2" x14ac:dyDescent="0.2">
      <c r="A835" s="6" t="s">
        <v>3002</v>
      </c>
      <c r="B835" s="6" t="s">
        <v>977</v>
      </c>
    </row>
    <row r="836" spans="1:2" x14ac:dyDescent="0.2">
      <c r="A836" s="6" t="s">
        <v>3003</v>
      </c>
      <c r="B836" s="6" t="s">
        <v>981</v>
      </c>
    </row>
    <row r="837" spans="1:2" x14ac:dyDescent="0.2">
      <c r="A837" s="6" t="s">
        <v>3004</v>
      </c>
      <c r="B837" s="6" t="s">
        <v>982</v>
      </c>
    </row>
    <row r="838" spans="1:2" x14ac:dyDescent="0.2">
      <c r="A838" s="6" t="s">
        <v>3005</v>
      </c>
      <c r="B838" s="6" t="s">
        <v>974</v>
      </c>
    </row>
    <row r="839" spans="1:2" x14ac:dyDescent="0.2">
      <c r="A839" s="6" t="s">
        <v>3006</v>
      </c>
      <c r="B839" s="6" t="s">
        <v>978</v>
      </c>
    </row>
    <row r="840" spans="1:2" x14ac:dyDescent="0.2">
      <c r="A840" s="6" t="s">
        <v>3007</v>
      </c>
      <c r="B840" s="6" t="s">
        <v>979</v>
      </c>
    </row>
    <row r="841" spans="1:2" x14ac:dyDescent="0.2">
      <c r="A841" s="6" t="s">
        <v>3008</v>
      </c>
      <c r="B841" s="6" t="s">
        <v>983</v>
      </c>
    </row>
    <row r="842" spans="1:2" x14ac:dyDescent="0.2">
      <c r="A842" s="6" t="s">
        <v>2167</v>
      </c>
      <c r="B842" s="6" t="s">
        <v>987</v>
      </c>
    </row>
    <row r="843" spans="1:2" x14ac:dyDescent="0.2">
      <c r="A843" s="6" t="s">
        <v>2187</v>
      </c>
      <c r="B843" s="6" t="s">
        <v>989</v>
      </c>
    </row>
    <row r="844" spans="1:2" x14ac:dyDescent="0.2">
      <c r="A844" s="6" t="s">
        <v>2209</v>
      </c>
      <c r="B844" s="6" t="s">
        <v>992</v>
      </c>
    </row>
    <row r="845" spans="1:2" x14ac:dyDescent="0.2">
      <c r="A845" s="6" t="s">
        <v>3009</v>
      </c>
      <c r="B845" s="6" t="s">
        <v>996</v>
      </c>
    </row>
    <row r="846" spans="1:2" x14ac:dyDescent="0.2">
      <c r="A846" s="6" t="s">
        <v>2172</v>
      </c>
      <c r="B846" s="6" t="s">
        <v>988</v>
      </c>
    </row>
    <row r="847" spans="1:2" x14ac:dyDescent="0.2">
      <c r="A847" s="6" t="s">
        <v>2190</v>
      </c>
      <c r="B847" s="6" t="s">
        <v>991</v>
      </c>
    </row>
    <row r="848" spans="1:2" x14ac:dyDescent="0.2">
      <c r="A848" s="6" t="s">
        <v>2210</v>
      </c>
      <c r="B848" s="6" t="s">
        <v>993</v>
      </c>
    </row>
    <row r="849" spans="1:2" x14ac:dyDescent="0.2">
      <c r="A849" s="6" t="s">
        <v>3010</v>
      </c>
      <c r="B849" s="6" t="s">
        <v>995</v>
      </c>
    </row>
    <row r="850" spans="1:2" x14ac:dyDescent="0.2">
      <c r="A850" s="6" t="s">
        <v>2163</v>
      </c>
      <c r="B850" s="6" t="s">
        <v>986</v>
      </c>
    </row>
    <row r="851" spans="1:2" x14ac:dyDescent="0.2">
      <c r="A851" s="6" t="s">
        <v>2188</v>
      </c>
      <c r="B851" s="6" t="s">
        <v>990</v>
      </c>
    </row>
    <row r="852" spans="1:2" x14ac:dyDescent="0.2">
      <c r="A852" s="6" t="s">
        <v>2147</v>
      </c>
      <c r="B852" s="6" t="s">
        <v>994</v>
      </c>
    </row>
    <row r="853" spans="1:2" x14ac:dyDescent="0.2">
      <c r="A853" s="6" t="s">
        <v>3011</v>
      </c>
      <c r="B853" s="6" t="s">
        <v>997</v>
      </c>
    </row>
    <row r="854" spans="1:2" x14ac:dyDescent="0.2">
      <c r="A854" s="6" t="s">
        <v>3012</v>
      </c>
      <c r="B854" s="6" t="s">
        <v>999</v>
      </c>
    </row>
    <row r="855" spans="1:2" x14ac:dyDescent="0.2">
      <c r="A855" s="6" t="s">
        <v>3013</v>
      </c>
      <c r="B855" s="6" t="s">
        <v>1002</v>
      </c>
    </row>
    <row r="856" spans="1:2" x14ac:dyDescent="0.2">
      <c r="A856" s="6" t="s">
        <v>3014</v>
      </c>
      <c r="B856" s="6" t="s">
        <v>1006</v>
      </c>
    </row>
    <row r="857" spans="1:2" x14ac:dyDescent="0.2">
      <c r="A857" s="6" t="s">
        <v>3015</v>
      </c>
      <c r="B857" s="6" t="s">
        <v>1012</v>
      </c>
    </row>
    <row r="858" spans="1:2" x14ac:dyDescent="0.2">
      <c r="A858" s="6" t="s">
        <v>3016</v>
      </c>
      <c r="B858" s="6" t="s">
        <v>1000</v>
      </c>
    </row>
    <row r="859" spans="1:2" x14ac:dyDescent="0.2">
      <c r="A859" s="6" t="s">
        <v>3017</v>
      </c>
      <c r="B859" s="6" t="s">
        <v>1004</v>
      </c>
    </row>
    <row r="860" spans="1:2" x14ac:dyDescent="0.2">
      <c r="A860" s="6" t="s">
        <v>3018</v>
      </c>
      <c r="B860" s="6" t="s">
        <v>1008</v>
      </c>
    </row>
    <row r="861" spans="1:2" x14ac:dyDescent="0.2">
      <c r="A861" s="6" t="s">
        <v>3019</v>
      </c>
      <c r="B861" s="6" t="s">
        <v>1011</v>
      </c>
    </row>
    <row r="862" spans="1:2" x14ac:dyDescent="0.2">
      <c r="A862" s="6" t="s">
        <v>3020</v>
      </c>
      <c r="B862" s="6" t="s">
        <v>1001</v>
      </c>
    </row>
    <row r="863" spans="1:2" x14ac:dyDescent="0.2">
      <c r="A863" s="6" t="s">
        <v>3021</v>
      </c>
      <c r="B863" s="6" t="s">
        <v>1003</v>
      </c>
    </row>
    <row r="864" spans="1:2" x14ac:dyDescent="0.2">
      <c r="A864" s="6" t="s">
        <v>3022</v>
      </c>
      <c r="B864" s="6" t="s">
        <v>1009</v>
      </c>
    </row>
    <row r="865" spans="1:2" x14ac:dyDescent="0.2">
      <c r="A865" s="6" t="s">
        <v>3023</v>
      </c>
      <c r="B865" s="6" t="s">
        <v>1010</v>
      </c>
    </row>
    <row r="866" spans="1:2" x14ac:dyDescent="0.2">
      <c r="A866" s="6" t="s">
        <v>3024</v>
      </c>
      <c r="B866" s="6" t="s">
        <v>1017</v>
      </c>
    </row>
    <row r="867" spans="1:2" x14ac:dyDescent="0.2">
      <c r="A867" s="6" t="s">
        <v>3025</v>
      </c>
      <c r="B867" s="6" t="s">
        <v>1020</v>
      </c>
    </row>
    <row r="868" spans="1:2" x14ac:dyDescent="0.2">
      <c r="A868" s="6" t="s">
        <v>3026</v>
      </c>
      <c r="B868" s="6" t="s">
        <v>1022</v>
      </c>
    </row>
    <row r="869" spans="1:2" x14ac:dyDescent="0.2">
      <c r="A869" s="6" t="s">
        <v>3027</v>
      </c>
      <c r="B869" s="6" t="s">
        <v>1026</v>
      </c>
    </row>
    <row r="870" spans="1:2" x14ac:dyDescent="0.2">
      <c r="A870" s="6" t="s">
        <v>3028</v>
      </c>
      <c r="B870" s="6" t="s">
        <v>1015</v>
      </c>
    </row>
    <row r="871" spans="1:2" x14ac:dyDescent="0.2">
      <c r="A871" s="6" t="s">
        <v>3029</v>
      </c>
      <c r="B871" s="6" t="s">
        <v>1018</v>
      </c>
    </row>
    <row r="872" spans="1:2" x14ac:dyDescent="0.2">
      <c r="A872" s="6" t="s">
        <v>3030</v>
      </c>
      <c r="B872" s="6" t="s">
        <v>1023</v>
      </c>
    </row>
    <row r="873" spans="1:2" x14ac:dyDescent="0.2">
      <c r="A873" s="6" t="s">
        <v>3031</v>
      </c>
      <c r="B873" s="6" t="s">
        <v>1025</v>
      </c>
    </row>
    <row r="874" spans="1:2" x14ac:dyDescent="0.2">
      <c r="A874" s="6" t="s">
        <v>3032</v>
      </c>
      <c r="B874" s="6" t="s">
        <v>1014</v>
      </c>
    </row>
    <row r="875" spans="1:2" x14ac:dyDescent="0.2">
      <c r="A875" s="6" t="s">
        <v>3033</v>
      </c>
      <c r="B875" s="6" t="s">
        <v>1019</v>
      </c>
    </row>
    <row r="876" spans="1:2" x14ac:dyDescent="0.2">
      <c r="A876" s="6" t="s">
        <v>3034</v>
      </c>
      <c r="B876" s="6" t="s">
        <v>1021</v>
      </c>
    </row>
    <row r="877" spans="1:2" x14ac:dyDescent="0.2">
      <c r="A877" s="6" t="s">
        <v>3035</v>
      </c>
      <c r="B877" s="6" t="s">
        <v>1024</v>
      </c>
    </row>
    <row r="878" spans="1:2" x14ac:dyDescent="0.2">
      <c r="A878" s="6" t="s">
        <v>3036</v>
      </c>
      <c r="B878" s="6" t="s">
        <v>1029</v>
      </c>
    </row>
    <row r="879" spans="1:2" x14ac:dyDescent="0.2">
      <c r="A879" s="6" t="s">
        <v>3037</v>
      </c>
      <c r="B879" s="6" t="s">
        <v>1033</v>
      </c>
    </row>
    <row r="880" spans="1:2" x14ac:dyDescent="0.2">
      <c r="A880" s="6" t="s">
        <v>3038</v>
      </c>
      <c r="B880" s="6" t="s">
        <v>1035</v>
      </c>
    </row>
    <row r="881" spans="1:2" x14ac:dyDescent="0.2">
      <c r="A881" s="6" t="s">
        <v>3039</v>
      </c>
      <c r="B881" s="6" t="s">
        <v>1039</v>
      </c>
    </row>
    <row r="882" spans="1:2" x14ac:dyDescent="0.2">
      <c r="A882" s="6" t="s">
        <v>3040</v>
      </c>
      <c r="B882" s="6" t="s">
        <v>1028</v>
      </c>
    </row>
    <row r="883" spans="1:2" x14ac:dyDescent="0.2">
      <c r="A883" s="6" t="s">
        <v>3041</v>
      </c>
      <c r="B883" s="6" t="s">
        <v>1031</v>
      </c>
    </row>
    <row r="884" spans="1:2" x14ac:dyDescent="0.2">
      <c r="A884" s="6" t="s">
        <v>3042</v>
      </c>
      <c r="B884" s="6" t="s">
        <v>1034</v>
      </c>
    </row>
    <row r="885" spans="1:2" x14ac:dyDescent="0.2">
      <c r="A885" s="6" t="s">
        <v>3043</v>
      </c>
      <c r="B885" s="6" t="s">
        <v>1037</v>
      </c>
    </row>
    <row r="886" spans="1:2" x14ac:dyDescent="0.2">
      <c r="A886" s="6" t="s">
        <v>3044</v>
      </c>
      <c r="B886" s="6" t="s">
        <v>1030</v>
      </c>
    </row>
    <row r="887" spans="1:2" x14ac:dyDescent="0.2">
      <c r="A887" s="6" t="s">
        <v>3045</v>
      </c>
      <c r="B887" s="6" t="s">
        <v>1032</v>
      </c>
    </row>
    <row r="888" spans="1:2" x14ac:dyDescent="0.2">
      <c r="A888" s="6" t="s">
        <v>3046</v>
      </c>
      <c r="B888" s="6" t="s">
        <v>1036</v>
      </c>
    </row>
    <row r="889" spans="1:2" x14ac:dyDescent="0.2">
      <c r="A889" s="6" t="s">
        <v>3047</v>
      </c>
      <c r="B889" s="6" t="s">
        <v>1041</v>
      </c>
    </row>
    <row r="890" spans="1:2" x14ac:dyDescent="0.2">
      <c r="A890" s="6" t="s">
        <v>3048</v>
      </c>
      <c r="B890" s="6" t="s">
        <v>1043</v>
      </c>
    </row>
    <row r="891" spans="1:2" x14ac:dyDescent="0.2">
      <c r="A891" s="6" t="s">
        <v>3049</v>
      </c>
      <c r="B891" s="6" t="s">
        <v>1046</v>
      </c>
    </row>
    <row r="892" spans="1:2" x14ac:dyDescent="0.2">
      <c r="A892" s="6" t="s">
        <v>3050</v>
      </c>
      <c r="B892" s="6" t="s">
        <v>1050</v>
      </c>
    </row>
    <row r="893" spans="1:2" x14ac:dyDescent="0.2">
      <c r="A893" s="6" t="s">
        <v>3051</v>
      </c>
      <c r="B893" s="6" t="s">
        <v>1055</v>
      </c>
    </row>
    <row r="894" spans="1:2" x14ac:dyDescent="0.2">
      <c r="A894" s="6" t="s">
        <v>3052</v>
      </c>
      <c r="B894" s="6" t="s">
        <v>1044</v>
      </c>
    </row>
    <row r="895" spans="1:2" x14ac:dyDescent="0.2">
      <c r="A895" s="6" t="s">
        <v>3053</v>
      </c>
      <c r="B895" s="6" t="s">
        <v>1048</v>
      </c>
    </row>
    <row r="896" spans="1:2" x14ac:dyDescent="0.2">
      <c r="A896" s="6" t="s">
        <v>3054</v>
      </c>
      <c r="B896" s="6" t="s">
        <v>1049</v>
      </c>
    </row>
    <row r="897" spans="1:2" x14ac:dyDescent="0.2">
      <c r="A897" s="6" t="s">
        <v>3055</v>
      </c>
      <c r="B897" s="6" t="s">
        <v>1052</v>
      </c>
    </row>
    <row r="898" spans="1:2" x14ac:dyDescent="0.2">
      <c r="A898" s="6" t="s">
        <v>3056</v>
      </c>
      <c r="B898" s="6" t="s">
        <v>1045</v>
      </c>
    </row>
    <row r="899" spans="1:2" x14ac:dyDescent="0.2">
      <c r="A899" s="6" t="s">
        <v>3057</v>
      </c>
      <c r="B899" s="6" t="s">
        <v>1047</v>
      </c>
    </row>
    <row r="900" spans="1:2" x14ac:dyDescent="0.2">
      <c r="A900" s="6" t="s">
        <v>3058</v>
      </c>
      <c r="B900" s="6" t="s">
        <v>1051</v>
      </c>
    </row>
    <row r="901" spans="1:2" x14ac:dyDescent="0.2">
      <c r="A901" s="6" t="s">
        <v>3059</v>
      </c>
      <c r="B901" s="6" t="s">
        <v>1054</v>
      </c>
    </row>
    <row r="902" spans="1:2" x14ac:dyDescent="0.2">
      <c r="A902" s="6" t="s">
        <v>3060</v>
      </c>
      <c r="B902" s="6" t="s">
        <v>1059</v>
      </c>
    </row>
    <row r="903" spans="1:2" x14ac:dyDescent="0.2">
      <c r="A903" s="6" t="s">
        <v>3061</v>
      </c>
      <c r="B903" s="6" t="s">
        <v>1060</v>
      </c>
    </row>
    <row r="904" spans="1:2" x14ac:dyDescent="0.2">
      <c r="A904" s="6" t="s">
        <v>3062</v>
      </c>
      <c r="B904" s="6" t="s">
        <v>1064</v>
      </c>
    </row>
    <row r="905" spans="1:2" x14ac:dyDescent="0.2">
      <c r="A905" s="6" t="s">
        <v>3063</v>
      </c>
      <c r="B905" s="6" t="s">
        <v>1067</v>
      </c>
    </row>
    <row r="906" spans="1:2" x14ac:dyDescent="0.2">
      <c r="A906" s="6" t="s">
        <v>3064</v>
      </c>
      <c r="B906" s="6" t="s">
        <v>1058</v>
      </c>
    </row>
    <row r="907" spans="1:2" x14ac:dyDescent="0.2">
      <c r="A907" s="6" t="s">
        <v>3065</v>
      </c>
      <c r="B907" s="6" t="s">
        <v>1062</v>
      </c>
    </row>
    <row r="908" spans="1:2" x14ac:dyDescent="0.2">
      <c r="A908" s="6" t="s">
        <v>3066</v>
      </c>
      <c r="B908" s="6" t="s">
        <v>1065</v>
      </c>
    </row>
    <row r="909" spans="1:2" x14ac:dyDescent="0.2">
      <c r="A909" s="6" t="s">
        <v>3067</v>
      </c>
      <c r="B909" s="6" t="s">
        <v>1068</v>
      </c>
    </row>
    <row r="910" spans="1:2" x14ac:dyDescent="0.2">
      <c r="A910" s="6" t="s">
        <v>3068</v>
      </c>
      <c r="B910" s="6" t="s">
        <v>1057</v>
      </c>
    </row>
    <row r="911" spans="1:2" x14ac:dyDescent="0.2">
      <c r="A911" s="6" t="s">
        <v>3069</v>
      </c>
      <c r="B911" s="6" t="s">
        <v>1061</v>
      </c>
    </row>
    <row r="912" spans="1:2" x14ac:dyDescent="0.2">
      <c r="A912" s="6" t="s">
        <v>3070</v>
      </c>
      <c r="B912" s="6" t="s">
        <v>1063</v>
      </c>
    </row>
    <row r="913" spans="1:2" x14ac:dyDescent="0.2">
      <c r="A913" s="6" t="s">
        <v>3071</v>
      </c>
      <c r="B913" s="6" t="s">
        <v>1066</v>
      </c>
    </row>
    <row r="914" spans="1:2" x14ac:dyDescent="0.2">
      <c r="A914" s="6" t="s">
        <v>3072</v>
      </c>
      <c r="B914" s="6" t="s">
        <v>1072</v>
      </c>
    </row>
    <row r="915" spans="1:2" x14ac:dyDescent="0.2">
      <c r="A915" s="6" t="s">
        <v>3073</v>
      </c>
      <c r="B915" s="6" t="s">
        <v>1075</v>
      </c>
    </row>
    <row r="916" spans="1:2" x14ac:dyDescent="0.2">
      <c r="A916" s="6" t="s">
        <v>3074</v>
      </c>
      <c r="B916" s="6" t="s">
        <v>1078</v>
      </c>
    </row>
    <row r="917" spans="1:2" x14ac:dyDescent="0.2">
      <c r="A917" s="6" t="s">
        <v>3075</v>
      </c>
      <c r="B917" s="6" t="s">
        <v>1080</v>
      </c>
    </row>
    <row r="918" spans="1:2" x14ac:dyDescent="0.2">
      <c r="A918" s="6" t="s">
        <v>3076</v>
      </c>
      <c r="B918" s="6" t="s">
        <v>1070</v>
      </c>
    </row>
    <row r="919" spans="1:2" x14ac:dyDescent="0.2">
      <c r="A919" s="6" t="s">
        <v>3077</v>
      </c>
      <c r="B919" s="6" t="s">
        <v>1073</v>
      </c>
    </row>
    <row r="920" spans="1:2" x14ac:dyDescent="0.2">
      <c r="A920" s="6" t="s">
        <v>3078</v>
      </c>
      <c r="B920" s="6" t="s">
        <v>1077</v>
      </c>
    </row>
    <row r="921" spans="1:2" x14ac:dyDescent="0.2">
      <c r="A921" s="6" t="s">
        <v>3079</v>
      </c>
      <c r="B921" s="6" t="s">
        <v>1079</v>
      </c>
    </row>
    <row r="922" spans="1:2" x14ac:dyDescent="0.2">
      <c r="A922" s="6" t="s">
        <v>3080</v>
      </c>
      <c r="B922" s="6" t="s">
        <v>1071</v>
      </c>
    </row>
    <row r="923" spans="1:2" x14ac:dyDescent="0.2">
      <c r="A923" s="6" t="s">
        <v>3081</v>
      </c>
      <c r="B923" s="6" t="s">
        <v>1074</v>
      </c>
    </row>
    <row r="924" spans="1:2" x14ac:dyDescent="0.2">
      <c r="A924" s="6" t="s">
        <v>3082</v>
      </c>
      <c r="B924" s="6" t="s">
        <v>1076</v>
      </c>
    </row>
    <row r="925" spans="1:2" x14ac:dyDescent="0.2">
      <c r="A925" s="6" t="s">
        <v>3083</v>
      </c>
      <c r="B925" s="6" t="s">
        <v>1081</v>
      </c>
    </row>
    <row r="926" spans="1:2" x14ac:dyDescent="0.2">
      <c r="A926" s="6" t="s">
        <v>3084</v>
      </c>
      <c r="B926" s="6" t="s">
        <v>1085</v>
      </c>
    </row>
    <row r="927" spans="1:2" x14ac:dyDescent="0.2">
      <c r="A927" s="6" t="s">
        <v>3085</v>
      </c>
      <c r="B927" s="6" t="s">
        <v>1087</v>
      </c>
    </row>
    <row r="928" spans="1:2" x14ac:dyDescent="0.2">
      <c r="A928" s="6" t="s">
        <v>3086</v>
      </c>
      <c r="B928" s="6" t="s">
        <v>1091</v>
      </c>
    </row>
    <row r="929" spans="1:2" x14ac:dyDescent="0.2">
      <c r="A929" s="6" t="s">
        <v>3087</v>
      </c>
      <c r="B929" s="6" t="s">
        <v>1092</v>
      </c>
    </row>
    <row r="930" spans="1:2" x14ac:dyDescent="0.2">
      <c r="A930" s="6" t="s">
        <v>3088</v>
      </c>
      <c r="B930" s="6" t="s">
        <v>1083</v>
      </c>
    </row>
    <row r="931" spans="1:2" x14ac:dyDescent="0.2">
      <c r="A931" s="6" t="s">
        <v>3089</v>
      </c>
      <c r="B931" s="6" t="s">
        <v>1086</v>
      </c>
    </row>
    <row r="932" spans="1:2" x14ac:dyDescent="0.2">
      <c r="A932" s="6" t="s">
        <v>3090</v>
      </c>
      <c r="B932" s="6" t="s">
        <v>1090</v>
      </c>
    </row>
    <row r="933" spans="1:2" x14ac:dyDescent="0.2">
      <c r="A933" s="6" t="s">
        <v>3091</v>
      </c>
      <c r="B933" s="6" t="s">
        <v>1094</v>
      </c>
    </row>
    <row r="934" spans="1:2" x14ac:dyDescent="0.2">
      <c r="A934" s="6" t="s">
        <v>3092</v>
      </c>
      <c r="B934" s="6" t="s">
        <v>1084</v>
      </c>
    </row>
    <row r="935" spans="1:2" x14ac:dyDescent="0.2">
      <c r="A935" s="6" t="s">
        <v>3093</v>
      </c>
      <c r="B935" s="6" t="s">
        <v>1088</v>
      </c>
    </row>
    <row r="936" spans="1:2" x14ac:dyDescent="0.2">
      <c r="A936" s="6" t="s">
        <v>3094</v>
      </c>
      <c r="B936" s="6" t="s">
        <v>1089</v>
      </c>
    </row>
    <row r="937" spans="1:2" x14ac:dyDescent="0.2">
      <c r="A937" s="6" t="s">
        <v>3095</v>
      </c>
      <c r="B937" s="6" t="s">
        <v>1093</v>
      </c>
    </row>
    <row r="938" spans="1:2" x14ac:dyDescent="0.2">
      <c r="A938" s="6" t="s">
        <v>3096</v>
      </c>
      <c r="B938" s="6" t="s">
        <v>1096</v>
      </c>
    </row>
    <row r="939" spans="1:2" x14ac:dyDescent="0.2">
      <c r="A939" s="6" t="s">
        <v>3097</v>
      </c>
      <c r="B939" s="6" t="s">
        <v>1101</v>
      </c>
    </row>
    <row r="940" spans="1:2" x14ac:dyDescent="0.2">
      <c r="A940" s="6" t="s">
        <v>3098</v>
      </c>
      <c r="B940" s="6" t="s">
        <v>1104</v>
      </c>
    </row>
    <row r="941" spans="1:2" x14ac:dyDescent="0.2">
      <c r="A941" s="6" t="s">
        <v>3099</v>
      </c>
      <c r="B941" s="6" t="s">
        <v>1106</v>
      </c>
    </row>
    <row r="942" spans="1:2" x14ac:dyDescent="0.2">
      <c r="A942" s="6" t="s">
        <v>3100</v>
      </c>
      <c r="B942" s="6" t="s">
        <v>1098</v>
      </c>
    </row>
    <row r="943" spans="1:2" x14ac:dyDescent="0.2">
      <c r="A943" s="6" t="s">
        <v>3101</v>
      </c>
      <c r="B943" s="6" t="s">
        <v>1100</v>
      </c>
    </row>
    <row r="944" spans="1:2" x14ac:dyDescent="0.2">
      <c r="A944" s="6" t="s">
        <v>3102</v>
      </c>
      <c r="B944" s="6" t="s">
        <v>1103</v>
      </c>
    </row>
    <row r="945" spans="1:2" x14ac:dyDescent="0.2">
      <c r="A945" s="6" t="s">
        <v>3103</v>
      </c>
      <c r="B945" s="6" t="s">
        <v>1107</v>
      </c>
    </row>
    <row r="946" spans="1:2" x14ac:dyDescent="0.2">
      <c r="A946" s="6" t="s">
        <v>3104</v>
      </c>
      <c r="B946" s="6" t="s">
        <v>1097</v>
      </c>
    </row>
    <row r="947" spans="1:2" x14ac:dyDescent="0.2">
      <c r="A947" s="6" t="s">
        <v>3105</v>
      </c>
      <c r="B947" s="6" t="s">
        <v>1099</v>
      </c>
    </row>
    <row r="948" spans="1:2" x14ac:dyDescent="0.2">
      <c r="A948" s="6" t="s">
        <v>3106</v>
      </c>
      <c r="B948" s="6" t="s">
        <v>1102</v>
      </c>
    </row>
    <row r="949" spans="1:2" x14ac:dyDescent="0.2">
      <c r="A949" s="6" t="s">
        <v>3107</v>
      </c>
      <c r="B949" s="6" t="s">
        <v>1105</v>
      </c>
    </row>
    <row r="950" spans="1:2" x14ac:dyDescent="0.2">
      <c r="A950" s="6" t="s">
        <v>3108</v>
      </c>
      <c r="B950" s="6" t="s">
        <v>1111</v>
      </c>
    </row>
    <row r="951" spans="1:2" x14ac:dyDescent="0.2">
      <c r="A951" s="6" t="s">
        <v>3109</v>
      </c>
      <c r="B951" s="6" t="s">
        <v>1114</v>
      </c>
    </row>
    <row r="952" spans="1:2" x14ac:dyDescent="0.2">
      <c r="A952" s="6" t="s">
        <v>3110</v>
      </c>
      <c r="B952" s="6" t="s">
        <v>1115</v>
      </c>
    </row>
    <row r="953" spans="1:2" x14ac:dyDescent="0.2">
      <c r="A953" s="6" t="s">
        <v>3111</v>
      </c>
      <c r="B953" s="6" t="s">
        <v>1120</v>
      </c>
    </row>
    <row r="954" spans="1:2" x14ac:dyDescent="0.2">
      <c r="A954" s="6" t="s">
        <v>3112</v>
      </c>
      <c r="B954" s="6" t="s">
        <v>1110</v>
      </c>
    </row>
    <row r="955" spans="1:2" x14ac:dyDescent="0.2">
      <c r="A955" s="6" t="s">
        <v>3113</v>
      </c>
      <c r="B955" s="6" t="s">
        <v>1112</v>
      </c>
    </row>
    <row r="956" spans="1:2" x14ac:dyDescent="0.2">
      <c r="A956" s="6" t="s">
        <v>3114</v>
      </c>
      <c r="B956" s="6" t="s">
        <v>1116</v>
      </c>
    </row>
    <row r="957" spans="1:2" x14ac:dyDescent="0.2">
      <c r="A957" s="6" t="s">
        <v>3115</v>
      </c>
      <c r="B957" s="6" t="s">
        <v>1119</v>
      </c>
    </row>
    <row r="958" spans="1:2" x14ac:dyDescent="0.2">
      <c r="A958" s="6" t="s">
        <v>3116</v>
      </c>
      <c r="B958" s="6" t="s">
        <v>1109</v>
      </c>
    </row>
    <row r="959" spans="1:2" x14ac:dyDescent="0.2">
      <c r="A959" s="6" t="s">
        <v>3117</v>
      </c>
      <c r="B959" s="6" t="s">
        <v>1113</v>
      </c>
    </row>
    <row r="960" spans="1:2" x14ac:dyDescent="0.2">
      <c r="A960" s="6" t="s">
        <v>3118</v>
      </c>
      <c r="B960" s="6" t="s">
        <v>1117</v>
      </c>
    </row>
    <row r="961" spans="1:2" x14ac:dyDescent="0.2">
      <c r="A961" s="6" t="s">
        <v>3119</v>
      </c>
      <c r="B961" s="6" t="s">
        <v>1118</v>
      </c>
    </row>
    <row r="962" spans="1:2" x14ac:dyDescent="0.2">
      <c r="A962" s="6" t="s">
        <v>3120</v>
      </c>
      <c r="B962" s="6" t="s">
        <v>1123</v>
      </c>
    </row>
    <row r="963" spans="1:2" x14ac:dyDescent="0.2">
      <c r="A963" s="6" t="s">
        <v>3121</v>
      </c>
      <c r="B963" s="6" t="s">
        <v>1126</v>
      </c>
    </row>
    <row r="964" spans="1:2" x14ac:dyDescent="0.2">
      <c r="A964" s="6" t="s">
        <v>3122</v>
      </c>
      <c r="B964" s="6" t="s">
        <v>1129</v>
      </c>
    </row>
    <row r="965" spans="1:2" x14ac:dyDescent="0.2">
      <c r="A965" s="6" t="s">
        <v>3123</v>
      </c>
      <c r="B965" s="6" t="s">
        <v>1131</v>
      </c>
    </row>
    <row r="966" spans="1:2" x14ac:dyDescent="0.2">
      <c r="A966" s="6" t="s">
        <v>3124</v>
      </c>
      <c r="B966" s="6" t="s">
        <v>1122</v>
      </c>
    </row>
    <row r="967" spans="1:2" x14ac:dyDescent="0.2">
      <c r="A967" s="6" t="s">
        <v>3125</v>
      </c>
      <c r="B967" s="6" t="s">
        <v>1125</v>
      </c>
    </row>
    <row r="968" spans="1:2" x14ac:dyDescent="0.2">
      <c r="A968" s="6" t="s">
        <v>3126</v>
      </c>
      <c r="B968" s="6" t="s">
        <v>1130</v>
      </c>
    </row>
    <row r="969" spans="1:2" x14ac:dyDescent="0.2">
      <c r="A969" s="6" t="s">
        <v>3127</v>
      </c>
      <c r="B969" s="6" t="s">
        <v>1133</v>
      </c>
    </row>
    <row r="970" spans="1:2" x14ac:dyDescent="0.2">
      <c r="A970" s="6" t="s">
        <v>3128</v>
      </c>
      <c r="B970" s="6" t="s">
        <v>1124</v>
      </c>
    </row>
    <row r="971" spans="1:2" x14ac:dyDescent="0.2">
      <c r="A971" s="6" t="s">
        <v>3129</v>
      </c>
      <c r="B971" s="6" t="s">
        <v>1127</v>
      </c>
    </row>
    <row r="972" spans="1:2" x14ac:dyDescent="0.2">
      <c r="A972" s="6" t="s">
        <v>3130</v>
      </c>
      <c r="B972" s="6" t="s">
        <v>1128</v>
      </c>
    </row>
    <row r="973" spans="1:2" x14ac:dyDescent="0.2">
      <c r="A973" s="6" t="s">
        <v>3131</v>
      </c>
      <c r="B973" s="6" t="s">
        <v>1134</v>
      </c>
    </row>
    <row r="974" spans="1:2" x14ac:dyDescent="0.2">
      <c r="A974" s="6" t="s">
        <v>3132</v>
      </c>
      <c r="B974" s="6" t="s">
        <v>1137</v>
      </c>
    </row>
    <row r="975" spans="1:2" x14ac:dyDescent="0.2">
      <c r="A975" s="6" t="s">
        <v>3133</v>
      </c>
      <c r="B975" s="6" t="s">
        <v>1140</v>
      </c>
    </row>
    <row r="976" spans="1:2" x14ac:dyDescent="0.2">
      <c r="A976" s="6" t="s">
        <v>3134</v>
      </c>
      <c r="B976" s="6" t="s">
        <v>1142</v>
      </c>
    </row>
    <row r="977" spans="1:2" x14ac:dyDescent="0.2">
      <c r="A977" s="6" t="s">
        <v>3135</v>
      </c>
      <c r="B977" s="6" t="s">
        <v>1145</v>
      </c>
    </row>
    <row r="978" spans="1:2" x14ac:dyDescent="0.2">
      <c r="A978" s="6" t="s">
        <v>3136</v>
      </c>
      <c r="B978" s="6" t="s">
        <v>1138</v>
      </c>
    </row>
    <row r="979" spans="1:2" x14ac:dyDescent="0.2">
      <c r="A979" s="6" t="s">
        <v>3137</v>
      </c>
      <c r="B979" s="6" t="s">
        <v>1139</v>
      </c>
    </row>
    <row r="980" spans="1:2" x14ac:dyDescent="0.2">
      <c r="A980" s="6" t="s">
        <v>3138</v>
      </c>
      <c r="B980" s="6" t="s">
        <v>1144</v>
      </c>
    </row>
    <row r="981" spans="1:2" x14ac:dyDescent="0.2">
      <c r="A981" s="6" t="s">
        <v>3139</v>
      </c>
      <c r="B981" s="6" t="s">
        <v>1146</v>
      </c>
    </row>
    <row r="982" spans="1:2" x14ac:dyDescent="0.2">
      <c r="A982" s="6" t="s">
        <v>3140</v>
      </c>
      <c r="B982" s="6" t="s">
        <v>1136</v>
      </c>
    </row>
    <row r="983" spans="1:2" x14ac:dyDescent="0.2">
      <c r="A983" s="6" t="s">
        <v>3141</v>
      </c>
      <c r="B983" s="6" t="s">
        <v>1141</v>
      </c>
    </row>
    <row r="984" spans="1:2" x14ac:dyDescent="0.2">
      <c r="A984" s="6" t="s">
        <v>3142</v>
      </c>
      <c r="B984" s="6" t="s">
        <v>1143</v>
      </c>
    </row>
    <row r="985" spans="1:2" x14ac:dyDescent="0.2">
      <c r="A985" s="6" t="s">
        <v>3143</v>
      </c>
      <c r="B985" s="6" t="s">
        <v>1147</v>
      </c>
    </row>
    <row r="986" spans="1:2" x14ac:dyDescent="0.2">
      <c r="A986" s="6" t="s">
        <v>3144</v>
      </c>
      <c r="B986" s="6" t="s">
        <v>1150</v>
      </c>
    </row>
    <row r="987" spans="1:2" x14ac:dyDescent="0.2">
      <c r="A987" s="6" t="s">
        <v>3145</v>
      </c>
      <c r="B987" s="6" t="s">
        <v>1153</v>
      </c>
    </row>
    <row r="988" spans="1:2" x14ac:dyDescent="0.2">
      <c r="A988" s="6" t="s">
        <v>3146</v>
      </c>
      <c r="B988" s="6" t="s">
        <v>1156</v>
      </c>
    </row>
    <row r="989" spans="1:2" x14ac:dyDescent="0.2">
      <c r="A989" s="6" t="s">
        <v>3147</v>
      </c>
      <c r="B989" s="6" t="s">
        <v>1159</v>
      </c>
    </row>
    <row r="990" spans="1:2" x14ac:dyDescent="0.2">
      <c r="A990" s="6" t="s">
        <v>3148</v>
      </c>
      <c r="B990" s="6" t="s">
        <v>1151</v>
      </c>
    </row>
    <row r="991" spans="1:2" x14ac:dyDescent="0.2">
      <c r="A991" s="6" t="s">
        <v>3149</v>
      </c>
      <c r="B991" s="6" t="s">
        <v>1152</v>
      </c>
    </row>
    <row r="992" spans="1:2" x14ac:dyDescent="0.2">
      <c r="A992" s="6" t="s">
        <v>3150</v>
      </c>
      <c r="B992" s="6" t="s">
        <v>1155</v>
      </c>
    </row>
    <row r="993" spans="1:2" x14ac:dyDescent="0.2">
      <c r="A993" s="6" t="s">
        <v>3151</v>
      </c>
      <c r="B993" s="6" t="s">
        <v>1160</v>
      </c>
    </row>
    <row r="994" spans="1:2" x14ac:dyDescent="0.2">
      <c r="A994" s="6" t="s">
        <v>3152</v>
      </c>
      <c r="B994" s="6" t="s">
        <v>1149</v>
      </c>
    </row>
    <row r="995" spans="1:2" x14ac:dyDescent="0.2">
      <c r="A995" s="6" t="s">
        <v>3153</v>
      </c>
      <c r="B995" s="6" t="s">
        <v>1154</v>
      </c>
    </row>
    <row r="996" spans="1:2" x14ac:dyDescent="0.2">
      <c r="A996" s="6" t="s">
        <v>3154</v>
      </c>
      <c r="B996" s="6" t="s">
        <v>1157</v>
      </c>
    </row>
    <row r="997" spans="1:2" x14ac:dyDescent="0.2">
      <c r="A997" s="6" t="s">
        <v>3155</v>
      </c>
      <c r="B997" s="6" t="s">
        <v>1158</v>
      </c>
    </row>
    <row r="998" spans="1:2" x14ac:dyDescent="0.2">
      <c r="A998" s="6" t="s">
        <v>3156</v>
      </c>
      <c r="B998" s="6" t="s">
        <v>1164</v>
      </c>
    </row>
    <row r="999" spans="1:2" x14ac:dyDescent="0.2">
      <c r="A999" s="6" t="s">
        <v>3157</v>
      </c>
      <c r="B999" s="6" t="s">
        <v>1165</v>
      </c>
    </row>
    <row r="1000" spans="1:2" x14ac:dyDescent="0.2">
      <c r="A1000" s="6" t="s">
        <v>3158</v>
      </c>
      <c r="B1000" s="6" t="s">
        <v>1170</v>
      </c>
    </row>
    <row r="1001" spans="1:2" x14ac:dyDescent="0.2">
      <c r="A1001" s="6" t="s">
        <v>3159</v>
      </c>
      <c r="B1001" s="6" t="s">
        <v>1171</v>
      </c>
    </row>
    <row r="1002" spans="1:2" x14ac:dyDescent="0.2">
      <c r="A1002" s="6" t="s">
        <v>3160</v>
      </c>
      <c r="B1002" s="6" t="s">
        <v>1163</v>
      </c>
    </row>
    <row r="1003" spans="1:2" x14ac:dyDescent="0.2">
      <c r="A1003" s="6" t="s">
        <v>3161</v>
      </c>
      <c r="B1003" s="6" t="s">
        <v>1167</v>
      </c>
    </row>
    <row r="1004" spans="1:2" x14ac:dyDescent="0.2">
      <c r="A1004" s="6" t="s">
        <v>3162</v>
      </c>
      <c r="B1004" s="6" t="s">
        <v>1168</v>
      </c>
    </row>
    <row r="1005" spans="1:2" x14ac:dyDescent="0.2">
      <c r="A1005" s="6" t="s">
        <v>3163</v>
      </c>
      <c r="B1005" s="6" t="s">
        <v>1173</v>
      </c>
    </row>
    <row r="1006" spans="1:2" x14ac:dyDescent="0.2">
      <c r="A1006" s="6" t="s">
        <v>3164</v>
      </c>
      <c r="B1006" s="6" t="s">
        <v>1162</v>
      </c>
    </row>
    <row r="1007" spans="1:2" x14ac:dyDescent="0.2">
      <c r="A1007" s="6" t="s">
        <v>3165</v>
      </c>
      <c r="B1007" s="6" t="s">
        <v>1166</v>
      </c>
    </row>
    <row r="1008" spans="1:2" x14ac:dyDescent="0.2">
      <c r="A1008" s="6" t="s">
        <v>3166</v>
      </c>
      <c r="B1008" s="6" t="s">
        <v>1169</v>
      </c>
    </row>
    <row r="1009" spans="1:2" x14ac:dyDescent="0.2">
      <c r="A1009" s="6" t="s">
        <v>3167</v>
      </c>
      <c r="B1009" s="6" t="s">
        <v>1172</v>
      </c>
    </row>
    <row r="1010" spans="1:2" x14ac:dyDescent="0.2">
      <c r="A1010" s="6" t="s">
        <v>3168</v>
      </c>
      <c r="B1010" s="6" t="s">
        <v>1176</v>
      </c>
    </row>
    <row r="1011" spans="1:2" x14ac:dyDescent="0.2">
      <c r="A1011" s="6" t="s">
        <v>3169</v>
      </c>
      <c r="B1011" s="6" t="s">
        <v>1179</v>
      </c>
    </row>
    <row r="1012" spans="1:2" x14ac:dyDescent="0.2">
      <c r="A1012" s="6" t="s">
        <v>3170</v>
      </c>
      <c r="B1012" s="6" t="s">
        <v>1181</v>
      </c>
    </row>
    <row r="1013" spans="1:2" x14ac:dyDescent="0.2">
      <c r="A1013" s="6" t="s">
        <v>3171</v>
      </c>
      <c r="B1013" s="6" t="s">
        <v>1186</v>
      </c>
    </row>
    <row r="1014" spans="1:2" x14ac:dyDescent="0.2">
      <c r="A1014" s="6" t="s">
        <v>3172</v>
      </c>
      <c r="B1014" s="6" t="s">
        <v>1175</v>
      </c>
    </row>
    <row r="1015" spans="1:2" x14ac:dyDescent="0.2">
      <c r="A1015" s="6" t="s">
        <v>3173</v>
      </c>
      <c r="B1015" s="6" t="s">
        <v>1180</v>
      </c>
    </row>
    <row r="1016" spans="1:2" x14ac:dyDescent="0.2">
      <c r="A1016" s="6" t="s">
        <v>3174</v>
      </c>
      <c r="B1016" s="6" t="s">
        <v>1183</v>
      </c>
    </row>
    <row r="1017" spans="1:2" x14ac:dyDescent="0.2">
      <c r="A1017" s="6" t="s">
        <v>3175</v>
      </c>
      <c r="B1017" s="6" t="s">
        <v>1185</v>
      </c>
    </row>
    <row r="1018" spans="1:2" x14ac:dyDescent="0.2">
      <c r="A1018" s="6" t="s">
        <v>3176</v>
      </c>
      <c r="B1018" s="6" t="s">
        <v>1177</v>
      </c>
    </row>
    <row r="1019" spans="1:2" x14ac:dyDescent="0.2">
      <c r="A1019" s="6" t="s">
        <v>3177</v>
      </c>
      <c r="B1019" s="6" t="s">
        <v>1178</v>
      </c>
    </row>
    <row r="1020" spans="1:2" x14ac:dyDescent="0.2">
      <c r="A1020" s="6" t="s">
        <v>3178</v>
      </c>
      <c r="B1020" s="6" t="s">
        <v>1182</v>
      </c>
    </row>
    <row r="1021" spans="1:2" x14ac:dyDescent="0.2">
      <c r="A1021" s="6" t="s">
        <v>3179</v>
      </c>
      <c r="B1021" s="6" t="s">
        <v>1184</v>
      </c>
    </row>
    <row r="1022" spans="1:2" x14ac:dyDescent="0.2">
      <c r="A1022" s="6" t="s">
        <v>3180</v>
      </c>
      <c r="B1022" s="6" t="s">
        <v>1188</v>
      </c>
    </row>
    <row r="1023" spans="1:2" x14ac:dyDescent="0.2">
      <c r="A1023" s="6" t="s">
        <v>3181</v>
      </c>
      <c r="B1023" s="6" t="s">
        <v>1192</v>
      </c>
    </row>
    <row r="1024" spans="1:2" x14ac:dyDescent="0.2">
      <c r="A1024" s="6" t="s">
        <v>3182</v>
      </c>
      <c r="B1024" s="6" t="s">
        <v>1194</v>
      </c>
    </row>
    <row r="1025" spans="1:2" x14ac:dyDescent="0.2">
      <c r="A1025" s="6" t="s">
        <v>3183</v>
      </c>
      <c r="B1025" s="6" t="s">
        <v>1199</v>
      </c>
    </row>
    <row r="1026" spans="1:2" x14ac:dyDescent="0.2">
      <c r="A1026" s="6" t="s">
        <v>3184</v>
      </c>
      <c r="B1026" s="6" t="s">
        <v>1189</v>
      </c>
    </row>
    <row r="1027" spans="1:2" x14ac:dyDescent="0.2">
      <c r="A1027" s="6" t="s">
        <v>3185</v>
      </c>
      <c r="B1027" s="6" t="s">
        <v>1193</v>
      </c>
    </row>
    <row r="1028" spans="1:2" x14ac:dyDescent="0.2">
      <c r="A1028" s="6" t="s">
        <v>3186</v>
      </c>
      <c r="B1028" s="6" t="s">
        <v>1195</v>
      </c>
    </row>
    <row r="1029" spans="1:2" x14ac:dyDescent="0.2">
      <c r="A1029" s="6" t="s">
        <v>3187</v>
      </c>
      <c r="B1029" s="6" t="s">
        <v>1197</v>
      </c>
    </row>
    <row r="1030" spans="1:2" x14ac:dyDescent="0.2">
      <c r="A1030" s="6" t="s">
        <v>3188</v>
      </c>
      <c r="B1030" s="6" t="s">
        <v>1190</v>
      </c>
    </row>
    <row r="1031" spans="1:2" x14ac:dyDescent="0.2">
      <c r="A1031" s="6" t="s">
        <v>3189</v>
      </c>
      <c r="B1031" s="6" t="s">
        <v>1191</v>
      </c>
    </row>
    <row r="1032" spans="1:2" x14ac:dyDescent="0.2">
      <c r="A1032" s="6" t="s">
        <v>3190</v>
      </c>
      <c r="B1032" s="6" t="s">
        <v>1196</v>
      </c>
    </row>
    <row r="1033" spans="1:2" x14ac:dyDescent="0.2">
      <c r="A1033" s="6" t="s">
        <v>3191</v>
      </c>
      <c r="B1033" s="6" t="s">
        <v>1198</v>
      </c>
    </row>
    <row r="1034" spans="1:2" x14ac:dyDescent="0.2">
      <c r="A1034" s="6" t="s">
        <v>3192</v>
      </c>
      <c r="B1034" s="6" t="s">
        <v>1201</v>
      </c>
    </row>
    <row r="1035" spans="1:2" x14ac:dyDescent="0.2">
      <c r="A1035" s="6" t="s">
        <v>3193</v>
      </c>
      <c r="B1035" s="6" t="s">
        <v>1205</v>
      </c>
    </row>
    <row r="1036" spans="1:2" x14ac:dyDescent="0.2">
      <c r="A1036" s="6" t="s">
        <v>3194</v>
      </c>
      <c r="B1036" s="6" t="s">
        <v>1207</v>
      </c>
    </row>
    <row r="1037" spans="1:2" x14ac:dyDescent="0.2">
      <c r="A1037" s="6" t="s">
        <v>3195</v>
      </c>
      <c r="B1037" s="6" t="s">
        <v>1212</v>
      </c>
    </row>
    <row r="1038" spans="1:2" x14ac:dyDescent="0.2">
      <c r="A1038" s="6" t="s">
        <v>3196</v>
      </c>
      <c r="B1038" s="6" t="s">
        <v>1203</v>
      </c>
    </row>
    <row r="1039" spans="1:2" x14ac:dyDescent="0.2">
      <c r="A1039" s="6" t="s">
        <v>3197</v>
      </c>
      <c r="B1039" s="6" t="s">
        <v>1206</v>
      </c>
    </row>
    <row r="1040" spans="1:2" x14ac:dyDescent="0.2">
      <c r="A1040" s="6" t="s">
        <v>3198</v>
      </c>
      <c r="B1040" s="6" t="s">
        <v>1209</v>
      </c>
    </row>
    <row r="1041" spans="1:2" x14ac:dyDescent="0.2">
      <c r="A1041" s="6" t="s">
        <v>3199</v>
      </c>
      <c r="B1041" s="6" t="s">
        <v>1211</v>
      </c>
    </row>
    <row r="1042" spans="1:2" x14ac:dyDescent="0.2">
      <c r="A1042" s="6" t="s">
        <v>3200</v>
      </c>
      <c r="B1042" s="6" t="s">
        <v>1202</v>
      </c>
    </row>
    <row r="1043" spans="1:2" x14ac:dyDescent="0.2">
      <c r="A1043" s="6" t="s">
        <v>3201</v>
      </c>
      <c r="B1043" s="6" t="s">
        <v>1204</v>
      </c>
    </row>
    <row r="1044" spans="1:2" x14ac:dyDescent="0.2">
      <c r="A1044" s="6" t="s">
        <v>3202</v>
      </c>
      <c r="B1044" s="6" t="s">
        <v>1208</v>
      </c>
    </row>
    <row r="1045" spans="1:2" x14ac:dyDescent="0.2">
      <c r="A1045" s="6" t="s">
        <v>3203</v>
      </c>
      <c r="B1045" s="6" t="s">
        <v>1210</v>
      </c>
    </row>
    <row r="1046" spans="1:2" x14ac:dyDescent="0.2">
      <c r="A1046" s="6" t="s">
        <v>3204</v>
      </c>
      <c r="B1046" s="6" t="s">
        <v>1216</v>
      </c>
    </row>
    <row r="1047" spans="1:2" x14ac:dyDescent="0.2">
      <c r="A1047" s="6" t="s">
        <v>3205</v>
      </c>
      <c r="B1047" s="6" t="s">
        <v>1218</v>
      </c>
    </row>
    <row r="1048" spans="1:2" x14ac:dyDescent="0.2">
      <c r="A1048" s="6" t="s">
        <v>3206</v>
      </c>
      <c r="B1048" s="6" t="s">
        <v>1222</v>
      </c>
    </row>
    <row r="1049" spans="1:2" x14ac:dyDescent="0.2">
      <c r="A1049" s="6" t="s">
        <v>3207</v>
      </c>
      <c r="B1049" s="6" t="s">
        <v>1223</v>
      </c>
    </row>
    <row r="1050" spans="1:2" x14ac:dyDescent="0.2">
      <c r="A1050" s="6" t="s">
        <v>3208</v>
      </c>
      <c r="B1050" s="6" t="s">
        <v>1215</v>
      </c>
    </row>
    <row r="1051" spans="1:2" x14ac:dyDescent="0.2">
      <c r="A1051" s="6" t="s">
        <v>3209</v>
      </c>
      <c r="B1051" s="6" t="s">
        <v>1219</v>
      </c>
    </row>
    <row r="1052" spans="1:2" x14ac:dyDescent="0.2">
      <c r="A1052" s="6" t="s">
        <v>3210</v>
      </c>
      <c r="B1052" s="6" t="s">
        <v>1220</v>
      </c>
    </row>
    <row r="1053" spans="1:2" x14ac:dyDescent="0.2">
      <c r="A1053" s="6" t="s">
        <v>3211</v>
      </c>
      <c r="B1053" s="6" t="s">
        <v>1224</v>
      </c>
    </row>
    <row r="1054" spans="1:2" x14ac:dyDescent="0.2">
      <c r="A1054" s="6" t="s">
        <v>3212</v>
      </c>
      <c r="B1054" s="6" t="s">
        <v>1214</v>
      </c>
    </row>
    <row r="1055" spans="1:2" x14ac:dyDescent="0.2">
      <c r="A1055" s="6" t="s">
        <v>3213</v>
      </c>
      <c r="B1055" s="6" t="s">
        <v>1217</v>
      </c>
    </row>
    <row r="1056" spans="1:2" x14ac:dyDescent="0.2">
      <c r="A1056" s="6" t="s">
        <v>3214</v>
      </c>
      <c r="B1056" s="6" t="s">
        <v>1221</v>
      </c>
    </row>
    <row r="1057" spans="1:2" x14ac:dyDescent="0.2">
      <c r="A1057" s="6" t="s">
        <v>3215</v>
      </c>
      <c r="B1057" s="6" t="s">
        <v>1225</v>
      </c>
    </row>
    <row r="1058" spans="1:2" x14ac:dyDescent="0.2">
      <c r="A1058" s="6" t="s">
        <v>3216</v>
      </c>
      <c r="B1058" s="6" t="s">
        <v>1228</v>
      </c>
    </row>
    <row r="1059" spans="1:2" x14ac:dyDescent="0.2">
      <c r="A1059" s="6" t="s">
        <v>3217</v>
      </c>
      <c r="B1059" s="6" t="s">
        <v>1230</v>
      </c>
    </row>
    <row r="1060" spans="1:2" x14ac:dyDescent="0.2">
      <c r="A1060" s="6" t="s">
        <v>3218</v>
      </c>
      <c r="B1060" s="6" t="s">
        <v>1234</v>
      </c>
    </row>
    <row r="1061" spans="1:2" x14ac:dyDescent="0.2">
      <c r="A1061" s="6" t="s">
        <v>3219</v>
      </c>
      <c r="B1061" s="6" t="s">
        <v>1236</v>
      </c>
    </row>
    <row r="1062" spans="1:2" x14ac:dyDescent="0.2">
      <c r="A1062" s="6" t="s">
        <v>3220</v>
      </c>
      <c r="B1062" s="6" t="s">
        <v>1227</v>
      </c>
    </row>
    <row r="1063" spans="1:2" x14ac:dyDescent="0.2">
      <c r="A1063" s="6" t="s">
        <v>3221</v>
      </c>
      <c r="B1063" s="6" t="s">
        <v>1232</v>
      </c>
    </row>
    <row r="1064" spans="1:2" x14ac:dyDescent="0.2">
      <c r="A1064" s="6" t="s">
        <v>3222</v>
      </c>
      <c r="B1064" s="6" t="s">
        <v>1233</v>
      </c>
    </row>
    <row r="1065" spans="1:2" x14ac:dyDescent="0.2">
      <c r="A1065" s="6" t="s">
        <v>3223</v>
      </c>
      <c r="B1065" s="6" t="s">
        <v>1237</v>
      </c>
    </row>
    <row r="1066" spans="1:2" x14ac:dyDescent="0.2">
      <c r="A1066" s="6" t="s">
        <v>3224</v>
      </c>
      <c r="B1066" s="6" t="s">
        <v>1229</v>
      </c>
    </row>
    <row r="1067" spans="1:2" x14ac:dyDescent="0.2">
      <c r="A1067" s="6" t="s">
        <v>3225</v>
      </c>
      <c r="B1067" s="6" t="s">
        <v>1231</v>
      </c>
    </row>
    <row r="1068" spans="1:2" x14ac:dyDescent="0.2">
      <c r="A1068" s="6" t="s">
        <v>3226</v>
      </c>
      <c r="B1068" s="6" t="s">
        <v>1235</v>
      </c>
    </row>
    <row r="1069" spans="1:2" x14ac:dyDescent="0.2">
      <c r="A1069" s="6" t="s">
        <v>3227</v>
      </c>
      <c r="B1069" s="6" t="s">
        <v>1238</v>
      </c>
    </row>
    <row r="1070" spans="1:2" x14ac:dyDescent="0.2">
      <c r="A1070" s="6" t="s">
        <v>3228</v>
      </c>
      <c r="B1070" s="6" t="s">
        <v>1241</v>
      </c>
    </row>
    <row r="1071" spans="1:2" x14ac:dyDescent="0.2">
      <c r="A1071" s="6" t="s">
        <v>3229</v>
      </c>
      <c r="B1071" s="6" t="s">
        <v>1244</v>
      </c>
    </row>
    <row r="1072" spans="1:2" x14ac:dyDescent="0.2">
      <c r="A1072" s="6" t="s">
        <v>3230</v>
      </c>
      <c r="B1072" s="6" t="s">
        <v>1246</v>
      </c>
    </row>
    <row r="1073" spans="1:2" x14ac:dyDescent="0.2">
      <c r="A1073" s="6" t="s">
        <v>3231</v>
      </c>
      <c r="B1073" s="6" t="s">
        <v>1251</v>
      </c>
    </row>
    <row r="1074" spans="1:2" x14ac:dyDescent="0.2">
      <c r="A1074" s="6" t="s">
        <v>3232</v>
      </c>
      <c r="B1074" s="6" t="s">
        <v>1242</v>
      </c>
    </row>
    <row r="1075" spans="1:2" x14ac:dyDescent="0.2">
      <c r="A1075" s="6" t="s">
        <v>3233</v>
      </c>
      <c r="B1075" s="6" t="s">
        <v>1245</v>
      </c>
    </row>
    <row r="1076" spans="1:2" x14ac:dyDescent="0.2">
      <c r="A1076" s="6" t="s">
        <v>3234</v>
      </c>
      <c r="B1076" s="6" t="s">
        <v>1248</v>
      </c>
    </row>
    <row r="1077" spans="1:2" x14ac:dyDescent="0.2">
      <c r="A1077" s="6" t="s">
        <v>3235</v>
      </c>
      <c r="B1077" s="6" t="s">
        <v>1249</v>
      </c>
    </row>
    <row r="1078" spans="1:2" x14ac:dyDescent="0.2">
      <c r="A1078" s="6" t="s">
        <v>3236</v>
      </c>
      <c r="B1078" s="6" t="s">
        <v>1240</v>
      </c>
    </row>
    <row r="1079" spans="1:2" x14ac:dyDescent="0.2">
      <c r="A1079" s="6" t="s">
        <v>3237</v>
      </c>
      <c r="B1079" s="6" t="s">
        <v>1243</v>
      </c>
    </row>
    <row r="1080" spans="1:2" x14ac:dyDescent="0.2">
      <c r="A1080" s="6" t="s">
        <v>3238</v>
      </c>
      <c r="B1080" s="6" t="s">
        <v>1247</v>
      </c>
    </row>
    <row r="1081" spans="1:2" x14ac:dyDescent="0.2">
      <c r="A1081" s="6" t="s">
        <v>3239</v>
      </c>
      <c r="B1081" s="6" t="s">
        <v>1250</v>
      </c>
    </row>
    <row r="1082" spans="1:2" x14ac:dyDescent="0.2">
      <c r="A1082" s="18" t="s">
        <v>3240</v>
      </c>
      <c r="B1082" s="6" t="s">
        <v>1256</v>
      </c>
    </row>
    <row r="1083" spans="1:2" x14ac:dyDescent="0.2">
      <c r="A1083" s="6" t="s">
        <v>3241</v>
      </c>
      <c r="B1083" s="6" t="s">
        <v>1257</v>
      </c>
    </row>
    <row r="1084" spans="1:2" x14ac:dyDescent="0.2">
      <c r="A1084" s="6" t="s">
        <v>3242</v>
      </c>
      <c r="B1084" s="6" t="s">
        <v>1262</v>
      </c>
    </row>
    <row r="1085" spans="1:2" x14ac:dyDescent="0.2">
      <c r="A1085" s="6" t="s">
        <v>3243</v>
      </c>
      <c r="B1085" s="6" t="s">
        <v>1263</v>
      </c>
    </row>
    <row r="1086" spans="1:2" x14ac:dyDescent="0.2">
      <c r="A1086" s="6" t="s">
        <v>3244</v>
      </c>
      <c r="B1086" s="6" t="s">
        <v>1253</v>
      </c>
    </row>
    <row r="1087" spans="1:2" x14ac:dyDescent="0.2">
      <c r="A1087" s="6" t="s">
        <v>3245</v>
      </c>
      <c r="B1087" s="6" t="s">
        <v>1258</v>
      </c>
    </row>
    <row r="1088" spans="1:2" x14ac:dyDescent="0.2">
      <c r="A1088" s="6" t="s">
        <v>3246</v>
      </c>
      <c r="B1088" s="6" t="s">
        <v>1260</v>
      </c>
    </row>
    <row r="1089" spans="1:2" x14ac:dyDescent="0.2">
      <c r="A1089" s="6" t="s">
        <v>3247</v>
      </c>
      <c r="B1089" s="6" t="s">
        <v>1265</v>
      </c>
    </row>
    <row r="1090" spans="1:2" x14ac:dyDescent="0.2">
      <c r="A1090" s="6" t="s">
        <v>3248</v>
      </c>
      <c r="B1090" s="6" t="s">
        <v>1255</v>
      </c>
    </row>
    <row r="1091" spans="1:2" x14ac:dyDescent="0.2">
      <c r="A1091" s="6" t="s">
        <v>3249</v>
      </c>
      <c r="B1091" s="6" t="s">
        <v>1259</v>
      </c>
    </row>
    <row r="1092" spans="1:2" x14ac:dyDescent="0.2">
      <c r="A1092" s="6" t="s">
        <v>3250</v>
      </c>
      <c r="B1092" s="6" t="s">
        <v>1261</v>
      </c>
    </row>
    <row r="1093" spans="1:2" x14ac:dyDescent="0.2">
      <c r="A1093" s="6" t="s">
        <v>3251</v>
      </c>
      <c r="B1093" s="6" t="s">
        <v>1264</v>
      </c>
    </row>
    <row r="1094" spans="1:2" x14ac:dyDescent="0.2">
      <c r="A1094" s="6" t="s">
        <v>3252</v>
      </c>
      <c r="B1094" s="6" t="s">
        <v>1267</v>
      </c>
    </row>
    <row r="1095" spans="1:2" x14ac:dyDescent="0.2">
      <c r="A1095" s="6" t="s">
        <v>3253</v>
      </c>
      <c r="B1095" s="6" t="s">
        <v>1270</v>
      </c>
    </row>
    <row r="1096" spans="1:2" x14ac:dyDescent="0.2">
      <c r="A1096" s="6" t="s">
        <v>3254</v>
      </c>
      <c r="B1096" s="6" t="s">
        <v>1274</v>
      </c>
    </row>
    <row r="1097" spans="1:2" x14ac:dyDescent="0.2">
      <c r="A1097" s="6" t="s">
        <v>3255</v>
      </c>
      <c r="B1097" s="6" t="s">
        <v>1277</v>
      </c>
    </row>
    <row r="1098" spans="1:2" x14ac:dyDescent="0.2">
      <c r="A1098" s="6" t="s">
        <v>3256</v>
      </c>
      <c r="B1098" s="6" t="s">
        <v>1268</v>
      </c>
    </row>
    <row r="1099" spans="1:2" x14ac:dyDescent="0.2">
      <c r="A1099" s="6" t="s">
        <v>3257</v>
      </c>
      <c r="B1099" s="6" t="s">
        <v>1271</v>
      </c>
    </row>
    <row r="1100" spans="1:2" x14ac:dyDescent="0.2">
      <c r="A1100" s="6" t="s">
        <v>3258</v>
      </c>
      <c r="B1100" s="6" t="s">
        <v>1275</v>
      </c>
    </row>
    <row r="1101" spans="1:2" x14ac:dyDescent="0.2">
      <c r="A1101" s="6" t="s">
        <v>3259</v>
      </c>
      <c r="B1101" s="6" t="s">
        <v>1278</v>
      </c>
    </row>
    <row r="1102" spans="1:2" x14ac:dyDescent="0.2">
      <c r="A1102" s="6" t="s">
        <v>3260</v>
      </c>
      <c r="B1102" s="6" t="s">
        <v>1269</v>
      </c>
    </row>
    <row r="1103" spans="1:2" x14ac:dyDescent="0.2">
      <c r="A1103" s="6" t="s">
        <v>3261</v>
      </c>
      <c r="B1103" s="6" t="s">
        <v>1272</v>
      </c>
    </row>
    <row r="1104" spans="1:2" x14ac:dyDescent="0.2">
      <c r="A1104" s="6" t="s">
        <v>3262</v>
      </c>
      <c r="B1104" s="6" t="s">
        <v>1273</v>
      </c>
    </row>
    <row r="1105" spans="1:2" x14ac:dyDescent="0.2">
      <c r="A1105" s="6" t="s">
        <v>3263</v>
      </c>
      <c r="B1105" s="6" t="s">
        <v>1276</v>
      </c>
    </row>
    <row r="1106" spans="1:2" x14ac:dyDescent="0.2">
      <c r="A1106" s="6" t="s">
        <v>3264</v>
      </c>
      <c r="B1106" s="6" t="s">
        <v>1281</v>
      </c>
    </row>
    <row r="1107" spans="1:2" x14ac:dyDescent="0.2">
      <c r="A1107" s="6" t="s">
        <v>3265</v>
      </c>
      <c r="B1107" s="6" t="s">
        <v>1285</v>
      </c>
    </row>
    <row r="1108" spans="1:2" x14ac:dyDescent="0.2">
      <c r="A1108" s="6" t="s">
        <v>3266</v>
      </c>
      <c r="B1108" s="6" t="s">
        <v>1286</v>
      </c>
    </row>
    <row r="1109" spans="1:2" x14ac:dyDescent="0.2">
      <c r="A1109" s="6" t="s">
        <v>3267</v>
      </c>
      <c r="B1109" s="6" t="s">
        <v>1289</v>
      </c>
    </row>
    <row r="1110" spans="1:2" x14ac:dyDescent="0.2">
      <c r="A1110" s="6" t="s">
        <v>3268</v>
      </c>
      <c r="B1110" s="6" t="s">
        <v>1280</v>
      </c>
    </row>
    <row r="1111" spans="1:2" x14ac:dyDescent="0.2">
      <c r="A1111" s="6" t="s">
        <v>3269</v>
      </c>
      <c r="B1111" s="6" t="s">
        <v>1284</v>
      </c>
    </row>
    <row r="1112" spans="1:2" x14ac:dyDescent="0.2">
      <c r="A1112" s="6" t="s">
        <v>3270</v>
      </c>
      <c r="B1112" s="6" t="s">
        <v>1288</v>
      </c>
    </row>
    <row r="1113" spans="1:2" x14ac:dyDescent="0.2">
      <c r="A1113" s="6" t="s">
        <v>3271</v>
      </c>
      <c r="B1113" s="6" t="s">
        <v>1291</v>
      </c>
    </row>
    <row r="1114" spans="1:2" x14ac:dyDescent="0.2">
      <c r="A1114" s="6" t="s">
        <v>3272</v>
      </c>
      <c r="B1114" s="6" t="s">
        <v>1282</v>
      </c>
    </row>
    <row r="1115" spans="1:2" x14ac:dyDescent="0.2">
      <c r="A1115" s="6" t="s">
        <v>3273</v>
      </c>
      <c r="B1115" s="6" t="s">
        <v>1283</v>
      </c>
    </row>
    <row r="1116" spans="1:2" x14ac:dyDescent="0.2">
      <c r="A1116" s="6" t="s">
        <v>3274</v>
      </c>
      <c r="B1116" s="6" t="s">
        <v>1287</v>
      </c>
    </row>
    <row r="1117" spans="1:2" x14ac:dyDescent="0.2">
      <c r="A1117" s="6" t="s">
        <v>3275</v>
      </c>
      <c r="B1117" s="6" t="s">
        <v>1290</v>
      </c>
    </row>
    <row r="1118" spans="1:2" x14ac:dyDescent="0.2">
      <c r="A1118" s="6" t="s">
        <v>3276</v>
      </c>
      <c r="B1118" s="6" t="s">
        <v>1295</v>
      </c>
    </row>
    <row r="1119" spans="1:2" x14ac:dyDescent="0.2">
      <c r="A1119" s="6" t="s">
        <v>3277</v>
      </c>
      <c r="B1119" s="6" t="s">
        <v>1296</v>
      </c>
    </row>
    <row r="1120" spans="1:2" x14ac:dyDescent="0.2">
      <c r="A1120" s="6" t="s">
        <v>3278</v>
      </c>
      <c r="B1120" s="6" t="s">
        <v>1301</v>
      </c>
    </row>
    <row r="1121" spans="1:2" x14ac:dyDescent="0.2">
      <c r="A1121" s="6" t="s">
        <v>3279</v>
      </c>
      <c r="B1121" s="6" t="s">
        <v>1303</v>
      </c>
    </row>
    <row r="1122" spans="1:2" x14ac:dyDescent="0.2">
      <c r="A1122" s="6" t="s">
        <v>3280</v>
      </c>
      <c r="B1122" s="6" t="s">
        <v>1293</v>
      </c>
    </row>
    <row r="1123" spans="1:2" x14ac:dyDescent="0.2">
      <c r="A1123" s="6" t="s">
        <v>3281</v>
      </c>
      <c r="B1123" s="6" t="s">
        <v>1297</v>
      </c>
    </row>
    <row r="1124" spans="1:2" x14ac:dyDescent="0.2">
      <c r="A1124" s="6" t="s">
        <v>3282</v>
      </c>
      <c r="B1124" s="6" t="s">
        <v>1300</v>
      </c>
    </row>
    <row r="1125" spans="1:2" x14ac:dyDescent="0.2">
      <c r="A1125" s="6" t="s">
        <v>3283</v>
      </c>
      <c r="B1125" s="6" t="s">
        <v>1304</v>
      </c>
    </row>
    <row r="1126" spans="1:2" x14ac:dyDescent="0.2">
      <c r="A1126" s="6" t="s">
        <v>3284</v>
      </c>
      <c r="B1126" s="6" t="s">
        <v>1294</v>
      </c>
    </row>
    <row r="1127" spans="1:2" x14ac:dyDescent="0.2">
      <c r="A1127" s="6" t="s">
        <v>3285</v>
      </c>
      <c r="B1127" s="6" t="s">
        <v>1298</v>
      </c>
    </row>
    <row r="1128" spans="1:2" x14ac:dyDescent="0.2">
      <c r="A1128" s="6" t="s">
        <v>3286</v>
      </c>
      <c r="B1128" s="6" t="s">
        <v>1299</v>
      </c>
    </row>
    <row r="1129" spans="1:2" x14ac:dyDescent="0.2">
      <c r="A1129" s="6" t="s">
        <v>3287</v>
      </c>
      <c r="B1129" s="6" t="s">
        <v>1302</v>
      </c>
    </row>
    <row r="1130" spans="1:2" x14ac:dyDescent="0.2">
      <c r="A1130" s="6" t="s">
        <v>3288</v>
      </c>
      <c r="B1130" s="6" t="s">
        <v>1307</v>
      </c>
    </row>
    <row r="1131" spans="1:2" x14ac:dyDescent="0.2">
      <c r="A1131" s="6" t="s">
        <v>3289</v>
      </c>
      <c r="B1131" s="6" t="s">
        <v>1310</v>
      </c>
    </row>
    <row r="1132" spans="1:2" x14ac:dyDescent="0.2">
      <c r="A1132" s="6" t="s">
        <v>3290</v>
      </c>
      <c r="B1132" s="6" t="s">
        <v>1313</v>
      </c>
    </row>
    <row r="1133" spans="1:2" x14ac:dyDescent="0.2">
      <c r="A1133" s="6" t="s">
        <v>3291</v>
      </c>
      <c r="B1133" s="6" t="s">
        <v>1316</v>
      </c>
    </row>
    <row r="1134" spans="1:2" x14ac:dyDescent="0.2">
      <c r="A1134" s="6" t="s">
        <v>3292</v>
      </c>
      <c r="B1134" s="6" t="s">
        <v>1308</v>
      </c>
    </row>
    <row r="1135" spans="1:2" x14ac:dyDescent="0.2">
      <c r="A1135" s="6" t="s">
        <v>3293</v>
      </c>
      <c r="B1135" s="6" t="s">
        <v>1309</v>
      </c>
    </row>
    <row r="1136" spans="1:2" x14ac:dyDescent="0.2">
      <c r="A1136" s="6" t="s">
        <v>3294</v>
      </c>
      <c r="B1136" s="6" t="s">
        <v>1314</v>
      </c>
    </row>
    <row r="1137" spans="1:2" x14ac:dyDescent="0.2">
      <c r="A1137" s="6" t="s">
        <v>3295</v>
      </c>
      <c r="B1137" s="6" t="s">
        <v>1315</v>
      </c>
    </row>
    <row r="1138" spans="1:2" x14ac:dyDescent="0.2">
      <c r="A1138" s="6" t="s">
        <v>3296</v>
      </c>
      <c r="B1138" s="6" t="s">
        <v>1306</v>
      </c>
    </row>
    <row r="1139" spans="1:2" x14ac:dyDescent="0.2">
      <c r="A1139" s="6" t="s">
        <v>3297</v>
      </c>
      <c r="B1139" s="6" t="s">
        <v>1311</v>
      </c>
    </row>
    <row r="1140" spans="1:2" x14ac:dyDescent="0.2">
      <c r="A1140" s="6" t="s">
        <v>3298</v>
      </c>
      <c r="B1140" s="6" t="s">
        <v>1312</v>
      </c>
    </row>
    <row r="1141" spans="1:2" x14ac:dyDescent="0.2">
      <c r="A1141" s="6" t="s">
        <v>3299</v>
      </c>
      <c r="B1141" s="6" t="s">
        <v>1317</v>
      </c>
    </row>
    <row r="1142" spans="1:2" x14ac:dyDescent="0.2">
      <c r="A1142" s="6" t="s">
        <v>3300</v>
      </c>
      <c r="B1142" s="6" t="s">
        <v>1319</v>
      </c>
    </row>
    <row r="1143" spans="1:2" x14ac:dyDescent="0.2">
      <c r="A1143" s="6" t="s">
        <v>3301</v>
      </c>
      <c r="B1143" s="6" t="s">
        <v>1324</v>
      </c>
    </row>
    <row r="1144" spans="1:2" x14ac:dyDescent="0.2">
      <c r="A1144" s="6" t="s">
        <v>3302</v>
      </c>
      <c r="B1144" s="6" t="s">
        <v>1327</v>
      </c>
    </row>
    <row r="1145" spans="1:2" x14ac:dyDescent="0.2">
      <c r="A1145" s="6" t="s">
        <v>3303</v>
      </c>
      <c r="B1145" s="6" t="s">
        <v>1329</v>
      </c>
    </row>
    <row r="1146" spans="1:2" x14ac:dyDescent="0.2">
      <c r="A1146" s="6" t="s">
        <v>3304</v>
      </c>
      <c r="B1146" s="6" t="s">
        <v>1320</v>
      </c>
    </row>
    <row r="1147" spans="1:2" x14ac:dyDescent="0.2">
      <c r="A1147" s="6" t="s">
        <v>3305</v>
      </c>
      <c r="B1147" s="6" t="s">
        <v>1322</v>
      </c>
    </row>
    <row r="1148" spans="1:2" x14ac:dyDescent="0.2">
      <c r="A1148" s="6" t="s">
        <v>3306</v>
      </c>
      <c r="B1148" s="6" t="s">
        <v>1328</v>
      </c>
    </row>
    <row r="1149" spans="1:2" x14ac:dyDescent="0.2">
      <c r="A1149" s="6" t="s">
        <v>3307</v>
      </c>
      <c r="B1149" s="6" t="s">
        <v>1330</v>
      </c>
    </row>
    <row r="1150" spans="1:2" x14ac:dyDescent="0.2">
      <c r="A1150" s="6" t="s">
        <v>3308</v>
      </c>
      <c r="B1150" s="6" t="s">
        <v>1321</v>
      </c>
    </row>
    <row r="1151" spans="1:2" x14ac:dyDescent="0.2">
      <c r="A1151" s="6" t="s">
        <v>3309</v>
      </c>
      <c r="B1151" s="6" t="s">
        <v>1323</v>
      </c>
    </row>
    <row r="1152" spans="1:2" x14ac:dyDescent="0.2">
      <c r="A1152" s="6" t="s">
        <v>3310</v>
      </c>
      <c r="B1152" s="6" t="s">
        <v>1326</v>
      </c>
    </row>
    <row r="1153" spans="1:2" x14ac:dyDescent="0.2">
      <c r="A1153" s="6" t="s">
        <v>3311</v>
      </c>
      <c r="B1153" s="6" t="s">
        <v>1331</v>
      </c>
    </row>
    <row r="1154" spans="1:2" x14ac:dyDescent="0.2">
      <c r="A1154" s="6" t="s">
        <v>3312</v>
      </c>
      <c r="B1154" s="6" t="s">
        <v>1334</v>
      </c>
    </row>
    <row r="1155" spans="1:2" x14ac:dyDescent="0.2">
      <c r="A1155" s="6" t="s">
        <v>3313</v>
      </c>
      <c r="B1155" s="6" t="s">
        <v>1338</v>
      </c>
    </row>
    <row r="1156" spans="1:2" x14ac:dyDescent="0.2">
      <c r="A1156" s="6" t="s">
        <v>3314</v>
      </c>
      <c r="B1156" s="6" t="s">
        <v>1341</v>
      </c>
    </row>
    <row r="1157" spans="1:2" x14ac:dyDescent="0.2">
      <c r="A1157" s="6" t="s">
        <v>3315</v>
      </c>
      <c r="B1157" s="6" t="s">
        <v>1344</v>
      </c>
    </row>
    <row r="1158" spans="1:2" x14ac:dyDescent="0.2">
      <c r="A1158" s="6" t="s">
        <v>3316</v>
      </c>
      <c r="B1158" s="6" t="s">
        <v>1333</v>
      </c>
    </row>
    <row r="1159" spans="1:2" x14ac:dyDescent="0.2">
      <c r="A1159" s="6" t="s">
        <v>3317</v>
      </c>
      <c r="B1159" s="6" t="s">
        <v>1336</v>
      </c>
    </row>
    <row r="1160" spans="1:2" x14ac:dyDescent="0.2">
      <c r="A1160" s="6" t="s">
        <v>3318</v>
      </c>
      <c r="B1160" s="6" t="s">
        <v>1339</v>
      </c>
    </row>
    <row r="1161" spans="1:2" x14ac:dyDescent="0.2">
      <c r="A1161" s="6" t="s">
        <v>3319</v>
      </c>
      <c r="B1161" s="6" t="s">
        <v>1342</v>
      </c>
    </row>
    <row r="1162" spans="1:2" x14ac:dyDescent="0.2">
      <c r="A1162" s="6" t="s">
        <v>3320</v>
      </c>
      <c r="B1162" s="6" t="s">
        <v>1335</v>
      </c>
    </row>
    <row r="1163" spans="1:2" x14ac:dyDescent="0.2">
      <c r="A1163" s="6" t="s">
        <v>3321</v>
      </c>
      <c r="B1163" s="6" t="s">
        <v>1337</v>
      </c>
    </row>
    <row r="1164" spans="1:2" x14ac:dyDescent="0.2">
      <c r="A1164" s="6" t="s">
        <v>3322</v>
      </c>
      <c r="B1164" s="6" t="s">
        <v>1340</v>
      </c>
    </row>
    <row r="1165" spans="1:2" x14ac:dyDescent="0.2">
      <c r="A1165" s="6" t="s">
        <v>3323</v>
      </c>
      <c r="B1165" s="6" t="s">
        <v>1343</v>
      </c>
    </row>
    <row r="1166" spans="1:2" x14ac:dyDescent="0.2">
      <c r="A1166" s="6" t="s">
        <v>3324</v>
      </c>
      <c r="B1166" s="6" t="s">
        <v>1348</v>
      </c>
    </row>
    <row r="1167" spans="1:2" x14ac:dyDescent="0.2">
      <c r="A1167" s="6" t="s">
        <v>3325</v>
      </c>
      <c r="B1167" s="6" t="s">
        <v>1349</v>
      </c>
    </row>
    <row r="1168" spans="1:2" x14ac:dyDescent="0.2">
      <c r="A1168" s="6" t="s">
        <v>3326</v>
      </c>
      <c r="B1168" s="6" t="s">
        <v>1354</v>
      </c>
    </row>
    <row r="1169" spans="1:2" x14ac:dyDescent="0.2">
      <c r="A1169" s="6" t="s">
        <v>3327</v>
      </c>
      <c r="B1169" s="6" t="s">
        <v>1357</v>
      </c>
    </row>
    <row r="1170" spans="1:2" x14ac:dyDescent="0.2">
      <c r="A1170" s="6" t="s">
        <v>3328</v>
      </c>
      <c r="B1170" s="6" t="s">
        <v>1346</v>
      </c>
    </row>
    <row r="1171" spans="1:2" x14ac:dyDescent="0.2">
      <c r="A1171" s="6" t="s">
        <v>3329</v>
      </c>
      <c r="B1171" s="6" t="s">
        <v>1351</v>
      </c>
    </row>
    <row r="1172" spans="1:2" x14ac:dyDescent="0.2">
      <c r="A1172" s="6" t="s">
        <v>3330</v>
      </c>
      <c r="B1172" s="6" t="s">
        <v>1353</v>
      </c>
    </row>
    <row r="1173" spans="1:2" x14ac:dyDescent="0.2">
      <c r="A1173" s="6" t="s">
        <v>3331</v>
      </c>
      <c r="B1173" s="6" t="s">
        <v>1355</v>
      </c>
    </row>
    <row r="1174" spans="1:2" x14ac:dyDescent="0.2">
      <c r="A1174" s="6" t="s">
        <v>3332</v>
      </c>
      <c r="B1174" s="6" t="s">
        <v>1347</v>
      </c>
    </row>
    <row r="1175" spans="1:2" x14ac:dyDescent="0.2">
      <c r="A1175" s="6" t="s">
        <v>3333</v>
      </c>
      <c r="B1175" s="6" t="s">
        <v>1350</v>
      </c>
    </row>
    <row r="1176" spans="1:2" x14ac:dyDescent="0.2">
      <c r="A1176" s="6" t="s">
        <v>3334</v>
      </c>
      <c r="B1176" s="6" t="s">
        <v>1352</v>
      </c>
    </row>
    <row r="1177" spans="1:2" x14ac:dyDescent="0.2">
      <c r="A1177" s="6" t="s">
        <v>3335</v>
      </c>
      <c r="B1177" s="6" t="s">
        <v>1356</v>
      </c>
    </row>
    <row r="1178" spans="1:2" x14ac:dyDescent="0.2">
      <c r="A1178" s="6" t="s">
        <v>3336</v>
      </c>
      <c r="B1178" s="6" t="s">
        <v>1361</v>
      </c>
    </row>
    <row r="1179" spans="1:2" x14ac:dyDescent="0.2">
      <c r="A1179" s="6" t="s">
        <v>3337</v>
      </c>
      <c r="B1179" s="6" t="s">
        <v>1362</v>
      </c>
    </row>
    <row r="1180" spans="1:2" x14ac:dyDescent="0.2">
      <c r="A1180" s="6" t="s">
        <v>3338</v>
      </c>
      <c r="B1180" s="6" t="s">
        <v>1365</v>
      </c>
    </row>
    <row r="1181" spans="1:2" x14ac:dyDescent="0.2">
      <c r="A1181" s="6" t="s">
        <v>3339</v>
      </c>
      <c r="B1181" s="6" t="s">
        <v>1369</v>
      </c>
    </row>
    <row r="1182" spans="1:2" x14ac:dyDescent="0.2">
      <c r="A1182" s="6" t="s">
        <v>3340</v>
      </c>
      <c r="B1182" s="6" t="s">
        <v>1360</v>
      </c>
    </row>
    <row r="1183" spans="1:2" x14ac:dyDescent="0.2">
      <c r="A1183" s="6" t="s">
        <v>3341</v>
      </c>
      <c r="B1183" s="6" t="s">
        <v>1363</v>
      </c>
    </row>
    <row r="1184" spans="1:2" x14ac:dyDescent="0.2">
      <c r="A1184" s="6" t="s">
        <v>3342</v>
      </c>
      <c r="B1184" s="6" t="s">
        <v>1367</v>
      </c>
    </row>
    <row r="1185" spans="1:2" x14ac:dyDescent="0.2">
      <c r="A1185" s="6" t="s">
        <v>3343</v>
      </c>
      <c r="B1185" s="6" t="s">
        <v>1368</v>
      </c>
    </row>
    <row r="1186" spans="1:2" x14ac:dyDescent="0.2">
      <c r="A1186" s="6" t="s">
        <v>3344</v>
      </c>
      <c r="B1186" s="6" t="s">
        <v>1359</v>
      </c>
    </row>
    <row r="1187" spans="1:2" x14ac:dyDescent="0.2">
      <c r="A1187" s="6" t="s">
        <v>3345</v>
      </c>
      <c r="B1187" s="6" t="s">
        <v>1364</v>
      </c>
    </row>
    <row r="1188" spans="1:2" x14ac:dyDescent="0.2">
      <c r="A1188" s="6" t="s">
        <v>3346</v>
      </c>
      <c r="B1188" s="6" t="s">
        <v>1366</v>
      </c>
    </row>
    <row r="1189" spans="1:2" x14ac:dyDescent="0.2">
      <c r="A1189" s="6" t="s">
        <v>3347</v>
      </c>
      <c r="B1189" s="6" t="s">
        <v>1370</v>
      </c>
    </row>
    <row r="1190" spans="1:2" x14ac:dyDescent="0.2">
      <c r="A1190" s="6" t="s">
        <v>3348</v>
      </c>
      <c r="B1190" s="6" t="s">
        <v>1373</v>
      </c>
    </row>
    <row r="1191" spans="1:2" x14ac:dyDescent="0.2">
      <c r="A1191" s="6" t="s">
        <v>3349</v>
      </c>
      <c r="B1191" s="6" t="s">
        <v>1377</v>
      </c>
    </row>
    <row r="1192" spans="1:2" x14ac:dyDescent="0.2">
      <c r="A1192" s="6" t="s">
        <v>3350</v>
      </c>
      <c r="B1192" s="6" t="s">
        <v>1380</v>
      </c>
    </row>
    <row r="1193" spans="1:2" x14ac:dyDescent="0.2">
      <c r="A1193" s="6" t="s">
        <v>3351</v>
      </c>
      <c r="B1193" s="6" t="s">
        <v>1381</v>
      </c>
    </row>
    <row r="1194" spans="1:2" x14ac:dyDescent="0.2">
      <c r="A1194" s="6" t="s">
        <v>3352</v>
      </c>
      <c r="B1194" s="6" t="s">
        <v>1372</v>
      </c>
    </row>
    <row r="1195" spans="1:2" x14ac:dyDescent="0.2">
      <c r="A1195" s="6" t="s">
        <v>3353</v>
      </c>
      <c r="B1195" s="6" t="s">
        <v>1375</v>
      </c>
    </row>
    <row r="1196" spans="1:2" x14ac:dyDescent="0.2">
      <c r="A1196" s="6" t="s">
        <v>3354</v>
      </c>
      <c r="B1196" s="6" t="s">
        <v>1379</v>
      </c>
    </row>
    <row r="1197" spans="1:2" x14ac:dyDescent="0.2">
      <c r="A1197" s="6" t="s">
        <v>3355</v>
      </c>
      <c r="B1197" s="6" t="s">
        <v>1383</v>
      </c>
    </row>
    <row r="1198" spans="1:2" x14ac:dyDescent="0.2">
      <c r="A1198" s="6" t="s">
        <v>3356</v>
      </c>
      <c r="B1198" s="6" t="s">
        <v>1374</v>
      </c>
    </row>
    <row r="1199" spans="1:2" x14ac:dyDescent="0.2">
      <c r="A1199" s="6" t="s">
        <v>3357</v>
      </c>
      <c r="B1199" s="6" t="s">
        <v>1376</v>
      </c>
    </row>
    <row r="1200" spans="1:2" x14ac:dyDescent="0.2">
      <c r="A1200" s="6" t="s">
        <v>3358</v>
      </c>
      <c r="B1200" s="6" t="s">
        <v>1378</v>
      </c>
    </row>
    <row r="1201" spans="1:2" x14ac:dyDescent="0.2">
      <c r="A1201" s="6" t="s">
        <v>3359</v>
      </c>
      <c r="B1201" s="6" t="s">
        <v>1382</v>
      </c>
    </row>
    <row r="1202" spans="1:2" x14ac:dyDescent="0.2">
      <c r="A1202" s="6" t="s">
        <v>3360</v>
      </c>
      <c r="B1202" s="6" t="s">
        <v>1386</v>
      </c>
    </row>
    <row r="1203" spans="1:2" x14ac:dyDescent="0.2">
      <c r="A1203" s="6" t="s">
        <v>3361</v>
      </c>
      <c r="B1203" s="6" t="s">
        <v>1390</v>
      </c>
    </row>
    <row r="1204" spans="1:2" x14ac:dyDescent="0.2">
      <c r="A1204" s="6" t="s">
        <v>3362</v>
      </c>
      <c r="B1204" s="6" t="s">
        <v>1392</v>
      </c>
    </row>
    <row r="1205" spans="1:2" x14ac:dyDescent="0.2">
      <c r="A1205" s="6" t="s">
        <v>3363</v>
      </c>
      <c r="B1205" s="6" t="s">
        <v>1396</v>
      </c>
    </row>
    <row r="1206" spans="1:2" x14ac:dyDescent="0.2">
      <c r="A1206" s="6" t="s">
        <v>3364</v>
      </c>
      <c r="B1206" s="6" t="s">
        <v>1385</v>
      </c>
    </row>
    <row r="1207" spans="1:2" x14ac:dyDescent="0.2">
      <c r="A1207" s="6" t="s">
        <v>3365</v>
      </c>
      <c r="B1207" s="6" t="s">
        <v>1388</v>
      </c>
    </row>
    <row r="1208" spans="1:2" x14ac:dyDescent="0.2">
      <c r="A1208" s="6" t="s">
        <v>3366</v>
      </c>
      <c r="B1208" s="6" t="s">
        <v>1391</v>
      </c>
    </row>
    <row r="1209" spans="1:2" x14ac:dyDescent="0.2">
      <c r="A1209" s="6" t="s">
        <v>3367</v>
      </c>
      <c r="B1209" s="6" t="s">
        <v>1397</v>
      </c>
    </row>
    <row r="1210" spans="1:2" x14ac:dyDescent="0.2">
      <c r="A1210" s="6" t="s">
        <v>3368</v>
      </c>
      <c r="B1210" s="6" t="s">
        <v>1387</v>
      </c>
    </row>
    <row r="1211" spans="1:2" x14ac:dyDescent="0.2">
      <c r="A1211" s="6" t="s">
        <v>3369</v>
      </c>
      <c r="B1211" s="6" t="s">
        <v>1389</v>
      </c>
    </row>
    <row r="1212" spans="1:2" x14ac:dyDescent="0.2">
      <c r="A1212" s="6" t="s">
        <v>3370</v>
      </c>
      <c r="B1212" s="6" t="s">
        <v>1393</v>
      </c>
    </row>
    <row r="1213" spans="1:2" x14ac:dyDescent="0.2">
      <c r="A1213" s="6" t="s">
        <v>3371</v>
      </c>
      <c r="B1213" s="6" t="s">
        <v>1395</v>
      </c>
    </row>
    <row r="1214" spans="1:2" x14ac:dyDescent="0.2">
      <c r="A1214" s="6" t="s">
        <v>3372</v>
      </c>
      <c r="B1214" s="6" t="s">
        <v>1401</v>
      </c>
    </row>
    <row r="1215" spans="1:2" x14ac:dyDescent="0.2">
      <c r="A1215" s="6" t="s">
        <v>3373</v>
      </c>
      <c r="B1215" s="6" t="s">
        <v>1403</v>
      </c>
    </row>
    <row r="1216" spans="1:2" x14ac:dyDescent="0.2">
      <c r="A1216" s="6" t="s">
        <v>3374</v>
      </c>
      <c r="B1216" s="6" t="s">
        <v>1405</v>
      </c>
    </row>
    <row r="1217" spans="1:2" x14ac:dyDescent="0.2">
      <c r="A1217" s="6" t="s">
        <v>3375</v>
      </c>
      <c r="B1217" s="6" t="s">
        <v>1410</v>
      </c>
    </row>
    <row r="1218" spans="1:2" x14ac:dyDescent="0.2">
      <c r="A1218" s="6" t="s">
        <v>3376</v>
      </c>
      <c r="B1218" s="6" t="s">
        <v>1399</v>
      </c>
    </row>
    <row r="1219" spans="1:2" x14ac:dyDescent="0.2">
      <c r="A1219" s="6" t="s">
        <v>3377</v>
      </c>
      <c r="B1219" s="6" t="s">
        <v>1402</v>
      </c>
    </row>
    <row r="1220" spans="1:2" x14ac:dyDescent="0.2">
      <c r="A1220" s="6" t="s">
        <v>3378</v>
      </c>
      <c r="B1220" s="6" t="s">
        <v>1406</v>
      </c>
    </row>
    <row r="1221" spans="1:2" x14ac:dyDescent="0.2">
      <c r="A1221" s="6" t="s">
        <v>3379</v>
      </c>
      <c r="B1221" s="6" t="s">
        <v>1409</v>
      </c>
    </row>
    <row r="1222" spans="1:2" x14ac:dyDescent="0.2">
      <c r="A1222" s="6" t="s">
        <v>3380</v>
      </c>
      <c r="B1222" s="6" t="s">
        <v>1400</v>
      </c>
    </row>
    <row r="1223" spans="1:2" x14ac:dyDescent="0.2">
      <c r="A1223" s="6" t="s">
        <v>3381</v>
      </c>
      <c r="B1223" s="6" t="s">
        <v>1404</v>
      </c>
    </row>
    <row r="1224" spans="1:2" x14ac:dyDescent="0.2">
      <c r="A1224" s="6" t="s">
        <v>3382</v>
      </c>
      <c r="B1224" s="6" t="s">
        <v>1407</v>
      </c>
    </row>
    <row r="1225" spans="1:2" x14ac:dyDescent="0.2">
      <c r="A1225" s="6" t="s">
        <v>3383</v>
      </c>
      <c r="B1225" s="6" t="s">
        <v>1408</v>
      </c>
    </row>
    <row r="1226" spans="1:2" x14ac:dyDescent="0.2">
      <c r="A1226" s="6" t="s">
        <v>3384</v>
      </c>
      <c r="B1226" s="6" t="s">
        <v>1412</v>
      </c>
    </row>
    <row r="1227" spans="1:2" x14ac:dyDescent="0.2">
      <c r="A1227" s="6" t="s">
        <v>3385</v>
      </c>
      <c r="B1227" s="6" t="s">
        <v>1417</v>
      </c>
    </row>
    <row r="1228" spans="1:2" x14ac:dyDescent="0.2">
      <c r="A1228" s="6" t="s">
        <v>3386</v>
      </c>
      <c r="B1228" s="6" t="s">
        <v>1418</v>
      </c>
    </row>
    <row r="1229" spans="1:2" x14ac:dyDescent="0.2">
      <c r="A1229" s="6" t="s">
        <v>3387</v>
      </c>
      <c r="B1229" s="6" t="s">
        <v>1422</v>
      </c>
    </row>
    <row r="1230" spans="1:2" x14ac:dyDescent="0.2">
      <c r="A1230" s="6" t="s">
        <v>3388</v>
      </c>
      <c r="B1230" s="6" t="s">
        <v>1413</v>
      </c>
    </row>
    <row r="1231" spans="1:2" x14ac:dyDescent="0.2">
      <c r="A1231" s="6" t="s">
        <v>3389</v>
      </c>
      <c r="B1231" s="6" t="s">
        <v>1415</v>
      </c>
    </row>
    <row r="1232" spans="1:2" x14ac:dyDescent="0.2">
      <c r="A1232" s="6" t="s">
        <v>3390</v>
      </c>
      <c r="B1232" s="6" t="s">
        <v>1420</v>
      </c>
    </row>
    <row r="1233" spans="1:2" x14ac:dyDescent="0.2">
      <c r="A1233" s="6" t="s">
        <v>3391</v>
      </c>
      <c r="B1233" s="6" t="s">
        <v>1421</v>
      </c>
    </row>
    <row r="1234" spans="1:2" x14ac:dyDescent="0.2">
      <c r="A1234" s="6" t="s">
        <v>3392</v>
      </c>
      <c r="B1234" s="6" t="s">
        <v>1414</v>
      </c>
    </row>
    <row r="1235" spans="1:2" x14ac:dyDescent="0.2">
      <c r="A1235" s="6" t="s">
        <v>3393</v>
      </c>
      <c r="B1235" s="6" t="s">
        <v>1416</v>
      </c>
    </row>
    <row r="1236" spans="1:2" x14ac:dyDescent="0.2">
      <c r="A1236" s="6" t="s">
        <v>3394</v>
      </c>
      <c r="B1236" s="6" t="s">
        <v>1419</v>
      </c>
    </row>
    <row r="1237" spans="1:2" x14ac:dyDescent="0.2">
      <c r="A1237" s="6" t="s">
        <v>3395</v>
      </c>
      <c r="B1237" s="6" t="s">
        <v>1423</v>
      </c>
    </row>
    <row r="1238" spans="1:2" x14ac:dyDescent="0.2">
      <c r="A1238" s="6" t="s">
        <v>3396</v>
      </c>
      <c r="B1238" s="6" t="s">
        <v>1425</v>
      </c>
    </row>
    <row r="1239" spans="1:2" x14ac:dyDescent="0.2">
      <c r="A1239" s="6" t="s">
        <v>3397</v>
      </c>
      <c r="B1239" s="6" t="s">
        <v>1429</v>
      </c>
    </row>
    <row r="1240" spans="1:2" x14ac:dyDescent="0.2">
      <c r="A1240" s="6" t="s">
        <v>3398</v>
      </c>
      <c r="B1240" s="6" t="s">
        <v>1433</v>
      </c>
    </row>
    <row r="1241" spans="1:2" x14ac:dyDescent="0.2">
      <c r="A1241" s="6" t="s">
        <v>3399</v>
      </c>
      <c r="B1241" s="6" t="s">
        <v>1436</v>
      </c>
    </row>
    <row r="1242" spans="1:2" x14ac:dyDescent="0.2">
      <c r="A1242" s="6" t="s">
        <v>3400</v>
      </c>
      <c r="B1242" s="6" t="s">
        <v>1426</v>
      </c>
    </row>
    <row r="1243" spans="1:2" x14ac:dyDescent="0.2">
      <c r="A1243" s="6" t="s">
        <v>3401</v>
      </c>
      <c r="B1243" s="6" t="s">
        <v>1428</v>
      </c>
    </row>
    <row r="1244" spans="1:2" x14ac:dyDescent="0.2">
      <c r="A1244" s="6" t="s">
        <v>3402</v>
      </c>
      <c r="B1244" s="6" t="s">
        <v>1432</v>
      </c>
    </row>
    <row r="1245" spans="1:2" x14ac:dyDescent="0.2">
      <c r="A1245" s="6" t="s">
        <v>3403</v>
      </c>
      <c r="B1245" s="6" t="s">
        <v>1438</v>
      </c>
    </row>
    <row r="1246" spans="1:2" x14ac:dyDescent="0.2">
      <c r="A1246" s="6" t="s">
        <v>3404</v>
      </c>
      <c r="B1246" s="6" t="s">
        <v>1427</v>
      </c>
    </row>
    <row r="1247" spans="1:2" x14ac:dyDescent="0.2">
      <c r="A1247" s="6" t="s">
        <v>3405</v>
      </c>
      <c r="B1247" s="6" t="s">
        <v>1431</v>
      </c>
    </row>
    <row r="1248" spans="1:2" x14ac:dyDescent="0.2">
      <c r="A1248" s="6" t="s">
        <v>3406</v>
      </c>
      <c r="B1248" s="6" t="s">
        <v>1434</v>
      </c>
    </row>
    <row r="1249" spans="1:2" x14ac:dyDescent="0.2">
      <c r="A1249" s="6" t="s">
        <v>3407</v>
      </c>
      <c r="B1249" s="6" t="s">
        <v>1435</v>
      </c>
    </row>
    <row r="1250" spans="1:2" x14ac:dyDescent="0.2">
      <c r="A1250" s="6" t="s">
        <v>3408</v>
      </c>
      <c r="B1250" s="6" t="s">
        <v>1441</v>
      </c>
    </row>
    <row r="1251" spans="1:2" x14ac:dyDescent="0.2">
      <c r="A1251" s="6" t="s">
        <v>3409</v>
      </c>
      <c r="B1251" s="6" t="s">
        <v>1443</v>
      </c>
    </row>
    <row r="1252" spans="1:2" x14ac:dyDescent="0.2">
      <c r="A1252" s="6" t="s">
        <v>3410</v>
      </c>
      <c r="B1252" s="6" t="s">
        <v>1448</v>
      </c>
    </row>
    <row r="1253" spans="1:2" x14ac:dyDescent="0.2">
      <c r="A1253" s="6" t="s">
        <v>3411</v>
      </c>
      <c r="B1253" s="6" t="s">
        <v>1450</v>
      </c>
    </row>
    <row r="1254" spans="1:2" x14ac:dyDescent="0.2">
      <c r="A1254" s="6" t="s">
        <v>3412</v>
      </c>
      <c r="B1254" s="6" t="s">
        <v>1442</v>
      </c>
    </row>
    <row r="1255" spans="1:2" x14ac:dyDescent="0.2">
      <c r="A1255" s="6" t="s">
        <v>3413</v>
      </c>
      <c r="B1255" s="6" t="s">
        <v>1445</v>
      </c>
    </row>
    <row r="1256" spans="1:2" x14ac:dyDescent="0.2">
      <c r="A1256" s="6" t="s">
        <v>3414</v>
      </c>
      <c r="B1256" s="6" t="s">
        <v>1447</v>
      </c>
    </row>
    <row r="1257" spans="1:2" x14ac:dyDescent="0.2">
      <c r="A1257" s="6" t="s">
        <v>3415</v>
      </c>
      <c r="B1257" s="6" t="s">
        <v>1449</v>
      </c>
    </row>
    <row r="1258" spans="1:2" x14ac:dyDescent="0.2">
      <c r="A1258" s="6" t="s">
        <v>3416</v>
      </c>
      <c r="B1258" s="6" t="s">
        <v>1440</v>
      </c>
    </row>
    <row r="1259" spans="1:2" x14ac:dyDescent="0.2">
      <c r="A1259" s="6" t="s">
        <v>3417</v>
      </c>
      <c r="B1259" s="6" t="s">
        <v>1444</v>
      </c>
    </row>
    <row r="1260" spans="1:2" x14ac:dyDescent="0.2">
      <c r="A1260" s="6" t="s">
        <v>3418</v>
      </c>
      <c r="B1260" s="6" t="s">
        <v>1446</v>
      </c>
    </row>
    <row r="1261" spans="1:2" x14ac:dyDescent="0.2">
      <c r="A1261" s="6" t="s">
        <v>3419</v>
      </c>
      <c r="B1261" s="6" t="s">
        <v>1451</v>
      </c>
    </row>
    <row r="1262" spans="1:2" x14ac:dyDescent="0.2">
      <c r="A1262" s="6" t="s">
        <v>2154</v>
      </c>
      <c r="B1262" s="6" t="s">
        <v>1454</v>
      </c>
    </row>
    <row r="1263" spans="1:2" x14ac:dyDescent="0.2">
      <c r="A1263" s="6" t="s">
        <v>2196</v>
      </c>
      <c r="B1263" s="6" t="s">
        <v>1458</v>
      </c>
    </row>
    <row r="1264" spans="1:2" x14ac:dyDescent="0.2">
      <c r="A1264" s="6" t="s">
        <v>2212</v>
      </c>
      <c r="B1264" s="6" t="s">
        <v>1459</v>
      </c>
    </row>
    <row r="1265" spans="1:2" x14ac:dyDescent="0.2">
      <c r="A1265" s="6" t="s">
        <v>3420</v>
      </c>
      <c r="B1265" s="6" t="s">
        <v>1463</v>
      </c>
    </row>
    <row r="1266" spans="1:2" x14ac:dyDescent="0.2">
      <c r="A1266" s="6" t="s">
        <v>2164</v>
      </c>
      <c r="B1266" s="6" t="s">
        <v>1455</v>
      </c>
    </row>
    <row r="1267" spans="1:2" x14ac:dyDescent="0.2">
      <c r="A1267" s="6" t="s">
        <v>2175</v>
      </c>
      <c r="B1267" s="6" t="s">
        <v>1456</v>
      </c>
    </row>
    <row r="1268" spans="1:2" x14ac:dyDescent="0.2">
      <c r="A1268" s="6" t="s">
        <v>2145</v>
      </c>
      <c r="B1268" s="6" t="s">
        <v>1461</v>
      </c>
    </row>
    <row r="1269" spans="1:2" x14ac:dyDescent="0.2">
      <c r="A1269" s="6" t="s">
        <v>3421</v>
      </c>
      <c r="B1269" s="6" t="s">
        <v>1462</v>
      </c>
    </row>
    <row r="1270" spans="1:2" x14ac:dyDescent="0.2">
      <c r="A1270" s="6" t="s">
        <v>2149</v>
      </c>
      <c r="B1270" s="6" t="s">
        <v>1453</v>
      </c>
    </row>
    <row r="1271" spans="1:2" x14ac:dyDescent="0.2">
      <c r="A1271" s="6" t="s">
        <v>2184</v>
      </c>
      <c r="B1271" s="6" t="s">
        <v>1457</v>
      </c>
    </row>
    <row r="1272" spans="1:2" x14ac:dyDescent="0.2">
      <c r="A1272" s="6" t="s">
        <v>2143</v>
      </c>
      <c r="B1272" s="6" t="s">
        <v>1460</v>
      </c>
    </row>
    <row r="1273" spans="1:2" x14ac:dyDescent="0.2">
      <c r="A1273" s="6" t="s">
        <v>3422</v>
      </c>
      <c r="B1273" s="6" t="s">
        <v>1464</v>
      </c>
    </row>
    <row r="1274" spans="1:2" x14ac:dyDescent="0.2">
      <c r="A1274" s="6" t="s">
        <v>3423</v>
      </c>
      <c r="B1274" s="6" t="s">
        <v>1469</v>
      </c>
    </row>
    <row r="1275" spans="1:2" x14ac:dyDescent="0.2">
      <c r="A1275" s="6" t="s">
        <v>3424</v>
      </c>
      <c r="B1275" s="6" t="s">
        <v>1470</v>
      </c>
    </row>
    <row r="1276" spans="1:2" x14ac:dyDescent="0.2">
      <c r="A1276" s="6" t="s">
        <v>3425</v>
      </c>
      <c r="B1276" s="6" t="s">
        <v>1474</v>
      </c>
    </row>
    <row r="1277" spans="1:2" x14ac:dyDescent="0.2">
      <c r="A1277" s="6" t="s">
        <v>3426</v>
      </c>
      <c r="B1277" s="6" t="s">
        <v>1477</v>
      </c>
    </row>
    <row r="1278" spans="1:2" x14ac:dyDescent="0.2">
      <c r="A1278" s="6" t="s">
        <v>3427</v>
      </c>
      <c r="B1278" s="6" t="s">
        <v>1467</v>
      </c>
    </row>
    <row r="1279" spans="1:2" x14ac:dyDescent="0.2">
      <c r="A1279" s="6" t="s">
        <v>3428</v>
      </c>
      <c r="B1279" s="6" t="s">
        <v>1471</v>
      </c>
    </row>
    <row r="1280" spans="1:2" x14ac:dyDescent="0.2">
      <c r="A1280" s="6" t="s">
        <v>3429</v>
      </c>
      <c r="B1280" s="6" t="s">
        <v>1473</v>
      </c>
    </row>
    <row r="1281" spans="1:2" x14ac:dyDescent="0.2">
      <c r="A1281" s="6" t="s">
        <v>3430</v>
      </c>
      <c r="B1281" s="6" t="s">
        <v>1478</v>
      </c>
    </row>
    <row r="1282" spans="1:2" x14ac:dyDescent="0.2">
      <c r="A1282" s="6" t="s">
        <v>3431</v>
      </c>
      <c r="B1282" s="6" t="s">
        <v>1468</v>
      </c>
    </row>
    <row r="1283" spans="1:2" x14ac:dyDescent="0.2">
      <c r="A1283" s="6" t="s">
        <v>3432</v>
      </c>
      <c r="B1283" s="6" t="s">
        <v>1472</v>
      </c>
    </row>
    <row r="1284" spans="1:2" x14ac:dyDescent="0.2">
      <c r="A1284" s="6" t="s">
        <v>3433</v>
      </c>
      <c r="B1284" s="6" t="s">
        <v>1475</v>
      </c>
    </row>
    <row r="1285" spans="1:2" x14ac:dyDescent="0.2">
      <c r="A1285" s="6" t="s">
        <v>3434</v>
      </c>
      <c r="B1285" s="6" t="s">
        <v>1476</v>
      </c>
    </row>
    <row r="1286" spans="1:2" x14ac:dyDescent="0.2">
      <c r="A1286" s="6" t="s">
        <v>3435</v>
      </c>
      <c r="B1286" s="6" t="s">
        <v>1480</v>
      </c>
    </row>
    <row r="1287" spans="1:2" x14ac:dyDescent="0.2">
      <c r="A1287" s="6" t="s">
        <v>3436</v>
      </c>
      <c r="B1287" s="6" t="s">
        <v>1484</v>
      </c>
    </row>
    <row r="1288" spans="1:2" x14ac:dyDescent="0.2">
      <c r="A1288" s="6" t="s">
        <v>3437</v>
      </c>
      <c r="B1288" s="6" t="s">
        <v>1489</v>
      </c>
    </row>
    <row r="1289" spans="1:2" x14ac:dyDescent="0.2">
      <c r="A1289" s="6" t="s">
        <v>3438</v>
      </c>
      <c r="B1289" s="6" t="s">
        <v>1490</v>
      </c>
    </row>
    <row r="1290" spans="1:2" x14ac:dyDescent="0.2">
      <c r="A1290" s="6" t="s">
        <v>3439</v>
      </c>
      <c r="B1290" s="6" t="s">
        <v>1481</v>
      </c>
    </row>
    <row r="1291" spans="1:2" x14ac:dyDescent="0.2">
      <c r="A1291" s="6" t="s">
        <v>3440</v>
      </c>
      <c r="B1291" s="6" t="s">
        <v>1486</v>
      </c>
    </row>
    <row r="1292" spans="1:2" x14ac:dyDescent="0.2">
      <c r="A1292" s="6" t="s">
        <v>3441</v>
      </c>
      <c r="B1292" s="6" t="s">
        <v>1487</v>
      </c>
    </row>
    <row r="1293" spans="1:2" x14ac:dyDescent="0.2">
      <c r="A1293" s="6" t="s">
        <v>3442</v>
      </c>
      <c r="B1293" s="6" t="s">
        <v>1492</v>
      </c>
    </row>
    <row r="1294" spans="1:2" x14ac:dyDescent="0.2">
      <c r="A1294" s="6" t="s">
        <v>3443</v>
      </c>
      <c r="B1294" s="6" t="s">
        <v>1482</v>
      </c>
    </row>
    <row r="1295" spans="1:2" x14ac:dyDescent="0.2">
      <c r="A1295" s="6" t="s">
        <v>3444</v>
      </c>
      <c r="B1295" s="6" t="s">
        <v>1485</v>
      </c>
    </row>
    <row r="1296" spans="1:2" x14ac:dyDescent="0.2">
      <c r="A1296" s="6" t="s">
        <v>3445</v>
      </c>
      <c r="B1296" s="6" t="s">
        <v>1488</v>
      </c>
    </row>
    <row r="1297" spans="1:2" x14ac:dyDescent="0.2">
      <c r="A1297" s="6" t="s">
        <v>3446</v>
      </c>
      <c r="B1297" s="6" t="s">
        <v>1491</v>
      </c>
    </row>
    <row r="1298" spans="1:2" x14ac:dyDescent="0.2">
      <c r="A1298" s="6" t="s">
        <v>3447</v>
      </c>
      <c r="B1298" s="6" t="s">
        <v>1496</v>
      </c>
    </row>
    <row r="1299" spans="1:2" x14ac:dyDescent="0.2">
      <c r="A1299" s="6" t="s">
        <v>3448</v>
      </c>
      <c r="B1299" s="6" t="s">
        <v>1499</v>
      </c>
    </row>
    <row r="1300" spans="1:2" x14ac:dyDescent="0.2">
      <c r="A1300" s="6" t="s">
        <v>3449</v>
      </c>
      <c r="B1300" s="6" t="s">
        <v>1501</v>
      </c>
    </row>
    <row r="1301" spans="1:2" x14ac:dyDescent="0.2">
      <c r="A1301" s="6" t="s">
        <v>3450</v>
      </c>
      <c r="B1301" s="6" t="s">
        <v>1505</v>
      </c>
    </row>
    <row r="1302" spans="1:2" x14ac:dyDescent="0.2">
      <c r="A1302" s="6" t="s">
        <v>3451</v>
      </c>
      <c r="B1302" s="6" t="s">
        <v>1494</v>
      </c>
    </row>
    <row r="1303" spans="1:2" x14ac:dyDescent="0.2">
      <c r="A1303" s="6" t="s">
        <v>3452</v>
      </c>
      <c r="B1303" s="6" t="s">
        <v>1498</v>
      </c>
    </row>
    <row r="1304" spans="1:2" x14ac:dyDescent="0.2">
      <c r="A1304" s="6" t="s">
        <v>3453</v>
      </c>
      <c r="B1304" s="6" t="s">
        <v>1502</v>
      </c>
    </row>
    <row r="1305" spans="1:2" x14ac:dyDescent="0.2">
      <c r="A1305" s="6" t="s">
        <v>3454</v>
      </c>
      <c r="B1305" s="6" t="s">
        <v>1504</v>
      </c>
    </row>
    <row r="1306" spans="1:2" x14ac:dyDescent="0.2">
      <c r="A1306" s="6" t="s">
        <v>3455</v>
      </c>
      <c r="B1306" s="6" t="s">
        <v>1495</v>
      </c>
    </row>
    <row r="1307" spans="1:2" x14ac:dyDescent="0.2">
      <c r="A1307" s="6" t="s">
        <v>3456</v>
      </c>
      <c r="B1307" s="6" t="s">
        <v>1497</v>
      </c>
    </row>
    <row r="1308" spans="1:2" x14ac:dyDescent="0.2">
      <c r="A1308" s="6" t="s">
        <v>3457</v>
      </c>
      <c r="B1308" s="6" t="s">
        <v>1500</v>
      </c>
    </row>
    <row r="1309" spans="1:2" x14ac:dyDescent="0.2">
      <c r="A1309" s="6" t="s">
        <v>3458</v>
      </c>
      <c r="B1309" s="6" t="s">
        <v>1503</v>
      </c>
    </row>
    <row r="1310" spans="1:2" x14ac:dyDescent="0.2">
      <c r="A1310" s="6" t="s">
        <v>3459</v>
      </c>
      <c r="B1310" s="6" t="s">
        <v>1509</v>
      </c>
    </row>
    <row r="1311" spans="1:2" x14ac:dyDescent="0.2">
      <c r="A1311" s="6" t="s">
        <v>3460</v>
      </c>
      <c r="B1311" s="6" t="s">
        <v>1510</v>
      </c>
    </row>
    <row r="1312" spans="1:2" x14ac:dyDescent="0.2">
      <c r="A1312" s="6" t="s">
        <v>3461</v>
      </c>
      <c r="B1312" s="6" t="s">
        <v>1513</v>
      </c>
    </row>
    <row r="1313" spans="1:2" x14ac:dyDescent="0.2">
      <c r="A1313" s="6" t="s">
        <v>3462</v>
      </c>
      <c r="B1313" s="6" t="s">
        <v>1516</v>
      </c>
    </row>
    <row r="1314" spans="1:2" x14ac:dyDescent="0.2">
      <c r="A1314" s="6" t="s">
        <v>3463</v>
      </c>
      <c r="B1314" s="6" t="s">
        <v>1507</v>
      </c>
    </row>
    <row r="1315" spans="1:2" x14ac:dyDescent="0.2">
      <c r="A1315" s="6" t="s">
        <v>3464</v>
      </c>
      <c r="B1315" s="6" t="s">
        <v>1511</v>
      </c>
    </row>
    <row r="1316" spans="1:2" x14ac:dyDescent="0.2">
      <c r="A1316" s="6" t="s">
        <v>3465</v>
      </c>
      <c r="B1316" s="6" t="s">
        <v>1515</v>
      </c>
    </row>
    <row r="1317" spans="1:2" x14ac:dyDescent="0.2">
      <c r="A1317" s="6" t="s">
        <v>3466</v>
      </c>
      <c r="B1317" s="6" t="s">
        <v>1518</v>
      </c>
    </row>
    <row r="1318" spans="1:2" x14ac:dyDescent="0.2">
      <c r="A1318" s="6" t="s">
        <v>3467</v>
      </c>
      <c r="B1318" s="6" t="s">
        <v>1508</v>
      </c>
    </row>
    <row r="1319" spans="1:2" x14ac:dyDescent="0.2">
      <c r="A1319" s="6" t="s">
        <v>3468</v>
      </c>
      <c r="B1319" s="6" t="s">
        <v>1512</v>
      </c>
    </row>
    <row r="1320" spans="1:2" x14ac:dyDescent="0.2">
      <c r="A1320" s="6" t="s">
        <v>3469</v>
      </c>
      <c r="B1320" s="6" t="s">
        <v>1514</v>
      </c>
    </row>
    <row r="1321" spans="1:2" x14ac:dyDescent="0.2">
      <c r="A1321" s="6" t="s">
        <v>3470</v>
      </c>
      <c r="B1321" s="6" t="s">
        <v>1517</v>
      </c>
    </row>
    <row r="1322" spans="1:2" x14ac:dyDescent="0.2">
      <c r="A1322" s="6" t="s">
        <v>2169</v>
      </c>
      <c r="B1322" s="6" t="s">
        <v>1521</v>
      </c>
    </row>
    <row r="1323" spans="1:2" x14ac:dyDescent="0.2">
      <c r="A1323" s="6" t="s">
        <v>2194</v>
      </c>
      <c r="B1323" s="6" t="s">
        <v>1525</v>
      </c>
    </row>
    <row r="1324" spans="1:2" x14ac:dyDescent="0.2">
      <c r="A1324" s="6" t="s">
        <v>2208</v>
      </c>
      <c r="B1324" s="6" t="s">
        <v>1527</v>
      </c>
    </row>
    <row r="1325" spans="1:2" x14ac:dyDescent="0.2">
      <c r="A1325" s="6" t="s">
        <v>3471</v>
      </c>
      <c r="B1325" s="6" t="s">
        <v>1530</v>
      </c>
    </row>
    <row r="1326" spans="1:2" x14ac:dyDescent="0.2">
      <c r="A1326" s="6" t="s">
        <v>2171</v>
      </c>
      <c r="B1326" s="6" t="s">
        <v>1522</v>
      </c>
    </row>
    <row r="1327" spans="1:2" x14ac:dyDescent="0.2">
      <c r="A1327" s="6" t="s">
        <v>2180</v>
      </c>
      <c r="B1327" s="6" t="s">
        <v>1523</v>
      </c>
    </row>
    <row r="1328" spans="1:2" x14ac:dyDescent="0.2">
      <c r="A1328" s="6" t="s">
        <v>3472</v>
      </c>
      <c r="B1328" s="6" t="s">
        <v>1526</v>
      </c>
    </row>
    <row r="1329" spans="1:2" x14ac:dyDescent="0.2">
      <c r="A1329" s="6" t="s">
        <v>2152</v>
      </c>
      <c r="B1329" s="6" t="s">
        <v>1531</v>
      </c>
    </row>
    <row r="1330" spans="1:2" x14ac:dyDescent="0.2">
      <c r="A1330" s="6" t="s">
        <v>2166</v>
      </c>
      <c r="B1330" s="6" t="s">
        <v>1520</v>
      </c>
    </row>
    <row r="1331" spans="1:2" x14ac:dyDescent="0.2">
      <c r="A1331" s="6" t="s">
        <v>2191</v>
      </c>
      <c r="B1331" s="6" t="s">
        <v>1524</v>
      </c>
    </row>
    <row r="1332" spans="1:2" x14ac:dyDescent="0.2">
      <c r="A1332" s="6" t="s">
        <v>2213</v>
      </c>
      <c r="B1332" s="6" t="s">
        <v>1528</v>
      </c>
    </row>
    <row r="1333" spans="1:2" x14ac:dyDescent="0.2">
      <c r="A1333" s="6" t="s">
        <v>3473</v>
      </c>
      <c r="B1333" s="6" t="s">
        <v>1529</v>
      </c>
    </row>
    <row r="1334" spans="1:2" x14ac:dyDescent="0.2">
      <c r="A1334" s="6" t="s">
        <v>3474</v>
      </c>
      <c r="B1334" s="6" t="s">
        <v>1535</v>
      </c>
    </row>
    <row r="1335" spans="1:2" x14ac:dyDescent="0.2">
      <c r="A1335" s="6" t="s">
        <v>3475</v>
      </c>
      <c r="B1335" s="6" t="s">
        <v>1539</v>
      </c>
    </row>
    <row r="1336" spans="1:2" x14ac:dyDescent="0.2">
      <c r="A1336" s="6" t="s">
        <v>3476</v>
      </c>
      <c r="B1336" s="6" t="s">
        <v>1542</v>
      </c>
    </row>
    <row r="1337" spans="1:2" x14ac:dyDescent="0.2">
      <c r="A1337" s="6" t="s">
        <v>3477</v>
      </c>
      <c r="B1337" s="6" t="s">
        <v>1550</v>
      </c>
    </row>
    <row r="1338" spans="1:2" x14ac:dyDescent="0.2">
      <c r="A1338" s="6" t="s">
        <v>3478</v>
      </c>
      <c r="B1338" s="6" t="s">
        <v>1533</v>
      </c>
    </row>
    <row r="1339" spans="1:2" x14ac:dyDescent="0.2">
      <c r="A1339" s="6" t="s">
        <v>3479</v>
      </c>
      <c r="B1339" s="6" t="s">
        <v>1540</v>
      </c>
    </row>
    <row r="1340" spans="1:2" x14ac:dyDescent="0.2">
      <c r="A1340" s="6" t="s">
        <v>3480</v>
      </c>
      <c r="B1340" s="6" t="s">
        <v>1544</v>
      </c>
    </row>
    <row r="1341" spans="1:2" x14ac:dyDescent="0.2">
      <c r="A1341" s="6" t="s">
        <v>3481</v>
      </c>
      <c r="B1341" s="6" t="s">
        <v>1548</v>
      </c>
    </row>
    <row r="1342" spans="1:2" x14ac:dyDescent="0.2">
      <c r="A1342" s="6" t="s">
        <v>3482</v>
      </c>
      <c r="B1342" s="6" t="s">
        <v>1537</v>
      </c>
    </row>
    <row r="1343" spans="1:2" x14ac:dyDescent="0.2">
      <c r="A1343" s="6" t="s">
        <v>3483</v>
      </c>
      <c r="B1343" s="6" t="s">
        <v>1538</v>
      </c>
    </row>
    <row r="1344" spans="1:2" x14ac:dyDescent="0.2">
      <c r="A1344" s="6" t="s">
        <v>3484</v>
      </c>
      <c r="B1344" s="6" t="s">
        <v>1541</v>
      </c>
    </row>
    <row r="1345" spans="1:2" x14ac:dyDescent="0.2">
      <c r="A1345" s="6" t="s">
        <v>3485</v>
      </c>
      <c r="B1345" s="6" t="s">
        <v>1546</v>
      </c>
    </row>
    <row r="1346" spans="1:2" x14ac:dyDescent="0.2">
      <c r="A1346" s="6" t="s">
        <v>3486</v>
      </c>
      <c r="B1346" s="6" t="s">
        <v>1554</v>
      </c>
    </row>
    <row r="1347" spans="1:2" x14ac:dyDescent="0.2">
      <c r="A1347" s="6" t="s">
        <v>3487</v>
      </c>
      <c r="B1347" s="6" t="s">
        <v>1555</v>
      </c>
    </row>
    <row r="1348" spans="1:2" x14ac:dyDescent="0.2">
      <c r="A1348" s="6" t="s">
        <v>3488</v>
      </c>
      <c r="B1348" s="6" t="s">
        <v>1558</v>
      </c>
    </row>
    <row r="1349" spans="1:2" x14ac:dyDescent="0.2">
      <c r="A1349" s="6" t="s">
        <v>3489</v>
      </c>
      <c r="B1349" s="6" t="s">
        <v>1563</v>
      </c>
    </row>
    <row r="1350" spans="1:2" x14ac:dyDescent="0.2">
      <c r="A1350" s="6" t="s">
        <v>3490</v>
      </c>
      <c r="B1350" s="6" t="s">
        <v>1553</v>
      </c>
    </row>
    <row r="1351" spans="1:2" x14ac:dyDescent="0.2">
      <c r="A1351" s="6" t="s">
        <v>3491</v>
      </c>
      <c r="B1351" s="6" t="s">
        <v>1556</v>
      </c>
    </row>
    <row r="1352" spans="1:2" x14ac:dyDescent="0.2">
      <c r="A1352" s="6" t="s">
        <v>3492</v>
      </c>
      <c r="B1352" s="6" t="s">
        <v>1560</v>
      </c>
    </row>
    <row r="1353" spans="1:2" x14ac:dyDescent="0.2">
      <c r="A1353" s="6" t="s">
        <v>3493</v>
      </c>
      <c r="B1353" s="6" t="s">
        <v>1561</v>
      </c>
    </row>
    <row r="1354" spans="1:2" x14ac:dyDescent="0.2">
      <c r="A1354" s="6" t="s">
        <v>3494</v>
      </c>
      <c r="B1354" s="6" t="s">
        <v>1552</v>
      </c>
    </row>
    <row r="1355" spans="1:2" x14ac:dyDescent="0.2">
      <c r="A1355" s="6" t="s">
        <v>3495</v>
      </c>
      <c r="B1355" s="6" t="s">
        <v>1557</v>
      </c>
    </row>
    <row r="1356" spans="1:2" x14ac:dyDescent="0.2">
      <c r="A1356" s="6" t="s">
        <v>3496</v>
      </c>
      <c r="B1356" s="6" t="s">
        <v>1559</v>
      </c>
    </row>
    <row r="1357" spans="1:2" x14ac:dyDescent="0.2">
      <c r="A1357" s="6" t="s">
        <v>3497</v>
      </c>
      <c r="B1357" s="6" t="s">
        <v>1562</v>
      </c>
    </row>
    <row r="1358" spans="1:2" x14ac:dyDescent="0.2">
      <c r="A1358" s="6" t="s">
        <v>3498</v>
      </c>
      <c r="B1358" s="6" t="s">
        <v>1565</v>
      </c>
    </row>
    <row r="1359" spans="1:2" x14ac:dyDescent="0.2">
      <c r="A1359" s="6" t="s">
        <v>3499</v>
      </c>
      <c r="B1359" s="6" t="s">
        <v>1570</v>
      </c>
    </row>
    <row r="1360" spans="1:2" x14ac:dyDescent="0.2">
      <c r="A1360" s="6" t="s">
        <v>3500</v>
      </c>
      <c r="B1360" s="6" t="s">
        <v>1572</v>
      </c>
    </row>
    <row r="1361" spans="1:2" x14ac:dyDescent="0.2">
      <c r="A1361" s="6" t="s">
        <v>3501</v>
      </c>
      <c r="B1361" s="6" t="s">
        <v>1575</v>
      </c>
    </row>
    <row r="1362" spans="1:2" x14ac:dyDescent="0.2">
      <c r="A1362" s="6" t="s">
        <v>3502</v>
      </c>
      <c r="B1362" s="6" t="s">
        <v>1566</v>
      </c>
    </row>
    <row r="1363" spans="1:2" x14ac:dyDescent="0.2">
      <c r="A1363" s="6" t="s">
        <v>3503</v>
      </c>
      <c r="B1363" s="6" t="s">
        <v>1569</v>
      </c>
    </row>
    <row r="1364" spans="1:2" x14ac:dyDescent="0.2">
      <c r="A1364" s="6" t="s">
        <v>3504</v>
      </c>
      <c r="B1364" s="6" t="s">
        <v>1571</v>
      </c>
    </row>
    <row r="1365" spans="1:2" x14ac:dyDescent="0.2">
      <c r="A1365" s="6" t="s">
        <v>3505</v>
      </c>
      <c r="B1365" s="6" t="s">
        <v>1576</v>
      </c>
    </row>
    <row r="1366" spans="1:2" x14ac:dyDescent="0.2">
      <c r="A1366" s="6" t="s">
        <v>3506</v>
      </c>
      <c r="B1366" s="6" t="s">
        <v>1567</v>
      </c>
    </row>
    <row r="1367" spans="1:2" x14ac:dyDescent="0.2">
      <c r="A1367" s="6" t="s">
        <v>3507</v>
      </c>
      <c r="B1367" s="6" t="s">
        <v>1568</v>
      </c>
    </row>
    <row r="1368" spans="1:2" x14ac:dyDescent="0.2">
      <c r="A1368" s="6" t="s">
        <v>3508</v>
      </c>
      <c r="B1368" s="6" t="s">
        <v>1573</v>
      </c>
    </row>
    <row r="1369" spans="1:2" x14ac:dyDescent="0.2">
      <c r="A1369" s="6" t="s">
        <v>3509</v>
      </c>
      <c r="B1369" s="6" t="s">
        <v>1574</v>
      </c>
    </row>
    <row r="1370" spans="1:2" x14ac:dyDescent="0.2">
      <c r="A1370" s="6" t="s">
        <v>3510</v>
      </c>
      <c r="B1370" s="6" t="s">
        <v>1578</v>
      </c>
    </row>
    <row r="1371" spans="1:2" x14ac:dyDescent="0.2">
      <c r="A1371" s="6" t="s">
        <v>3511</v>
      </c>
      <c r="B1371" s="6" t="s">
        <v>1582</v>
      </c>
    </row>
    <row r="1372" spans="1:2" x14ac:dyDescent="0.2">
      <c r="A1372" s="6" t="s">
        <v>3512</v>
      </c>
      <c r="B1372" s="6" t="s">
        <v>1584</v>
      </c>
    </row>
    <row r="1373" spans="1:2" x14ac:dyDescent="0.2">
      <c r="A1373" s="6" t="s">
        <v>3513</v>
      </c>
      <c r="B1373" s="6" t="s">
        <v>1590</v>
      </c>
    </row>
    <row r="1374" spans="1:2" x14ac:dyDescent="0.2">
      <c r="A1374" s="6" t="s">
        <v>3514</v>
      </c>
      <c r="B1374" s="6" t="s">
        <v>1580</v>
      </c>
    </row>
    <row r="1375" spans="1:2" x14ac:dyDescent="0.2">
      <c r="A1375" s="6" t="s">
        <v>3515</v>
      </c>
      <c r="B1375" s="6" t="s">
        <v>1581</v>
      </c>
    </row>
    <row r="1376" spans="1:2" x14ac:dyDescent="0.2">
      <c r="A1376" s="6" t="s">
        <v>3516</v>
      </c>
      <c r="B1376" s="6" t="s">
        <v>1587</v>
      </c>
    </row>
    <row r="1377" spans="1:2" x14ac:dyDescent="0.2">
      <c r="A1377" s="6" t="s">
        <v>3517</v>
      </c>
      <c r="B1377" s="6" t="s">
        <v>1592</v>
      </c>
    </row>
    <row r="1378" spans="1:2" x14ac:dyDescent="0.2">
      <c r="A1378" s="6" t="s">
        <v>3518</v>
      </c>
      <c r="B1378" s="6" t="s">
        <v>1579</v>
      </c>
    </row>
    <row r="1379" spans="1:2" x14ac:dyDescent="0.2">
      <c r="A1379" s="6" t="s">
        <v>3519</v>
      </c>
      <c r="B1379" s="6" t="s">
        <v>1583</v>
      </c>
    </row>
    <row r="1380" spans="1:2" x14ac:dyDescent="0.2">
      <c r="A1380" s="6" t="s">
        <v>3520</v>
      </c>
      <c r="B1380" s="6" t="s">
        <v>1588</v>
      </c>
    </row>
    <row r="1381" spans="1:2" x14ac:dyDescent="0.2">
      <c r="A1381" s="6" t="s">
        <v>3521</v>
      </c>
      <c r="B1381" s="6" t="s">
        <v>1591</v>
      </c>
    </row>
    <row r="1382" spans="1:2" x14ac:dyDescent="0.2">
      <c r="A1382" s="6" t="s">
        <v>3522</v>
      </c>
      <c r="B1382" s="6" t="s">
        <v>1596</v>
      </c>
    </row>
    <row r="1383" spans="1:2" x14ac:dyDescent="0.2">
      <c r="A1383" s="6" t="s">
        <v>3523</v>
      </c>
      <c r="B1383" s="6" t="s">
        <v>1599</v>
      </c>
    </row>
    <row r="1384" spans="1:2" x14ac:dyDescent="0.2">
      <c r="A1384" s="6" t="s">
        <v>3524</v>
      </c>
      <c r="B1384" s="6" t="s">
        <v>1601</v>
      </c>
    </row>
    <row r="1385" spans="1:2" x14ac:dyDescent="0.2">
      <c r="A1385" s="6" t="s">
        <v>3525</v>
      </c>
      <c r="B1385" s="6" t="s">
        <v>1603</v>
      </c>
    </row>
    <row r="1386" spans="1:2" x14ac:dyDescent="0.2">
      <c r="A1386" s="6" t="s">
        <v>3526</v>
      </c>
      <c r="B1386" s="6" t="s">
        <v>1594</v>
      </c>
    </row>
    <row r="1387" spans="1:2" x14ac:dyDescent="0.2">
      <c r="A1387" s="6" t="s">
        <v>3527</v>
      </c>
      <c r="B1387" s="6" t="s">
        <v>1598</v>
      </c>
    </row>
    <row r="1388" spans="1:2" x14ac:dyDescent="0.2">
      <c r="A1388" s="6" t="s">
        <v>3528</v>
      </c>
      <c r="B1388" s="6" t="s">
        <v>1600</v>
      </c>
    </row>
    <row r="1389" spans="1:2" x14ac:dyDescent="0.2">
      <c r="A1389" s="6" t="s">
        <v>3529</v>
      </c>
      <c r="B1389" s="6" t="s">
        <v>1604</v>
      </c>
    </row>
    <row r="1390" spans="1:2" x14ac:dyDescent="0.2">
      <c r="A1390" s="6" t="s">
        <v>3530</v>
      </c>
      <c r="B1390" s="6" t="s">
        <v>1595</v>
      </c>
    </row>
    <row r="1391" spans="1:2" x14ac:dyDescent="0.2">
      <c r="A1391" s="6" t="s">
        <v>3531</v>
      </c>
      <c r="B1391" s="6" t="s">
        <v>1597</v>
      </c>
    </row>
    <row r="1392" spans="1:2" x14ac:dyDescent="0.2">
      <c r="A1392" s="6" t="s">
        <v>3532</v>
      </c>
      <c r="B1392" s="6" t="s">
        <v>1602</v>
      </c>
    </row>
    <row r="1393" spans="1:2" x14ac:dyDescent="0.2">
      <c r="A1393" s="6" t="s">
        <v>3533</v>
      </c>
      <c r="B1393" s="6" t="s">
        <v>1605</v>
      </c>
    </row>
    <row r="1394" spans="1:2" x14ac:dyDescent="0.2">
      <c r="A1394" s="6" t="s">
        <v>3534</v>
      </c>
      <c r="B1394" s="6" t="s">
        <v>1608</v>
      </c>
    </row>
    <row r="1395" spans="1:2" x14ac:dyDescent="0.2">
      <c r="A1395" s="6" t="s">
        <v>3535</v>
      </c>
      <c r="B1395" s="6" t="s">
        <v>1611</v>
      </c>
    </row>
    <row r="1396" spans="1:2" x14ac:dyDescent="0.2">
      <c r="A1396" s="6" t="s">
        <v>3536</v>
      </c>
      <c r="B1396" s="6" t="s">
        <v>1615</v>
      </c>
    </row>
    <row r="1397" spans="1:2" x14ac:dyDescent="0.2">
      <c r="A1397" s="6" t="s">
        <v>3537</v>
      </c>
      <c r="B1397" s="6" t="s">
        <v>1617</v>
      </c>
    </row>
    <row r="1398" spans="1:2" x14ac:dyDescent="0.2">
      <c r="A1398" s="6" t="s">
        <v>3538</v>
      </c>
      <c r="B1398" s="6" t="s">
        <v>1609</v>
      </c>
    </row>
    <row r="1399" spans="1:2" x14ac:dyDescent="0.2">
      <c r="A1399" s="6" t="s">
        <v>3539</v>
      </c>
      <c r="B1399" s="6" t="s">
        <v>1612</v>
      </c>
    </row>
    <row r="1400" spans="1:2" x14ac:dyDescent="0.2">
      <c r="A1400" s="6" t="s">
        <v>3540</v>
      </c>
      <c r="B1400" s="6" t="s">
        <v>1614</v>
      </c>
    </row>
    <row r="1401" spans="1:2" x14ac:dyDescent="0.2">
      <c r="A1401" s="6" t="s">
        <v>3541</v>
      </c>
      <c r="B1401" s="6" t="s">
        <v>1616</v>
      </c>
    </row>
    <row r="1402" spans="1:2" x14ac:dyDescent="0.2">
      <c r="A1402" s="6" t="s">
        <v>3542</v>
      </c>
      <c r="B1402" s="6" t="s">
        <v>1607</v>
      </c>
    </row>
    <row r="1403" spans="1:2" x14ac:dyDescent="0.2">
      <c r="A1403" s="6" t="s">
        <v>3543</v>
      </c>
      <c r="B1403" s="6" t="s">
        <v>1610</v>
      </c>
    </row>
    <row r="1404" spans="1:2" x14ac:dyDescent="0.2">
      <c r="A1404" s="6" t="s">
        <v>3544</v>
      </c>
      <c r="B1404" s="6" t="s">
        <v>1613</v>
      </c>
    </row>
    <row r="1405" spans="1:2" x14ac:dyDescent="0.2">
      <c r="A1405" s="6" t="s">
        <v>3545</v>
      </c>
      <c r="B1405" s="6" t="s">
        <v>1618</v>
      </c>
    </row>
    <row r="1406" spans="1:2" x14ac:dyDescent="0.2">
      <c r="A1406" s="6" t="s">
        <v>3558</v>
      </c>
      <c r="B1406" s="6" t="s">
        <v>1620</v>
      </c>
    </row>
    <row r="1407" spans="1:2" x14ac:dyDescent="0.2">
      <c r="A1407" s="6" t="s">
        <v>3559</v>
      </c>
      <c r="B1407" s="6" t="s">
        <v>1625</v>
      </c>
    </row>
    <row r="1408" spans="1:2" x14ac:dyDescent="0.2">
      <c r="A1408" s="6" t="s">
        <v>3560</v>
      </c>
      <c r="B1408" s="6" t="s">
        <v>1628</v>
      </c>
    </row>
    <row r="1409" spans="1:2" x14ac:dyDescent="0.2">
      <c r="A1409" s="6" t="s">
        <v>3561</v>
      </c>
      <c r="B1409" s="6" t="s">
        <v>1632</v>
      </c>
    </row>
    <row r="1410" spans="1:2" x14ac:dyDescent="0.2">
      <c r="A1410" s="6" t="s">
        <v>3562</v>
      </c>
      <c r="B1410" s="6" t="s">
        <v>1621</v>
      </c>
    </row>
    <row r="1411" spans="1:2" x14ac:dyDescent="0.2">
      <c r="A1411" s="6" t="s">
        <v>3563</v>
      </c>
      <c r="B1411" s="6" t="s">
        <v>1623</v>
      </c>
    </row>
    <row r="1412" spans="1:2" x14ac:dyDescent="0.2">
      <c r="A1412" s="6" t="s">
        <v>3564</v>
      </c>
      <c r="B1412" s="6" t="s">
        <v>1626</v>
      </c>
    </row>
    <row r="1413" spans="1:2" x14ac:dyDescent="0.2">
      <c r="A1413" s="6" t="s">
        <v>3565</v>
      </c>
      <c r="B1413" s="6" t="s">
        <v>1630</v>
      </c>
    </row>
    <row r="1414" spans="1:2" x14ac:dyDescent="0.2">
      <c r="A1414" s="6" t="s">
        <v>3566</v>
      </c>
      <c r="B1414" s="6" t="s">
        <v>1622</v>
      </c>
    </row>
    <row r="1415" spans="1:2" x14ac:dyDescent="0.2">
      <c r="A1415" s="6" t="s">
        <v>3567</v>
      </c>
      <c r="B1415" s="6" t="s">
        <v>1624</v>
      </c>
    </row>
    <row r="1416" spans="1:2" x14ac:dyDescent="0.2">
      <c r="A1416" s="6" t="s">
        <v>3568</v>
      </c>
      <c r="B1416" s="6" t="s">
        <v>1627</v>
      </c>
    </row>
    <row r="1417" spans="1:2" x14ac:dyDescent="0.2">
      <c r="A1417" s="6" t="s">
        <v>3569</v>
      </c>
      <c r="B1417" s="6" t="s">
        <v>1631</v>
      </c>
    </row>
    <row r="1418" spans="1:2" x14ac:dyDescent="0.2">
      <c r="A1418" s="6" t="s">
        <v>3570</v>
      </c>
      <c r="B1418" s="6" t="s">
        <v>1650</v>
      </c>
    </row>
    <row r="1419" spans="1:2" x14ac:dyDescent="0.2">
      <c r="A1419" s="6" t="s">
        <v>3571</v>
      </c>
      <c r="B1419" s="6" t="s">
        <v>1711</v>
      </c>
    </row>
    <row r="1420" spans="1:2" x14ac:dyDescent="0.2">
      <c r="A1420" s="6" t="s">
        <v>3572</v>
      </c>
      <c r="B1420" s="6" t="s">
        <v>1640</v>
      </c>
    </row>
    <row r="1421" spans="1:2" x14ac:dyDescent="0.2">
      <c r="A1421" s="6" t="s">
        <v>3572</v>
      </c>
      <c r="B1421" s="6" t="s">
        <v>1717</v>
      </c>
    </row>
    <row r="1422" spans="1:2" x14ac:dyDescent="0.2">
      <c r="A1422" s="6" t="s">
        <v>3573</v>
      </c>
      <c r="B1422" s="6" t="s">
        <v>1661</v>
      </c>
    </row>
    <row r="1423" spans="1:2" x14ac:dyDescent="0.2">
      <c r="A1423" s="6" t="s">
        <v>3574</v>
      </c>
      <c r="B1423" s="6" t="s">
        <v>1670</v>
      </c>
    </row>
    <row r="1424" spans="1:2" x14ac:dyDescent="0.2">
      <c r="A1424" s="6" t="s">
        <v>3575</v>
      </c>
      <c r="B1424" s="6" t="s">
        <v>1639</v>
      </c>
    </row>
    <row r="1425" spans="1:2" x14ac:dyDescent="0.2">
      <c r="A1425" s="6" t="s">
        <v>3576</v>
      </c>
      <c r="B1425" s="6" t="s">
        <v>1667</v>
      </c>
    </row>
    <row r="1426" spans="1:2" x14ac:dyDescent="0.2">
      <c r="A1426" s="6" t="s">
        <v>3577</v>
      </c>
      <c r="B1426" s="6" t="s">
        <v>1662</v>
      </c>
    </row>
    <row r="1427" spans="1:2" x14ac:dyDescent="0.2">
      <c r="A1427" s="6" t="s">
        <v>3577</v>
      </c>
      <c r="B1427" s="6" t="s">
        <v>1664</v>
      </c>
    </row>
    <row r="1428" spans="1:2" x14ac:dyDescent="0.2">
      <c r="A1428" s="6" t="s">
        <v>3578</v>
      </c>
      <c r="B1428" s="6" t="s">
        <v>1656</v>
      </c>
    </row>
    <row r="1429" spans="1:2" x14ac:dyDescent="0.2">
      <c r="A1429" s="6" t="s">
        <v>3579</v>
      </c>
      <c r="B1429" s="6" t="s">
        <v>1646</v>
      </c>
    </row>
    <row r="1430" spans="1:2" x14ac:dyDescent="0.2">
      <c r="A1430" s="6" t="s">
        <v>3580</v>
      </c>
      <c r="B1430" s="6" t="s">
        <v>1707</v>
      </c>
    </row>
    <row r="1431" spans="1:2" x14ac:dyDescent="0.2">
      <c r="A1431" s="6" t="s">
        <v>3581</v>
      </c>
      <c r="B1431" s="6" t="s">
        <v>1654</v>
      </c>
    </row>
    <row r="1432" spans="1:2" x14ac:dyDescent="0.2">
      <c r="A1432" s="6" t="s">
        <v>3582</v>
      </c>
      <c r="B1432" s="6" t="s">
        <v>1658</v>
      </c>
    </row>
    <row r="1433" spans="1:2" x14ac:dyDescent="0.2">
      <c r="A1433" s="6" t="s">
        <v>3583</v>
      </c>
      <c r="B1433" s="6" t="s">
        <v>1673</v>
      </c>
    </row>
    <row r="1434" spans="1:2" x14ac:dyDescent="0.2">
      <c r="A1434" s="6" t="s">
        <v>3584</v>
      </c>
      <c r="B1434" s="6" t="s">
        <v>1651</v>
      </c>
    </row>
    <row r="1435" spans="1:2" x14ac:dyDescent="0.2">
      <c r="A1435" s="6" t="s">
        <v>3585</v>
      </c>
      <c r="B1435" s="6" t="s">
        <v>1663</v>
      </c>
    </row>
    <row r="1436" spans="1:2" x14ac:dyDescent="0.2">
      <c r="A1436" s="6" t="s">
        <v>3586</v>
      </c>
      <c r="B1436" s="6" t="s">
        <v>1665</v>
      </c>
    </row>
    <row r="1437" spans="1:2" x14ac:dyDescent="0.2">
      <c r="A1437" s="6" t="s">
        <v>3587</v>
      </c>
      <c r="B1437" s="6" t="s">
        <v>1644</v>
      </c>
    </row>
    <row r="1438" spans="1:2" x14ac:dyDescent="0.2">
      <c r="A1438" s="6" t="s">
        <v>3588</v>
      </c>
      <c r="B1438" s="6" t="s">
        <v>1668</v>
      </c>
    </row>
    <row r="1439" spans="1:2" x14ac:dyDescent="0.2">
      <c r="A1439" s="6" t="s">
        <v>3589</v>
      </c>
      <c r="B1439" s="6" t="s">
        <v>1669</v>
      </c>
    </row>
    <row r="1440" spans="1:2" x14ac:dyDescent="0.2">
      <c r="A1440" s="6" t="s">
        <v>3590</v>
      </c>
      <c r="B1440" s="6" t="s">
        <v>1713</v>
      </c>
    </row>
    <row r="1441" spans="1:2" x14ac:dyDescent="0.2">
      <c r="A1441" s="6" t="s">
        <v>3591</v>
      </c>
      <c r="B1441" s="6" t="s">
        <v>1659</v>
      </c>
    </row>
    <row r="1442" spans="1:2" x14ac:dyDescent="0.2">
      <c r="A1442" s="18" t="s">
        <v>3592</v>
      </c>
      <c r="B1442" s="18" t="s">
        <v>1678</v>
      </c>
    </row>
    <row r="1443" spans="1:2" x14ac:dyDescent="0.2">
      <c r="A1443" s="6" t="s">
        <v>3593</v>
      </c>
      <c r="B1443" s="6" t="s">
        <v>1681</v>
      </c>
    </row>
    <row r="1444" spans="1:2" x14ac:dyDescent="0.2">
      <c r="A1444" s="6" t="s">
        <v>3594</v>
      </c>
      <c r="B1444" s="6" t="s">
        <v>1684</v>
      </c>
    </row>
    <row r="1445" spans="1:2" x14ac:dyDescent="0.2">
      <c r="A1445" s="6" t="s">
        <v>3595</v>
      </c>
      <c r="B1445" s="6" t="s">
        <v>1686</v>
      </c>
    </row>
    <row r="1446" spans="1:2" x14ac:dyDescent="0.2">
      <c r="A1446" s="6" t="s">
        <v>3596</v>
      </c>
      <c r="B1446" s="6" t="s">
        <v>1677</v>
      </c>
    </row>
    <row r="1447" spans="1:2" x14ac:dyDescent="0.2">
      <c r="A1447" s="6" t="s">
        <v>3597</v>
      </c>
      <c r="B1447" s="6" t="s">
        <v>1680</v>
      </c>
    </row>
    <row r="1448" spans="1:2" x14ac:dyDescent="0.2">
      <c r="A1448" s="6" t="s">
        <v>3598</v>
      </c>
      <c r="B1448" s="6" t="s">
        <v>1682</v>
      </c>
    </row>
    <row r="1449" spans="1:2" x14ac:dyDescent="0.2">
      <c r="A1449" s="6" t="s">
        <v>3599</v>
      </c>
      <c r="B1449" s="6" t="s">
        <v>1687</v>
      </c>
    </row>
    <row r="1450" spans="1:2" x14ac:dyDescent="0.2">
      <c r="A1450" s="6" t="s">
        <v>3600</v>
      </c>
      <c r="B1450" s="6" t="s">
        <v>1676</v>
      </c>
    </row>
    <row r="1451" spans="1:2" x14ac:dyDescent="0.2">
      <c r="A1451" s="6" t="s">
        <v>3601</v>
      </c>
      <c r="B1451" s="6" t="s">
        <v>1679</v>
      </c>
    </row>
    <row r="1452" spans="1:2" x14ac:dyDescent="0.2">
      <c r="A1452" s="6" t="s">
        <v>3602</v>
      </c>
      <c r="B1452" s="6" t="s">
        <v>1683</v>
      </c>
    </row>
    <row r="1453" spans="1:2" x14ac:dyDescent="0.2">
      <c r="A1453" s="6" t="s">
        <v>3603</v>
      </c>
      <c r="B1453" s="6" t="s">
        <v>1685</v>
      </c>
    </row>
    <row r="1454" spans="1:2" x14ac:dyDescent="0.2">
      <c r="A1454" s="6" t="s">
        <v>3546</v>
      </c>
      <c r="B1454" s="6" t="s">
        <v>1690</v>
      </c>
    </row>
    <row r="1455" spans="1:2" x14ac:dyDescent="0.2">
      <c r="A1455" s="6" t="s">
        <v>3547</v>
      </c>
      <c r="B1455" s="6" t="s">
        <v>1695</v>
      </c>
    </row>
    <row r="1456" spans="1:2" x14ac:dyDescent="0.2">
      <c r="A1456" s="6" t="s">
        <v>3548</v>
      </c>
      <c r="B1456" s="6" t="s">
        <v>1701</v>
      </c>
    </row>
    <row r="1457" spans="1:2" x14ac:dyDescent="0.2">
      <c r="A1457" s="6" t="s">
        <v>3549</v>
      </c>
      <c r="B1457" s="6" t="s">
        <v>1703</v>
      </c>
    </row>
    <row r="1458" spans="1:2" x14ac:dyDescent="0.2">
      <c r="A1458" s="6" t="s">
        <v>3550</v>
      </c>
      <c r="B1458" s="6" t="s">
        <v>1692</v>
      </c>
    </row>
    <row r="1459" spans="1:2" x14ac:dyDescent="0.2">
      <c r="A1459" s="6" t="s">
        <v>3551</v>
      </c>
      <c r="B1459" s="6" t="s">
        <v>1694</v>
      </c>
    </row>
    <row r="1460" spans="1:2" x14ac:dyDescent="0.2">
      <c r="A1460" s="6" t="s">
        <v>3552</v>
      </c>
      <c r="B1460" s="6" t="s">
        <v>1699</v>
      </c>
    </row>
    <row r="1461" spans="1:2" x14ac:dyDescent="0.2">
      <c r="A1461" s="6" t="s">
        <v>3553</v>
      </c>
      <c r="B1461" s="6" t="s">
        <v>1705</v>
      </c>
    </row>
    <row r="1462" spans="1:2" x14ac:dyDescent="0.2">
      <c r="A1462" s="6" t="s">
        <v>3554</v>
      </c>
      <c r="B1462" s="6" t="s">
        <v>1689</v>
      </c>
    </row>
    <row r="1463" spans="1:2" x14ac:dyDescent="0.2">
      <c r="A1463" s="6" t="s">
        <v>3555</v>
      </c>
      <c r="B1463" s="6" t="s">
        <v>1697</v>
      </c>
    </row>
    <row r="1464" spans="1:2" x14ac:dyDescent="0.2">
      <c r="A1464" s="6" t="s">
        <v>3556</v>
      </c>
      <c r="B1464" s="6" t="s">
        <v>1702</v>
      </c>
    </row>
    <row r="1465" spans="1:2" x14ac:dyDescent="0.2">
      <c r="A1465" s="6" t="s">
        <v>3557</v>
      </c>
      <c r="B1465" s="6" t="s">
        <v>1704</v>
      </c>
    </row>
    <row r="1466" spans="1:2" x14ac:dyDescent="0.2">
      <c r="A1466" s="6" t="s">
        <v>3604</v>
      </c>
      <c r="B1466" s="6" t="s">
        <v>1635</v>
      </c>
    </row>
    <row r="1467" spans="1:2" x14ac:dyDescent="0.2">
      <c r="A1467" s="6" t="s">
        <v>3605</v>
      </c>
      <c r="B1467" s="6" t="s">
        <v>1637</v>
      </c>
    </row>
    <row r="1468" spans="1:2" x14ac:dyDescent="0.2">
      <c r="A1468" s="6" t="s">
        <v>3606</v>
      </c>
      <c r="B1468" s="6" t="s">
        <v>1671</v>
      </c>
    </row>
    <row r="1469" spans="1:2" x14ac:dyDescent="0.2">
      <c r="A1469" s="6" t="s">
        <v>3607</v>
      </c>
      <c r="B1469" s="6" t="s">
        <v>1666</v>
      </c>
    </row>
    <row r="1470" spans="1:2" x14ac:dyDescent="0.2">
      <c r="A1470" s="6" t="s">
        <v>3608</v>
      </c>
      <c r="B1470" s="6" t="s">
        <v>1708</v>
      </c>
    </row>
    <row r="1471" spans="1:2" x14ac:dyDescent="0.2">
      <c r="A1471" s="6" t="s">
        <v>3609</v>
      </c>
      <c r="B1471" s="6" t="s">
        <v>1709</v>
      </c>
    </row>
    <row r="1472" spans="1:2" x14ac:dyDescent="0.2">
      <c r="A1472" s="6" t="s">
        <v>3610</v>
      </c>
      <c r="B1472" s="6" t="s">
        <v>1715</v>
      </c>
    </row>
    <row r="1473" spans="1:2" x14ac:dyDescent="0.2">
      <c r="A1473" s="6" t="s">
        <v>3611</v>
      </c>
      <c r="B1473" s="6" t="s">
        <v>1660</v>
      </c>
    </row>
    <row r="1474" spans="1:2" x14ac:dyDescent="0.2">
      <c r="A1474" s="6" t="s">
        <v>3612</v>
      </c>
      <c r="B1474" s="6" t="s">
        <v>1636</v>
      </c>
    </row>
    <row r="1475" spans="1:2" x14ac:dyDescent="0.2">
      <c r="A1475" s="6" t="s">
        <v>3613</v>
      </c>
      <c r="B1475" s="6" t="s">
        <v>1655</v>
      </c>
    </row>
    <row r="1476" spans="1:2" x14ac:dyDescent="0.2">
      <c r="A1476" s="6" t="s">
        <v>3614</v>
      </c>
      <c r="B1476" s="6" t="s">
        <v>1642</v>
      </c>
    </row>
    <row r="1477" spans="1:2" x14ac:dyDescent="0.2">
      <c r="A1477" s="6" t="s">
        <v>3615</v>
      </c>
      <c r="B1477" s="6" t="s">
        <v>1648</v>
      </c>
    </row>
  </sheetData>
  <sortState xmlns:xlrd2="http://schemas.microsoft.com/office/spreadsheetml/2017/richdata2" ref="A2:B1477">
    <sortCondition ref="A2:A1477"/>
  </sortState>
  <pageMargins left="0.7" right="0.7" top="0.75" bottom="0.75" header="0.3" footer="0.3"/>
  <pageSetup orientation="portrait" horizontalDpi="0" verticalDpi="0"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Metadata</vt:lpstr>
      <vt:lpstr>SingleStriain-DataSheet</vt:lpstr>
      <vt:lpstr>CFU-SingleNodule-DataSheet</vt:lpstr>
      <vt:lpstr>SnR nanodrop</vt:lpstr>
      <vt:lpstr>StrainsChosen</vt:lpstr>
      <vt:lpstr>CFU strains Chosen</vt:lpstr>
      <vt:lpstr>Labels</vt:lpstr>
      <vt:lpstr>Randomization</vt:lpstr>
      <vt:lpstr>OrgByTray</vt:lpstr>
      <vt:lpstr>OrgByStrain</vt:lpstr>
      <vt:lpstr>StrainsChosen!Print_Area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Gil Polo, Maria Alejandra</cp:lastModifiedBy>
  <cp:revision/>
  <dcterms:created xsi:type="dcterms:W3CDTF">2023-02-15T20:43:25Z</dcterms:created>
  <dcterms:modified xsi:type="dcterms:W3CDTF">2026-08-11T02:22:56Z</dcterms:modified>
  <cp:category/>
  <cp:contentStatus/>
</cp:coreProperties>
</file>