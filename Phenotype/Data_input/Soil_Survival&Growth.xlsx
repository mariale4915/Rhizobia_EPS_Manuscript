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Phenotype/Data_input/"/>
    </mc:Choice>
  </mc:AlternateContent>
  <xr:revisionPtr revIDLastSave="0" documentId="13_ncr:1_{84A3AF7B-9EE7-9148-87FE-D26380095228}" xr6:coauthVersionLast="47" xr6:coauthVersionMax="47" xr10:uidLastSave="{00000000-0000-0000-0000-000000000000}"/>
  <bookViews>
    <workbookView xWindow="0" yWindow="760" windowWidth="34200" windowHeight="21460" xr2:uid="{31F6C872-BBC7-0B47-A996-4A5C7DB14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00" i="1" l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2" i="1"/>
</calcChain>
</file>

<file path=xl/sharedStrings.xml><?xml version="1.0" encoding="utf-8"?>
<sst xmlns="http://schemas.openxmlformats.org/spreadsheetml/2006/main" count="4076" uniqueCount="49">
  <si>
    <t>Name</t>
  </si>
  <si>
    <t>Treatment</t>
  </si>
  <si>
    <t>Rep_tube</t>
  </si>
  <si>
    <t>Rep_dot</t>
  </si>
  <si>
    <t>Timepoint</t>
  </si>
  <si>
    <t>Volume_ul</t>
  </si>
  <si>
    <t>Dilution</t>
  </si>
  <si>
    <t>Colonies_Mucoid</t>
  </si>
  <si>
    <t>Colonies_Dry</t>
  </si>
  <si>
    <t>Condition</t>
  </si>
  <si>
    <t>Initial_Mucoid_a</t>
  </si>
  <si>
    <t>Initial</t>
  </si>
  <si>
    <t>Mucoid</t>
  </si>
  <si>
    <t>a</t>
  </si>
  <si>
    <t>Survival</t>
  </si>
  <si>
    <t>Initial_Mucoid_b</t>
  </si>
  <si>
    <t>b</t>
  </si>
  <si>
    <t>Initial_Mucoid_c</t>
  </si>
  <si>
    <t>c</t>
  </si>
  <si>
    <t>Initial_Mucoid_d</t>
  </si>
  <si>
    <t>d</t>
  </si>
  <si>
    <t>e</t>
  </si>
  <si>
    <t>Initial_Dry_a</t>
  </si>
  <si>
    <t>Dry</t>
  </si>
  <si>
    <t>Initial_Dry_b</t>
  </si>
  <si>
    <t>Initial_Dry_c</t>
  </si>
  <si>
    <t>Initial_Dry_d</t>
  </si>
  <si>
    <t>Mixture</t>
  </si>
  <si>
    <t>3 months</t>
  </si>
  <si>
    <t>Drought</t>
  </si>
  <si>
    <t>6 months</t>
  </si>
  <si>
    <t>12 months</t>
  </si>
  <si>
    <t>f</t>
  </si>
  <si>
    <t>s</t>
  </si>
  <si>
    <t>Growth</t>
  </si>
  <si>
    <t>Contaminated</t>
  </si>
  <si>
    <t>Initial_Mixture_a</t>
  </si>
  <si>
    <t>Initial_Mixture_b</t>
  </si>
  <si>
    <t>Initial_Mixture_c</t>
  </si>
  <si>
    <t>Initial_Mixture_d</t>
  </si>
  <si>
    <t>7 days</t>
  </si>
  <si>
    <t>NA</t>
  </si>
  <si>
    <t>14 days</t>
  </si>
  <si>
    <t>21 days</t>
  </si>
  <si>
    <t>42 days</t>
  </si>
  <si>
    <t>22 °C</t>
  </si>
  <si>
    <t>32 °C</t>
  </si>
  <si>
    <t>4 °C</t>
  </si>
  <si>
    <t>Population_Morphology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</si>
</sst>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5782-FF05-6442-9529-9D2FD6E64B3E}">
  <dimension ref="A1:K1064"/>
  <sheetViews>
    <sheetView tabSelected="1" topLeftCell="A806" zoomScale="174" zoomScaleNormal="214" workbookViewId="0">
      <selection activeCell="G787" sqref="G787"/>
    </sheetView>
  </sheetViews>
  <sheetFormatPr baseColWidth="10" defaultRowHeight="16" x14ac:dyDescent="0.2"/>
  <cols>
    <col min="1" max="1" width="18" customWidth="1"/>
    <col min="2" max="2" width="16" customWidth="1"/>
    <col min="3" max="3" width="20.1640625" customWidth="1"/>
  </cols>
  <sheetData>
    <row r="1" spans="1:11" x14ac:dyDescent="0.2">
      <c r="A1" t="s">
        <v>0</v>
      </c>
      <c r="B1" t="s">
        <v>1</v>
      </c>
      <c r="C1" t="s">
        <v>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tr">
        <f>_xlfn.CONCAT(B2,"_",C2,"_",D2)</f>
        <v>4 °C_Mucoid_a</v>
      </c>
      <c r="B2" s="2" t="s">
        <v>47</v>
      </c>
      <c r="C2" s="2" t="s">
        <v>12</v>
      </c>
      <c r="D2" s="2" t="s">
        <v>13</v>
      </c>
      <c r="E2">
        <v>1</v>
      </c>
      <c r="F2" s="2" t="s">
        <v>28</v>
      </c>
      <c r="G2" s="2">
        <v>40</v>
      </c>
      <c r="H2" s="2">
        <v>5</v>
      </c>
      <c r="I2" s="2">
        <v>70</v>
      </c>
      <c r="J2" s="2">
        <v>5</v>
      </c>
      <c r="K2" t="s">
        <v>14</v>
      </c>
    </row>
    <row r="3" spans="1:11" x14ac:dyDescent="0.2">
      <c r="A3" t="str">
        <f t="shared" ref="A3:A66" si="0">_xlfn.CONCAT(B3,"_",C3,"_",D3)</f>
        <v>4 °C_Mucoid_a</v>
      </c>
      <c r="B3" s="2" t="s">
        <v>47</v>
      </c>
      <c r="C3" s="2" t="s">
        <v>12</v>
      </c>
      <c r="D3" s="2" t="s">
        <v>13</v>
      </c>
      <c r="E3">
        <v>2</v>
      </c>
      <c r="F3" s="2" t="s">
        <v>28</v>
      </c>
      <c r="G3" s="2">
        <v>40</v>
      </c>
      <c r="H3" s="2">
        <v>5</v>
      </c>
      <c r="I3" s="2">
        <v>60</v>
      </c>
      <c r="J3" s="2">
        <v>5</v>
      </c>
      <c r="K3" t="s">
        <v>14</v>
      </c>
    </row>
    <row r="4" spans="1:11" x14ac:dyDescent="0.2">
      <c r="A4" t="str">
        <f t="shared" si="0"/>
        <v>4 °C_Mucoid_b</v>
      </c>
      <c r="B4" s="2" t="s">
        <v>47</v>
      </c>
      <c r="C4" s="2" t="s">
        <v>12</v>
      </c>
      <c r="D4" s="2" t="s">
        <v>16</v>
      </c>
      <c r="E4">
        <v>1</v>
      </c>
      <c r="F4" s="2" t="s">
        <v>28</v>
      </c>
      <c r="G4" s="2">
        <v>40</v>
      </c>
      <c r="H4" s="2">
        <v>5</v>
      </c>
      <c r="I4" s="2">
        <v>66</v>
      </c>
      <c r="J4" s="2">
        <v>4</v>
      </c>
      <c r="K4" t="s">
        <v>14</v>
      </c>
    </row>
    <row r="5" spans="1:11" x14ac:dyDescent="0.2">
      <c r="A5" t="str">
        <f t="shared" si="0"/>
        <v>4 °C_Mucoid_b</v>
      </c>
      <c r="B5" s="2" t="s">
        <v>47</v>
      </c>
      <c r="C5" s="2" t="s">
        <v>12</v>
      </c>
      <c r="D5" s="2" t="s">
        <v>16</v>
      </c>
      <c r="E5">
        <v>2</v>
      </c>
      <c r="F5" s="2" t="s">
        <v>28</v>
      </c>
      <c r="G5" s="2">
        <v>40</v>
      </c>
      <c r="H5" s="2">
        <v>5</v>
      </c>
      <c r="I5" s="2">
        <v>46</v>
      </c>
      <c r="J5" s="2">
        <v>6</v>
      </c>
      <c r="K5" t="s">
        <v>14</v>
      </c>
    </row>
    <row r="6" spans="1:11" x14ac:dyDescent="0.2">
      <c r="A6" t="str">
        <f t="shared" si="0"/>
        <v>4 °C_Mucoid_c</v>
      </c>
      <c r="B6" s="2" t="s">
        <v>47</v>
      </c>
      <c r="C6" s="2" t="s">
        <v>12</v>
      </c>
      <c r="D6" s="2" t="s">
        <v>18</v>
      </c>
      <c r="E6">
        <v>1</v>
      </c>
      <c r="F6" s="2" t="s">
        <v>28</v>
      </c>
      <c r="G6" s="2">
        <v>40</v>
      </c>
      <c r="H6" s="2">
        <v>5</v>
      </c>
      <c r="I6" s="2">
        <v>58</v>
      </c>
      <c r="J6" s="2">
        <v>1</v>
      </c>
      <c r="K6" t="s">
        <v>14</v>
      </c>
    </row>
    <row r="7" spans="1:11" x14ac:dyDescent="0.2">
      <c r="A7" t="str">
        <f t="shared" si="0"/>
        <v>4 °C_Mucoid_c</v>
      </c>
      <c r="B7" s="2" t="s">
        <v>47</v>
      </c>
      <c r="C7" s="2" t="s">
        <v>12</v>
      </c>
      <c r="D7" s="2" t="s">
        <v>18</v>
      </c>
      <c r="E7">
        <v>2</v>
      </c>
      <c r="F7" s="2" t="s">
        <v>28</v>
      </c>
      <c r="G7" s="2">
        <v>40</v>
      </c>
      <c r="H7" s="2">
        <v>5</v>
      </c>
      <c r="I7" s="2">
        <v>53</v>
      </c>
      <c r="J7" s="2">
        <v>0</v>
      </c>
      <c r="K7" t="s">
        <v>14</v>
      </c>
    </row>
    <row r="8" spans="1:11" x14ac:dyDescent="0.2">
      <c r="A8" t="str">
        <f t="shared" si="0"/>
        <v>4 °C_Mucoid_d</v>
      </c>
      <c r="B8" s="2" t="s">
        <v>47</v>
      </c>
      <c r="C8" s="2" t="s">
        <v>12</v>
      </c>
      <c r="D8" s="2" t="s">
        <v>20</v>
      </c>
      <c r="E8">
        <v>1</v>
      </c>
      <c r="F8" s="2" t="s">
        <v>28</v>
      </c>
      <c r="G8" s="2">
        <v>40</v>
      </c>
      <c r="H8" s="2">
        <v>5</v>
      </c>
      <c r="I8" s="2">
        <v>75</v>
      </c>
      <c r="J8" s="2">
        <v>1</v>
      </c>
      <c r="K8" t="s">
        <v>14</v>
      </c>
    </row>
    <row r="9" spans="1:11" x14ac:dyDescent="0.2">
      <c r="A9" t="str">
        <f t="shared" si="0"/>
        <v>4 °C_Mucoid_d</v>
      </c>
      <c r="B9" s="2" t="s">
        <v>47</v>
      </c>
      <c r="C9" s="2" t="s">
        <v>12</v>
      </c>
      <c r="D9" s="2" t="s">
        <v>20</v>
      </c>
      <c r="E9">
        <v>2</v>
      </c>
      <c r="F9" s="2" t="s">
        <v>28</v>
      </c>
      <c r="G9" s="2">
        <v>40</v>
      </c>
      <c r="H9" s="2">
        <v>5</v>
      </c>
      <c r="I9" s="2">
        <v>63</v>
      </c>
      <c r="J9" s="2">
        <v>2</v>
      </c>
      <c r="K9" t="s">
        <v>14</v>
      </c>
    </row>
    <row r="10" spans="1:11" x14ac:dyDescent="0.2">
      <c r="A10" t="str">
        <f t="shared" si="0"/>
        <v>4 °C_Mucoid_e</v>
      </c>
      <c r="B10" s="2" t="s">
        <v>47</v>
      </c>
      <c r="C10" s="2" t="s">
        <v>12</v>
      </c>
      <c r="D10" s="2" t="s">
        <v>21</v>
      </c>
      <c r="E10">
        <v>1</v>
      </c>
      <c r="F10" s="2" t="s">
        <v>28</v>
      </c>
      <c r="G10" s="2">
        <v>40</v>
      </c>
      <c r="H10" s="2">
        <v>5</v>
      </c>
      <c r="I10" s="2">
        <v>84</v>
      </c>
      <c r="J10" s="2">
        <v>3</v>
      </c>
      <c r="K10" t="s">
        <v>14</v>
      </c>
    </row>
    <row r="11" spans="1:11" x14ac:dyDescent="0.2">
      <c r="A11" t="str">
        <f t="shared" si="0"/>
        <v>4 °C_Mucoid_e</v>
      </c>
      <c r="B11" s="2" t="s">
        <v>47</v>
      </c>
      <c r="C11" s="2" t="s">
        <v>12</v>
      </c>
      <c r="D11" s="2" t="s">
        <v>21</v>
      </c>
      <c r="E11">
        <v>2</v>
      </c>
      <c r="F11" s="2" t="s">
        <v>28</v>
      </c>
      <c r="G11" s="2">
        <v>40</v>
      </c>
      <c r="H11" s="2">
        <v>5</v>
      </c>
      <c r="I11" s="2">
        <v>64</v>
      </c>
      <c r="J11" s="2">
        <v>5</v>
      </c>
      <c r="K11" t="s">
        <v>14</v>
      </c>
    </row>
    <row r="12" spans="1:11" x14ac:dyDescent="0.2">
      <c r="A12" t="str">
        <f t="shared" si="0"/>
        <v>4 °C_Dry_a</v>
      </c>
      <c r="B12" s="2" t="s">
        <v>47</v>
      </c>
      <c r="C12" s="2" t="s">
        <v>23</v>
      </c>
      <c r="D12" s="2" t="s">
        <v>13</v>
      </c>
      <c r="E12">
        <v>1</v>
      </c>
      <c r="F12" s="2" t="s">
        <v>28</v>
      </c>
      <c r="G12" s="2">
        <v>60</v>
      </c>
      <c r="H12" s="2">
        <v>5</v>
      </c>
      <c r="I12" s="2">
        <v>0</v>
      </c>
      <c r="J12" s="2">
        <v>72</v>
      </c>
      <c r="K12" t="s">
        <v>14</v>
      </c>
    </row>
    <row r="13" spans="1:11" x14ac:dyDescent="0.2">
      <c r="A13" t="str">
        <f t="shared" si="0"/>
        <v>4 °C_Dry_a</v>
      </c>
      <c r="B13" s="2" t="s">
        <v>47</v>
      </c>
      <c r="C13" s="2" t="s">
        <v>23</v>
      </c>
      <c r="D13" s="2" t="s">
        <v>13</v>
      </c>
      <c r="E13">
        <v>2</v>
      </c>
      <c r="F13" s="2" t="s">
        <v>28</v>
      </c>
      <c r="G13" s="2">
        <v>60</v>
      </c>
      <c r="H13" s="2">
        <v>5</v>
      </c>
      <c r="I13" s="2">
        <v>0</v>
      </c>
      <c r="J13" s="2">
        <v>79</v>
      </c>
      <c r="K13" t="s">
        <v>14</v>
      </c>
    </row>
    <row r="14" spans="1:11" x14ac:dyDescent="0.2">
      <c r="A14" t="str">
        <f t="shared" si="0"/>
        <v>4 °C_Dry_a</v>
      </c>
      <c r="B14" s="2" t="s">
        <v>47</v>
      </c>
      <c r="C14" s="2" t="s">
        <v>23</v>
      </c>
      <c r="D14" s="2" t="s">
        <v>13</v>
      </c>
      <c r="E14">
        <v>3</v>
      </c>
      <c r="F14" s="2" t="s">
        <v>28</v>
      </c>
      <c r="G14" s="2">
        <v>60</v>
      </c>
      <c r="H14" s="2">
        <v>5</v>
      </c>
      <c r="I14" s="2">
        <v>0</v>
      </c>
      <c r="J14" s="2">
        <v>92</v>
      </c>
      <c r="K14" t="s">
        <v>14</v>
      </c>
    </row>
    <row r="15" spans="1:11" x14ac:dyDescent="0.2">
      <c r="A15" t="str">
        <f t="shared" si="0"/>
        <v>4 °C_Dry_a</v>
      </c>
      <c r="B15" s="2" t="s">
        <v>47</v>
      </c>
      <c r="C15" s="2" t="s">
        <v>23</v>
      </c>
      <c r="D15" s="2" t="s">
        <v>13</v>
      </c>
      <c r="E15">
        <v>4</v>
      </c>
      <c r="F15" s="2" t="s">
        <v>28</v>
      </c>
      <c r="G15" s="2">
        <v>60</v>
      </c>
      <c r="H15" s="2">
        <v>5</v>
      </c>
      <c r="I15" s="2">
        <v>0</v>
      </c>
      <c r="J15" s="2">
        <v>102</v>
      </c>
      <c r="K15" t="s">
        <v>14</v>
      </c>
    </row>
    <row r="16" spans="1:11" x14ac:dyDescent="0.2">
      <c r="A16" t="str">
        <f t="shared" si="0"/>
        <v>4 °C_Dry_b</v>
      </c>
      <c r="B16" s="2" t="s">
        <v>47</v>
      </c>
      <c r="C16" s="2" t="s">
        <v>23</v>
      </c>
      <c r="D16" s="2" t="s">
        <v>16</v>
      </c>
      <c r="E16">
        <v>1</v>
      </c>
      <c r="F16" s="2" t="s">
        <v>28</v>
      </c>
      <c r="G16" s="2">
        <v>60</v>
      </c>
      <c r="H16" s="2">
        <v>5</v>
      </c>
      <c r="I16" s="2">
        <v>0</v>
      </c>
      <c r="J16" s="2">
        <v>88</v>
      </c>
      <c r="K16" t="s">
        <v>14</v>
      </c>
    </row>
    <row r="17" spans="1:11" x14ac:dyDescent="0.2">
      <c r="A17" t="str">
        <f t="shared" si="0"/>
        <v>4 °C_Dry_b</v>
      </c>
      <c r="B17" s="2" t="s">
        <v>47</v>
      </c>
      <c r="C17" s="2" t="s">
        <v>23</v>
      </c>
      <c r="D17" s="2" t="s">
        <v>16</v>
      </c>
      <c r="E17">
        <v>2</v>
      </c>
      <c r="F17" s="2" t="s">
        <v>28</v>
      </c>
      <c r="G17" s="2">
        <v>60</v>
      </c>
      <c r="H17" s="2">
        <v>5</v>
      </c>
      <c r="I17" s="2">
        <v>0</v>
      </c>
      <c r="J17" s="2">
        <v>106</v>
      </c>
      <c r="K17" t="s">
        <v>14</v>
      </c>
    </row>
    <row r="18" spans="1:11" x14ac:dyDescent="0.2">
      <c r="A18" t="str">
        <f t="shared" si="0"/>
        <v>4 °C_Dry_b</v>
      </c>
      <c r="B18" s="2" t="s">
        <v>47</v>
      </c>
      <c r="C18" s="2" t="s">
        <v>23</v>
      </c>
      <c r="D18" s="2" t="s">
        <v>16</v>
      </c>
      <c r="E18">
        <v>3</v>
      </c>
      <c r="F18" s="2" t="s">
        <v>28</v>
      </c>
      <c r="G18" s="2">
        <v>60</v>
      </c>
      <c r="H18" s="2">
        <v>5</v>
      </c>
      <c r="I18" s="2">
        <v>0</v>
      </c>
      <c r="J18" s="2">
        <v>88</v>
      </c>
      <c r="K18" t="s">
        <v>14</v>
      </c>
    </row>
    <row r="19" spans="1:11" x14ac:dyDescent="0.2">
      <c r="A19" t="str">
        <f t="shared" si="0"/>
        <v>4 °C_Dry_b</v>
      </c>
      <c r="B19" s="2" t="s">
        <v>47</v>
      </c>
      <c r="C19" s="2" t="s">
        <v>23</v>
      </c>
      <c r="D19" s="2" t="s">
        <v>16</v>
      </c>
      <c r="E19">
        <v>4</v>
      </c>
      <c r="F19" s="2" t="s">
        <v>28</v>
      </c>
      <c r="G19" s="2">
        <v>60</v>
      </c>
      <c r="H19" s="2">
        <v>5</v>
      </c>
      <c r="I19" s="2">
        <v>0</v>
      </c>
      <c r="J19" s="2">
        <v>86</v>
      </c>
      <c r="K19" t="s">
        <v>14</v>
      </c>
    </row>
    <row r="20" spans="1:11" x14ac:dyDescent="0.2">
      <c r="A20" t="str">
        <f t="shared" si="0"/>
        <v>4 °C_Dry_c</v>
      </c>
      <c r="B20" s="2" t="s">
        <v>47</v>
      </c>
      <c r="C20" s="2" t="s">
        <v>23</v>
      </c>
      <c r="D20" s="2" t="s">
        <v>18</v>
      </c>
      <c r="E20">
        <v>1</v>
      </c>
      <c r="F20" s="2" t="s">
        <v>28</v>
      </c>
      <c r="G20" s="2">
        <v>60</v>
      </c>
      <c r="H20" s="2">
        <v>5</v>
      </c>
      <c r="I20" s="2">
        <v>0</v>
      </c>
      <c r="J20" s="2">
        <v>87</v>
      </c>
      <c r="K20" t="s">
        <v>14</v>
      </c>
    </row>
    <row r="21" spans="1:11" x14ac:dyDescent="0.2">
      <c r="A21" t="str">
        <f t="shared" si="0"/>
        <v>4 °C_Dry_c</v>
      </c>
      <c r="B21" s="2" t="s">
        <v>47</v>
      </c>
      <c r="C21" s="2" t="s">
        <v>23</v>
      </c>
      <c r="D21" s="2" t="s">
        <v>18</v>
      </c>
      <c r="E21">
        <v>2</v>
      </c>
      <c r="F21" s="2" t="s">
        <v>28</v>
      </c>
      <c r="G21" s="2">
        <v>60</v>
      </c>
      <c r="H21" s="2">
        <v>5</v>
      </c>
      <c r="I21" s="2">
        <v>0</v>
      </c>
      <c r="J21" s="2">
        <v>87</v>
      </c>
      <c r="K21" t="s">
        <v>14</v>
      </c>
    </row>
    <row r="22" spans="1:11" x14ac:dyDescent="0.2">
      <c r="A22" t="str">
        <f t="shared" si="0"/>
        <v>4 °C_Dry_c</v>
      </c>
      <c r="B22" s="2" t="s">
        <v>47</v>
      </c>
      <c r="C22" s="2" t="s">
        <v>23</v>
      </c>
      <c r="D22" s="2" t="s">
        <v>18</v>
      </c>
      <c r="E22">
        <v>3</v>
      </c>
      <c r="F22" s="2" t="s">
        <v>28</v>
      </c>
      <c r="G22" s="2">
        <v>60</v>
      </c>
      <c r="H22" s="2">
        <v>5</v>
      </c>
      <c r="I22" s="2">
        <v>0</v>
      </c>
      <c r="J22" s="2">
        <v>79</v>
      </c>
      <c r="K22" t="s">
        <v>14</v>
      </c>
    </row>
    <row r="23" spans="1:11" x14ac:dyDescent="0.2">
      <c r="A23" t="str">
        <f t="shared" si="0"/>
        <v>4 °C_Dry_c</v>
      </c>
      <c r="B23" s="2" t="s">
        <v>47</v>
      </c>
      <c r="C23" s="2" t="s">
        <v>23</v>
      </c>
      <c r="D23" s="2" t="s">
        <v>18</v>
      </c>
      <c r="E23">
        <v>4</v>
      </c>
      <c r="F23" s="2" t="s">
        <v>28</v>
      </c>
      <c r="G23" s="2">
        <v>60</v>
      </c>
      <c r="H23" s="2">
        <v>5</v>
      </c>
      <c r="I23" s="2">
        <v>0</v>
      </c>
      <c r="J23" s="2">
        <v>91</v>
      </c>
      <c r="K23" t="s">
        <v>14</v>
      </c>
    </row>
    <row r="24" spans="1:11" x14ac:dyDescent="0.2">
      <c r="A24" t="str">
        <f t="shared" si="0"/>
        <v>4 °C_Dry_d</v>
      </c>
      <c r="B24" s="2" t="s">
        <v>47</v>
      </c>
      <c r="C24" s="2" t="s">
        <v>23</v>
      </c>
      <c r="D24" s="2" t="s">
        <v>20</v>
      </c>
      <c r="E24">
        <v>1</v>
      </c>
      <c r="F24" s="2" t="s">
        <v>28</v>
      </c>
      <c r="G24" s="2">
        <v>60</v>
      </c>
      <c r="H24" s="2">
        <v>5</v>
      </c>
      <c r="I24" s="2">
        <v>0</v>
      </c>
      <c r="J24" s="2">
        <v>110</v>
      </c>
      <c r="K24" t="s">
        <v>14</v>
      </c>
    </row>
    <row r="25" spans="1:11" x14ac:dyDescent="0.2">
      <c r="A25" t="str">
        <f t="shared" si="0"/>
        <v>4 °C_Dry_d</v>
      </c>
      <c r="B25" s="2" t="s">
        <v>47</v>
      </c>
      <c r="C25" s="2" t="s">
        <v>23</v>
      </c>
      <c r="D25" s="2" t="s">
        <v>20</v>
      </c>
      <c r="E25">
        <v>2</v>
      </c>
      <c r="F25" s="2" t="s">
        <v>28</v>
      </c>
      <c r="G25" s="2">
        <v>60</v>
      </c>
      <c r="H25" s="2">
        <v>5</v>
      </c>
      <c r="I25" s="2">
        <v>0</v>
      </c>
      <c r="J25" s="2">
        <v>90</v>
      </c>
      <c r="K25" t="s">
        <v>14</v>
      </c>
    </row>
    <row r="26" spans="1:11" x14ac:dyDescent="0.2">
      <c r="A26" t="str">
        <f t="shared" si="0"/>
        <v>4 °C_Dry_d</v>
      </c>
      <c r="B26" s="2" t="s">
        <v>47</v>
      </c>
      <c r="C26" s="2" t="s">
        <v>23</v>
      </c>
      <c r="D26" s="2" t="s">
        <v>20</v>
      </c>
      <c r="E26">
        <v>3</v>
      </c>
      <c r="F26" s="2" t="s">
        <v>28</v>
      </c>
      <c r="G26" s="2">
        <v>60</v>
      </c>
      <c r="H26" s="2">
        <v>5</v>
      </c>
      <c r="I26" s="2">
        <v>0</v>
      </c>
      <c r="J26" s="2">
        <v>89</v>
      </c>
      <c r="K26" t="s">
        <v>14</v>
      </c>
    </row>
    <row r="27" spans="1:11" x14ac:dyDescent="0.2">
      <c r="A27" t="str">
        <f t="shared" si="0"/>
        <v>4 °C_Dry_d</v>
      </c>
      <c r="B27" s="2" t="s">
        <v>47</v>
      </c>
      <c r="C27" s="2" t="s">
        <v>23</v>
      </c>
      <c r="D27" s="2" t="s">
        <v>20</v>
      </c>
      <c r="E27">
        <v>4</v>
      </c>
      <c r="F27" s="2" t="s">
        <v>28</v>
      </c>
      <c r="G27" s="2">
        <v>60</v>
      </c>
      <c r="H27" s="2">
        <v>5</v>
      </c>
      <c r="I27" s="2">
        <v>0</v>
      </c>
      <c r="J27" s="2">
        <v>110</v>
      </c>
      <c r="K27" t="s">
        <v>14</v>
      </c>
    </row>
    <row r="28" spans="1:11" x14ac:dyDescent="0.2">
      <c r="A28" t="str">
        <f t="shared" si="0"/>
        <v>4 °C_Dry_e</v>
      </c>
      <c r="B28" s="2" t="s">
        <v>47</v>
      </c>
      <c r="C28" s="2" t="s">
        <v>23</v>
      </c>
      <c r="D28" s="2" t="s">
        <v>21</v>
      </c>
      <c r="E28">
        <v>1</v>
      </c>
      <c r="F28" s="2" t="s">
        <v>28</v>
      </c>
      <c r="G28" s="2">
        <v>60</v>
      </c>
      <c r="H28" s="2">
        <v>5</v>
      </c>
      <c r="I28" s="2">
        <v>0</v>
      </c>
      <c r="J28" s="2">
        <v>86</v>
      </c>
      <c r="K28" t="s">
        <v>14</v>
      </c>
    </row>
    <row r="29" spans="1:11" x14ac:dyDescent="0.2">
      <c r="A29" t="str">
        <f t="shared" si="0"/>
        <v>4 °C_Dry_e</v>
      </c>
      <c r="B29" s="2" t="s">
        <v>47</v>
      </c>
      <c r="C29" s="2" t="s">
        <v>23</v>
      </c>
      <c r="D29" s="2" t="s">
        <v>21</v>
      </c>
      <c r="E29">
        <v>2</v>
      </c>
      <c r="F29" s="2" t="s">
        <v>28</v>
      </c>
      <c r="G29" s="2">
        <v>60</v>
      </c>
      <c r="H29" s="2">
        <v>5</v>
      </c>
      <c r="I29" s="2">
        <v>0</v>
      </c>
      <c r="J29" s="2">
        <v>94</v>
      </c>
      <c r="K29" t="s">
        <v>14</v>
      </c>
    </row>
    <row r="30" spans="1:11" x14ac:dyDescent="0.2">
      <c r="A30" t="str">
        <f t="shared" si="0"/>
        <v>4 °C_Dry_e</v>
      </c>
      <c r="B30" s="2" t="s">
        <v>47</v>
      </c>
      <c r="C30" s="2" t="s">
        <v>23</v>
      </c>
      <c r="D30" s="2" t="s">
        <v>21</v>
      </c>
      <c r="E30">
        <v>3</v>
      </c>
      <c r="F30" s="2" t="s">
        <v>28</v>
      </c>
      <c r="G30" s="2">
        <v>60</v>
      </c>
      <c r="H30" s="2">
        <v>5</v>
      </c>
      <c r="I30" s="2">
        <v>0</v>
      </c>
      <c r="J30" s="2">
        <v>87</v>
      </c>
      <c r="K30" t="s">
        <v>14</v>
      </c>
    </row>
    <row r="31" spans="1:11" x14ac:dyDescent="0.2">
      <c r="A31" t="str">
        <f t="shared" si="0"/>
        <v>4 °C_Dry_e</v>
      </c>
      <c r="B31" s="2" t="s">
        <v>47</v>
      </c>
      <c r="C31" s="2" t="s">
        <v>23</v>
      </c>
      <c r="D31" s="2" t="s">
        <v>21</v>
      </c>
      <c r="E31">
        <v>4</v>
      </c>
      <c r="F31" s="2" t="s">
        <v>28</v>
      </c>
      <c r="G31" s="2">
        <v>60</v>
      </c>
      <c r="H31" s="2">
        <v>5</v>
      </c>
      <c r="I31" s="2">
        <v>0</v>
      </c>
      <c r="J31" s="2">
        <v>87</v>
      </c>
      <c r="K31" t="s">
        <v>14</v>
      </c>
    </row>
    <row r="32" spans="1:11" x14ac:dyDescent="0.2">
      <c r="A32" t="str">
        <f t="shared" si="0"/>
        <v>4 °C_Mixture_a</v>
      </c>
      <c r="B32" s="2" t="s">
        <v>47</v>
      </c>
      <c r="C32" s="2" t="s">
        <v>27</v>
      </c>
      <c r="D32" s="2" t="s">
        <v>13</v>
      </c>
      <c r="E32">
        <v>1</v>
      </c>
      <c r="F32" s="2" t="s">
        <v>28</v>
      </c>
      <c r="G32" s="2">
        <v>60</v>
      </c>
      <c r="H32" s="2">
        <v>5</v>
      </c>
      <c r="I32" s="2">
        <v>16</v>
      </c>
      <c r="J32" s="2">
        <v>49</v>
      </c>
      <c r="K32" t="s">
        <v>14</v>
      </c>
    </row>
    <row r="33" spans="1:11" x14ac:dyDescent="0.2">
      <c r="A33" t="str">
        <f t="shared" si="0"/>
        <v>4 °C_Mixture_a</v>
      </c>
      <c r="B33" s="2" t="s">
        <v>47</v>
      </c>
      <c r="C33" s="2" t="s">
        <v>27</v>
      </c>
      <c r="D33" s="2" t="s">
        <v>13</v>
      </c>
      <c r="E33">
        <v>2</v>
      </c>
      <c r="F33" s="2" t="s">
        <v>28</v>
      </c>
      <c r="G33" s="2">
        <v>60</v>
      </c>
      <c r="H33" s="2">
        <v>5</v>
      </c>
      <c r="I33" s="2">
        <v>29</v>
      </c>
      <c r="J33" s="2">
        <v>51</v>
      </c>
      <c r="K33" t="s">
        <v>14</v>
      </c>
    </row>
    <row r="34" spans="1:11" x14ac:dyDescent="0.2">
      <c r="A34" t="str">
        <f t="shared" si="0"/>
        <v>4 °C_Mixture_b</v>
      </c>
      <c r="B34" s="2" t="s">
        <v>47</v>
      </c>
      <c r="C34" s="2" t="s">
        <v>27</v>
      </c>
      <c r="D34" s="2" t="s">
        <v>16</v>
      </c>
      <c r="E34">
        <v>1</v>
      </c>
      <c r="F34" s="2" t="s">
        <v>28</v>
      </c>
      <c r="G34" s="2">
        <v>60</v>
      </c>
      <c r="H34" s="2">
        <v>5</v>
      </c>
      <c r="I34" s="2">
        <v>25</v>
      </c>
      <c r="J34" s="2">
        <v>39</v>
      </c>
      <c r="K34" t="s">
        <v>14</v>
      </c>
    </row>
    <row r="35" spans="1:11" x14ac:dyDescent="0.2">
      <c r="A35" t="str">
        <f t="shared" si="0"/>
        <v>4 °C_Mixture_b</v>
      </c>
      <c r="B35" s="2" t="s">
        <v>47</v>
      </c>
      <c r="C35" s="2" t="s">
        <v>27</v>
      </c>
      <c r="D35" s="2" t="s">
        <v>16</v>
      </c>
      <c r="E35">
        <v>2</v>
      </c>
      <c r="F35" s="2" t="s">
        <v>28</v>
      </c>
      <c r="G35" s="2">
        <v>60</v>
      </c>
      <c r="H35" s="2">
        <v>5</v>
      </c>
      <c r="I35" s="2">
        <v>27</v>
      </c>
      <c r="J35" s="2">
        <v>46</v>
      </c>
      <c r="K35" t="s">
        <v>14</v>
      </c>
    </row>
    <row r="36" spans="1:11" x14ac:dyDescent="0.2">
      <c r="A36" t="str">
        <f t="shared" si="0"/>
        <v>4 °C_Mixture_c</v>
      </c>
      <c r="B36" s="2" t="s">
        <v>47</v>
      </c>
      <c r="C36" s="2" t="s">
        <v>27</v>
      </c>
      <c r="D36" s="2" t="s">
        <v>18</v>
      </c>
      <c r="E36">
        <v>1</v>
      </c>
      <c r="F36" s="2" t="s">
        <v>28</v>
      </c>
      <c r="G36" s="2">
        <v>60</v>
      </c>
      <c r="H36" s="2">
        <v>5</v>
      </c>
      <c r="I36" s="2">
        <v>25</v>
      </c>
      <c r="J36" s="2">
        <v>50</v>
      </c>
      <c r="K36" t="s">
        <v>14</v>
      </c>
    </row>
    <row r="37" spans="1:11" x14ac:dyDescent="0.2">
      <c r="A37" t="str">
        <f t="shared" si="0"/>
        <v>4 °C_Mixture_c</v>
      </c>
      <c r="B37" s="2" t="s">
        <v>47</v>
      </c>
      <c r="C37" s="2" t="s">
        <v>27</v>
      </c>
      <c r="D37" s="2" t="s">
        <v>18</v>
      </c>
      <c r="E37">
        <v>2</v>
      </c>
      <c r="F37" s="2" t="s">
        <v>28</v>
      </c>
      <c r="G37" s="2">
        <v>60</v>
      </c>
      <c r="H37" s="2">
        <v>5</v>
      </c>
      <c r="I37" s="2">
        <v>23</v>
      </c>
      <c r="J37" s="2">
        <v>67</v>
      </c>
      <c r="K37" t="s">
        <v>14</v>
      </c>
    </row>
    <row r="38" spans="1:11" x14ac:dyDescent="0.2">
      <c r="A38" t="str">
        <f t="shared" si="0"/>
        <v>4 °C_Mixture_d</v>
      </c>
      <c r="B38" s="2" t="s">
        <v>47</v>
      </c>
      <c r="C38" s="2" t="s">
        <v>27</v>
      </c>
      <c r="D38" s="2" t="s">
        <v>20</v>
      </c>
      <c r="E38">
        <v>1</v>
      </c>
      <c r="F38" s="2" t="s">
        <v>28</v>
      </c>
      <c r="G38" s="2">
        <v>60</v>
      </c>
      <c r="H38" s="2">
        <v>5</v>
      </c>
      <c r="I38" s="2">
        <v>17</v>
      </c>
      <c r="J38" s="2">
        <v>37</v>
      </c>
      <c r="K38" t="s">
        <v>14</v>
      </c>
    </row>
    <row r="39" spans="1:11" x14ac:dyDescent="0.2">
      <c r="A39" t="str">
        <f t="shared" si="0"/>
        <v>4 °C_Mixture_d</v>
      </c>
      <c r="B39" s="2" t="s">
        <v>47</v>
      </c>
      <c r="C39" s="2" t="s">
        <v>27</v>
      </c>
      <c r="D39" s="2" t="s">
        <v>20</v>
      </c>
      <c r="E39">
        <v>2</v>
      </c>
      <c r="F39" s="2" t="s">
        <v>28</v>
      </c>
      <c r="G39" s="2">
        <v>60</v>
      </c>
      <c r="H39" s="2">
        <v>5</v>
      </c>
      <c r="I39" s="2">
        <v>22</v>
      </c>
      <c r="J39" s="2">
        <v>40</v>
      </c>
      <c r="K39" t="s">
        <v>14</v>
      </c>
    </row>
    <row r="40" spans="1:11" x14ac:dyDescent="0.2">
      <c r="A40" t="str">
        <f t="shared" si="0"/>
        <v>4 °C_Mixture_e</v>
      </c>
      <c r="B40" s="2" t="s">
        <v>47</v>
      </c>
      <c r="C40" s="2" t="s">
        <v>27</v>
      </c>
      <c r="D40" s="2" t="s">
        <v>21</v>
      </c>
      <c r="E40">
        <v>1</v>
      </c>
      <c r="F40" s="2" t="s">
        <v>28</v>
      </c>
      <c r="G40" s="2">
        <v>60</v>
      </c>
      <c r="H40" s="2">
        <v>5</v>
      </c>
      <c r="I40" s="2">
        <v>33</v>
      </c>
      <c r="J40" s="2">
        <v>55</v>
      </c>
      <c r="K40" t="s">
        <v>14</v>
      </c>
    </row>
    <row r="41" spans="1:11" x14ac:dyDescent="0.2">
      <c r="A41" t="str">
        <f t="shared" si="0"/>
        <v>4 °C_Mixture_e</v>
      </c>
      <c r="B41" s="2" t="s">
        <v>47</v>
      </c>
      <c r="C41" s="2" t="s">
        <v>27</v>
      </c>
      <c r="D41" s="2" t="s">
        <v>21</v>
      </c>
      <c r="E41">
        <v>2</v>
      </c>
      <c r="F41" s="2" t="s">
        <v>28</v>
      </c>
      <c r="G41" s="2">
        <v>60</v>
      </c>
      <c r="H41" s="2">
        <v>5</v>
      </c>
      <c r="I41" s="2">
        <v>27</v>
      </c>
      <c r="J41" s="2">
        <v>59</v>
      </c>
      <c r="K41" t="s">
        <v>14</v>
      </c>
    </row>
    <row r="42" spans="1:11" x14ac:dyDescent="0.2">
      <c r="A42" t="str">
        <f t="shared" si="0"/>
        <v>4 °C_Mucoid_a</v>
      </c>
      <c r="B42" s="2" t="s">
        <v>47</v>
      </c>
      <c r="C42" s="2" t="s">
        <v>12</v>
      </c>
      <c r="D42" s="2" t="s">
        <v>13</v>
      </c>
      <c r="E42">
        <v>3</v>
      </c>
      <c r="F42" t="s">
        <v>30</v>
      </c>
      <c r="G42" s="2">
        <v>30</v>
      </c>
      <c r="H42" s="2">
        <v>5</v>
      </c>
      <c r="I42" s="2">
        <v>59</v>
      </c>
      <c r="J42" s="2">
        <v>0</v>
      </c>
      <c r="K42" t="s">
        <v>14</v>
      </c>
    </row>
    <row r="43" spans="1:11" x14ac:dyDescent="0.2">
      <c r="A43" t="str">
        <f t="shared" si="0"/>
        <v>4 °C_Mucoid_a</v>
      </c>
      <c r="B43" s="2" t="s">
        <v>47</v>
      </c>
      <c r="C43" s="2" t="s">
        <v>12</v>
      </c>
      <c r="D43" s="2" t="s">
        <v>13</v>
      </c>
      <c r="E43">
        <v>4</v>
      </c>
      <c r="F43" t="s">
        <v>30</v>
      </c>
      <c r="G43" s="2">
        <v>30</v>
      </c>
      <c r="H43" s="2">
        <v>5</v>
      </c>
      <c r="I43" s="2">
        <v>71</v>
      </c>
      <c r="J43" s="2">
        <v>0</v>
      </c>
      <c r="K43" t="s">
        <v>14</v>
      </c>
    </row>
    <row r="44" spans="1:11" x14ac:dyDescent="0.2">
      <c r="A44" t="str">
        <f t="shared" si="0"/>
        <v>4 °C_Mucoid_b</v>
      </c>
      <c r="B44" s="2" t="s">
        <v>47</v>
      </c>
      <c r="C44" s="2" t="s">
        <v>12</v>
      </c>
      <c r="D44" s="2" t="s">
        <v>16</v>
      </c>
      <c r="E44">
        <v>3</v>
      </c>
      <c r="F44" t="s">
        <v>30</v>
      </c>
      <c r="G44" s="2">
        <v>30</v>
      </c>
      <c r="H44" s="2">
        <v>5</v>
      </c>
      <c r="I44" s="2">
        <v>54</v>
      </c>
      <c r="J44" s="2">
        <v>0</v>
      </c>
      <c r="K44" t="s">
        <v>14</v>
      </c>
    </row>
    <row r="45" spans="1:11" x14ac:dyDescent="0.2">
      <c r="A45" t="str">
        <f t="shared" si="0"/>
        <v>4 °C_Mucoid_b</v>
      </c>
      <c r="B45" s="2" t="s">
        <v>47</v>
      </c>
      <c r="C45" s="2" t="s">
        <v>12</v>
      </c>
      <c r="D45" s="2" t="s">
        <v>16</v>
      </c>
      <c r="E45">
        <v>4</v>
      </c>
      <c r="F45" t="s">
        <v>30</v>
      </c>
      <c r="G45" s="2">
        <v>30</v>
      </c>
      <c r="H45" s="2">
        <v>5</v>
      </c>
      <c r="I45" s="2">
        <v>65</v>
      </c>
      <c r="J45" s="2">
        <v>0</v>
      </c>
      <c r="K45" t="s">
        <v>14</v>
      </c>
    </row>
    <row r="46" spans="1:11" x14ac:dyDescent="0.2">
      <c r="A46" t="str">
        <f t="shared" si="0"/>
        <v>4 °C_Mucoid_c</v>
      </c>
      <c r="B46" s="2" t="s">
        <v>47</v>
      </c>
      <c r="C46" s="2" t="s">
        <v>12</v>
      </c>
      <c r="D46" s="2" t="s">
        <v>18</v>
      </c>
      <c r="E46">
        <v>3</v>
      </c>
      <c r="F46" t="s">
        <v>30</v>
      </c>
      <c r="G46" s="2">
        <v>30</v>
      </c>
      <c r="H46" s="2">
        <v>5</v>
      </c>
      <c r="I46" s="2">
        <v>28</v>
      </c>
      <c r="J46" s="2">
        <v>0</v>
      </c>
      <c r="K46" t="s">
        <v>14</v>
      </c>
    </row>
    <row r="47" spans="1:11" x14ac:dyDescent="0.2">
      <c r="A47" t="str">
        <f t="shared" si="0"/>
        <v>4 °C_Mucoid_c</v>
      </c>
      <c r="B47" s="2" t="s">
        <v>47</v>
      </c>
      <c r="C47" s="2" t="s">
        <v>12</v>
      </c>
      <c r="D47" s="2" t="s">
        <v>18</v>
      </c>
      <c r="E47">
        <v>4</v>
      </c>
      <c r="F47" t="s">
        <v>30</v>
      </c>
      <c r="G47" s="2">
        <v>30</v>
      </c>
      <c r="H47" s="2">
        <v>5</v>
      </c>
      <c r="I47" s="2">
        <v>39</v>
      </c>
      <c r="J47" s="2">
        <v>0</v>
      </c>
      <c r="K47" t="s">
        <v>14</v>
      </c>
    </row>
    <row r="48" spans="1:11" x14ac:dyDescent="0.2">
      <c r="A48" t="str">
        <f t="shared" si="0"/>
        <v>4 °C_Mucoid_d</v>
      </c>
      <c r="B48" s="2" t="s">
        <v>47</v>
      </c>
      <c r="C48" s="2" t="s">
        <v>12</v>
      </c>
      <c r="D48" s="2" t="s">
        <v>20</v>
      </c>
      <c r="E48">
        <v>3</v>
      </c>
      <c r="F48" t="s">
        <v>30</v>
      </c>
      <c r="G48" s="2">
        <v>30</v>
      </c>
      <c r="H48" s="2">
        <v>5</v>
      </c>
      <c r="I48" s="2">
        <v>51</v>
      </c>
      <c r="J48" s="2">
        <v>1</v>
      </c>
      <c r="K48" t="s">
        <v>14</v>
      </c>
    </row>
    <row r="49" spans="1:11" x14ac:dyDescent="0.2">
      <c r="A49" t="str">
        <f t="shared" si="0"/>
        <v>4 °C_Mucoid_d</v>
      </c>
      <c r="B49" s="2" t="s">
        <v>47</v>
      </c>
      <c r="C49" s="2" t="s">
        <v>12</v>
      </c>
      <c r="D49" s="2" t="s">
        <v>20</v>
      </c>
      <c r="E49">
        <v>4</v>
      </c>
      <c r="F49" t="s">
        <v>30</v>
      </c>
      <c r="G49" s="2">
        <v>30</v>
      </c>
      <c r="H49" s="2">
        <v>5</v>
      </c>
      <c r="I49" s="2">
        <v>39</v>
      </c>
      <c r="J49" s="2">
        <v>1</v>
      </c>
      <c r="K49" t="s">
        <v>14</v>
      </c>
    </row>
    <row r="50" spans="1:11" x14ac:dyDescent="0.2">
      <c r="A50" t="str">
        <f t="shared" si="0"/>
        <v>4 °C_Mucoid_e</v>
      </c>
      <c r="B50" s="2" t="s">
        <v>47</v>
      </c>
      <c r="C50" s="2" t="s">
        <v>12</v>
      </c>
      <c r="D50" s="2" t="s">
        <v>21</v>
      </c>
      <c r="E50">
        <v>3</v>
      </c>
      <c r="F50" t="s">
        <v>30</v>
      </c>
      <c r="G50" s="2">
        <v>30</v>
      </c>
      <c r="H50" s="2">
        <v>5</v>
      </c>
      <c r="I50" s="2">
        <v>70</v>
      </c>
      <c r="J50" s="2">
        <v>1</v>
      </c>
      <c r="K50" t="s">
        <v>14</v>
      </c>
    </row>
    <row r="51" spans="1:11" x14ac:dyDescent="0.2">
      <c r="A51" t="str">
        <f t="shared" si="0"/>
        <v>4 °C_Mucoid_e</v>
      </c>
      <c r="B51" s="2" t="s">
        <v>47</v>
      </c>
      <c r="C51" s="2" t="s">
        <v>12</v>
      </c>
      <c r="D51" s="2" t="s">
        <v>21</v>
      </c>
      <c r="E51">
        <v>4</v>
      </c>
      <c r="F51" t="s">
        <v>30</v>
      </c>
      <c r="G51" s="2">
        <v>30</v>
      </c>
      <c r="H51" s="2">
        <v>5</v>
      </c>
      <c r="I51" s="2">
        <v>46</v>
      </c>
      <c r="J51" s="2">
        <v>0</v>
      </c>
      <c r="K51" t="s">
        <v>14</v>
      </c>
    </row>
    <row r="52" spans="1:11" x14ac:dyDescent="0.2">
      <c r="A52" t="str">
        <f t="shared" si="0"/>
        <v>4 °C_Dry_a</v>
      </c>
      <c r="B52" s="2" t="s">
        <v>47</v>
      </c>
      <c r="C52" s="2" t="s">
        <v>23</v>
      </c>
      <c r="D52" s="2" t="s">
        <v>13</v>
      </c>
      <c r="E52">
        <v>3</v>
      </c>
      <c r="F52" t="s">
        <v>30</v>
      </c>
      <c r="G52" s="2">
        <v>30</v>
      </c>
      <c r="H52" s="2">
        <v>5</v>
      </c>
      <c r="I52" s="2">
        <v>0</v>
      </c>
      <c r="J52" s="2">
        <v>44</v>
      </c>
      <c r="K52" t="s">
        <v>14</v>
      </c>
    </row>
    <row r="53" spans="1:11" x14ac:dyDescent="0.2">
      <c r="A53" t="str">
        <f t="shared" si="0"/>
        <v>4 °C_Dry_a</v>
      </c>
      <c r="B53" s="2" t="s">
        <v>47</v>
      </c>
      <c r="C53" s="2" t="s">
        <v>23</v>
      </c>
      <c r="D53" s="2" t="s">
        <v>13</v>
      </c>
      <c r="E53">
        <v>4</v>
      </c>
      <c r="F53" t="s">
        <v>30</v>
      </c>
      <c r="G53" s="2">
        <v>30</v>
      </c>
      <c r="H53" s="2">
        <v>5</v>
      </c>
      <c r="I53" s="2">
        <v>0</v>
      </c>
      <c r="J53" s="2">
        <v>47</v>
      </c>
      <c r="K53" t="s">
        <v>14</v>
      </c>
    </row>
    <row r="54" spans="1:11" x14ac:dyDescent="0.2">
      <c r="A54" t="str">
        <f t="shared" si="0"/>
        <v>4 °C_Dry_b</v>
      </c>
      <c r="B54" s="2" t="s">
        <v>47</v>
      </c>
      <c r="C54" s="2" t="s">
        <v>23</v>
      </c>
      <c r="D54" s="2" t="s">
        <v>16</v>
      </c>
      <c r="E54">
        <v>3</v>
      </c>
      <c r="F54" t="s">
        <v>30</v>
      </c>
      <c r="G54" s="2">
        <v>30</v>
      </c>
      <c r="H54" s="2">
        <v>5</v>
      </c>
      <c r="I54" s="2">
        <v>0</v>
      </c>
      <c r="J54" s="2">
        <v>64</v>
      </c>
      <c r="K54" t="s">
        <v>14</v>
      </c>
    </row>
    <row r="55" spans="1:11" x14ac:dyDescent="0.2">
      <c r="A55" t="str">
        <f t="shared" si="0"/>
        <v>4 °C_Dry_b</v>
      </c>
      <c r="B55" s="2" t="s">
        <v>47</v>
      </c>
      <c r="C55" s="2" t="s">
        <v>23</v>
      </c>
      <c r="D55" s="2" t="s">
        <v>16</v>
      </c>
      <c r="E55">
        <v>4</v>
      </c>
      <c r="F55" t="s">
        <v>30</v>
      </c>
      <c r="G55" s="2">
        <v>30</v>
      </c>
      <c r="H55" s="2">
        <v>5</v>
      </c>
      <c r="I55" s="2">
        <v>0</v>
      </c>
      <c r="J55" s="2">
        <v>67</v>
      </c>
      <c r="K55" t="s">
        <v>14</v>
      </c>
    </row>
    <row r="56" spans="1:11" x14ac:dyDescent="0.2">
      <c r="A56" t="str">
        <f t="shared" si="0"/>
        <v>4 °C_Dry_c</v>
      </c>
      <c r="B56" s="2" t="s">
        <v>47</v>
      </c>
      <c r="C56" s="2" t="s">
        <v>23</v>
      </c>
      <c r="D56" s="2" t="s">
        <v>18</v>
      </c>
      <c r="E56">
        <v>3</v>
      </c>
      <c r="F56" t="s">
        <v>30</v>
      </c>
      <c r="G56" s="2">
        <v>30</v>
      </c>
      <c r="H56" s="2">
        <v>5</v>
      </c>
      <c r="I56" s="2">
        <v>0</v>
      </c>
      <c r="J56" s="2">
        <v>65</v>
      </c>
      <c r="K56" t="s">
        <v>14</v>
      </c>
    </row>
    <row r="57" spans="1:11" x14ac:dyDescent="0.2">
      <c r="A57" t="str">
        <f t="shared" si="0"/>
        <v>4 °C_Dry_c</v>
      </c>
      <c r="B57" s="2" t="s">
        <v>47</v>
      </c>
      <c r="C57" s="2" t="s">
        <v>23</v>
      </c>
      <c r="D57" s="2" t="s">
        <v>18</v>
      </c>
      <c r="E57">
        <v>4</v>
      </c>
      <c r="F57" t="s">
        <v>30</v>
      </c>
      <c r="G57" s="2">
        <v>30</v>
      </c>
      <c r="H57" s="2">
        <v>5</v>
      </c>
      <c r="I57" s="2">
        <v>0</v>
      </c>
      <c r="J57" s="2">
        <v>68</v>
      </c>
      <c r="K57" t="s">
        <v>14</v>
      </c>
    </row>
    <row r="58" spans="1:11" x14ac:dyDescent="0.2">
      <c r="A58" t="str">
        <f t="shared" si="0"/>
        <v>4 °C_Dry_d</v>
      </c>
      <c r="B58" s="2" t="s">
        <v>47</v>
      </c>
      <c r="C58" s="2" t="s">
        <v>23</v>
      </c>
      <c r="D58" s="2" t="s">
        <v>20</v>
      </c>
      <c r="E58">
        <v>3</v>
      </c>
      <c r="F58" t="s">
        <v>30</v>
      </c>
      <c r="G58" s="2">
        <v>30</v>
      </c>
      <c r="H58" s="2">
        <v>5</v>
      </c>
      <c r="I58" s="2">
        <v>0</v>
      </c>
      <c r="J58" s="2">
        <v>75</v>
      </c>
      <c r="K58" t="s">
        <v>14</v>
      </c>
    </row>
    <row r="59" spans="1:11" x14ac:dyDescent="0.2">
      <c r="A59" t="str">
        <f t="shared" si="0"/>
        <v>4 °C_Dry_d</v>
      </c>
      <c r="B59" s="2" t="s">
        <v>47</v>
      </c>
      <c r="C59" s="2" t="s">
        <v>23</v>
      </c>
      <c r="D59" s="2" t="s">
        <v>20</v>
      </c>
      <c r="E59">
        <v>4</v>
      </c>
      <c r="F59" t="s">
        <v>30</v>
      </c>
      <c r="G59" s="2">
        <v>30</v>
      </c>
      <c r="H59" s="2">
        <v>5</v>
      </c>
      <c r="I59" s="2">
        <v>0</v>
      </c>
      <c r="J59" s="2">
        <v>71</v>
      </c>
      <c r="K59" t="s">
        <v>14</v>
      </c>
    </row>
    <row r="60" spans="1:11" x14ac:dyDescent="0.2">
      <c r="A60" t="str">
        <f t="shared" si="0"/>
        <v>4 °C_Mixture_a</v>
      </c>
      <c r="B60" s="2" t="s">
        <v>47</v>
      </c>
      <c r="C60" s="2" t="s">
        <v>27</v>
      </c>
      <c r="D60" s="2" t="s">
        <v>13</v>
      </c>
      <c r="E60">
        <v>3</v>
      </c>
      <c r="F60" t="s">
        <v>30</v>
      </c>
      <c r="G60" s="2">
        <v>30</v>
      </c>
      <c r="H60" s="2">
        <v>5</v>
      </c>
      <c r="I60" s="2">
        <v>23</v>
      </c>
      <c r="J60" s="2">
        <v>18</v>
      </c>
      <c r="K60" t="s">
        <v>14</v>
      </c>
    </row>
    <row r="61" spans="1:11" x14ac:dyDescent="0.2">
      <c r="A61" t="str">
        <f t="shared" si="0"/>
        <v>4 °C_Mixture_a</v>
      </c>
      <c r="B61" s="2" t="s">
        <v>47</v>
      </c>
      <c r="C61" s="2" t="s">
        <v>27</v>
      </c>
      <c r="D61" s="2" t="s">
        <v>13</v>
      </c>
      <c r="E61">
        <v>4</v>
      </c>
      <c r="F61" t="s">
        <v>30</v>
      </c>
      <c r="G61" s="2">
        <v>30</v>
      </c>
      <c r="H61" s="2">
        <v>5</v>
      </c>
      <c r="I61" s="2">
        <v>38</v>
      </c>
      <c r="J61" s="2">
        <v>19</v>
      </c>
      <c r="K61" t="s">
        <v>14</v>
      </c>
    </row>
    <row r="62" spans="1:11" x14ac:dyDescent="0.2">
      <c r="A62" t="str">
        <f t="shared" si="0"/>
        <v>4 °C_Mixture_b</v>
      </c>
      <c r="B62" s="2" t="s">
        <v>47</v>
      </c>
      <c r="C62" s="2" t="s">
        <v>27</v>
      </c>
      <c r="D62" s="2" t="s">
        <v>16</v>
      </c>
      <c r="E62">
        <v>3</v>
      </c>
      <c r="F62" t="s">
        <v>30</v>
      </c>
      <c r="G62" s="2">
        <v>30</v>
      </c>
      <c r="H62" s="2">
        <v>5</v>
      </c>
      <c r="I62" s="2">
        <v>28</v>
      </c>
      <c r="J62" s="2">
        <v>32</v>
      </c>
      <c r="K62" t="s">
        <v>14</v>
      </c>
    </row>
    <row r="63" spans="1:11" x14ac:dyDescent="0.2">
      <c r="A63" t="str">
        <f t="shared" si="0"/>
        <v>4 °C_Mixture_b</v>
      </c>
      <c r="B63" s="2" t="s">
        <v>47</v>
      </c>
      <c r="C63" s="2" t="s">
        <v>27</v>
      </c>
      <c r="D63" s="2" t="s">
        <v>16</v>
      </c>
      <c r="E63">
        <v>4</v>
      </c>
      <c r="F63" t="s">
        <v>30</v>
      </c>
      <c r="G63" s="2">
        <v>30</v>
      </c>
      <c r="H63" s="2">
        <v>5</v>
      </c>
      <c r="I63" s="2">
        <v>26</v>
      </c>
      <c r="J63" s="2">
        <v>16</v>
      </c>
      <c r="K63" t="s">
        <v>14</v>
      </c>
    </row>
    <row r="64" spans="1:11" x14ac:dyDescent="0.2">
      <c r="A64" t="str">
        <f t="shared" si="0"/>
        <v>4 °C_Mixture_c</v>
      </c>
      <c r="B64" s="2" t="s">
        <v>47</v>
      </c>
      <c r="C64" s="2" t="s">
        <v>27</v>
      </c>
      <c r="D64" s="2" t="s">
        <v>18</v>
      </c>
      <c r="E64">
        <v>3</v>
      </c>
      <c r="F64" t="s">
        <v>30</v>
      </c>
      <c r="G64" s="2">
        <v>30</v>
      </c>
      <c r="H64" s="2">
        <v>5</v>
      </c>
      <c r="I64" s="2">
        <v>30</v>
      </c>
      <c r="J64" s="2">
        <v>23</v>
      </c>
      <c r="K64" t="s">
        <v>14</v>
      </c>
    </row>
    <row r="65" spans="1:11" x14ac:dyDescent="0.2">
      <c r="A65" t="str">
        <f t="shared" si="0"/>
        <v>4 °C_Mixture_c</v>
      </c>
      <c r="B65" s="2" t="s">
        <v>47</v>
      </c>
      <c r="C65" s="2" t="s">
        <v>27</v>
      </c>
      <c r="D65" s="2" t="s">
        <v>18</v>
      </c>
      <c r="E65">
        <v>4</v>
      </c>
      <c r="F65" t="s">
        <v>30</v>
      </c>
      <c r="G65" s="2">
        <v>30</v>
      </c>
      <c r="H65" s="2">
        <v>5</v>
      </c>
      <c r="I65" s="2">
        <v>35</v>
      </c>
      <c r="J65" s="2">
        <v>19</v>
      </c>
      <c r="K65" t="s">
        <v>14</v>
      </c>
    </row>
    <row r="66" spans="1:11" x14ac:dyDescent="0.2">
      <c r="A66" t="str">
        <f t="shared" si="0"/>
        <v>4 °C_Mixture_d</v>
      </c>
      <c r="B66" s="2" t="s">
        <v>47</v>
      </c>
      <c r="C66" s="2" t="s">
        <v>27</v>
      </c>
      <c r="D66" s="2" t="s">
        <v>20</v>
      </c>
      <c r="E66">
        <v>3</v>
      </c>
      <c r="F66" t="s">
        <v>30</v>
      </c>
      <c r="G66" s="2">
        <v>30</v>
      </c>
      <c r="H66" s="2">
        <v>5</v>
      </c>
      <c r="I66" s="2">
        <v>31</v>
      </c>
      <c r="J66" s="2">
        <v>23</v>
      </c>
      <c r="K66" t="s">
        <v>14</v>
      </c>
    </row>
    <row r="67" spans="1:11" x14ac:dyDescent="0.2">
      <c r="A67" t="str">
        <f t="shared" ref="A67:A130" si="1">_xlfn.CONCAT(B67,"_",C67,"_",D67)</f>
        <v>4 °C_Mixture_d</v>
      </c>
      <c r="B67" s="2" t="s">
        <v>47</v>
      </c>
      <c r="C67" s="2" t="s">
        <v>27</v>
      </c>
      <c r="D67" s="2" t="s">
        <v>20</v>
      </c>
      <c r="E67">
        <v>4</v>
      </c>
      <c r="F67" t="s">
        <v>30</v>
      </c>
      <c r="G67" s="2">
        <v>30</v>
      </c>
      <c r="H67" s="2">
        <v>5</v>
      </c>
      <c r="I67" s="2">
        <v>27</v>
      </c>
      <c r="J67" s="2">
        <v>17</v>
      </c>
      <c r="K67" t="s">
        <v>14</v>
      </c>
    </row>
    <row r="68" spans="1:11" x14ac:dyDescent="0.2">
      <c r="A68" t="str">
        <f t="shared" si="1"/>
        <v>4 °C_Mixture_e</v>
      </c>
      <c r="B68" s="2" t="s">
        <v>47</v>
      </c>
      <c r="C68" s="2" t="s">
        <v>27</v>
      </c>
      <c r="D68" s="2" t="s">
        <v>21</v>
      </c>
      <c r="E68">
        <v>3</v>
      </c>
      <c r="F68" t="s">
        <v>30</v>
      </c>
      <c r="G68" s="2">
        <v>30</v>
      </c>
      <c r="H68" s="2">
        <v>5</v>
      </c>
      <c r="I68" s="2">
        <v>18</v>
      </c>
      <c r="J68" s="2">
        <v>29</v>
      </c>
      <c r="K68" t="s">
        <v>14</v>
      </c>
    </row>
    <row r="69" spans="1:11" x14ac:dyDescent="0.2">
      <c r="A69" t="str">
        <f t="shared" si="1"/>
        <v>4 °C_Mixture_e</v>
      </c>
      <c r="B69" s="2" t="s">
        <v>47</v>
      </c>
      <c r="C69" s="2" t="s">
        <v>27</v>
      </c>
      <c r="D69" s="2" t="s">
        <v>21</v>
      </c>
      <c r="E69">
        <v>4</v>
      </c>
      <c r="F69" t="s">
        <v>30</v>
      </c>
      <c r="G69" s="2">
        <v>30</v>
      </c>
      <c r="H69" s="2">
        <v>5</v>
      </c>
      <c r="I69" s="2">
        <v>30</v>
      </c>
      <c r="J69" s="2">
        <v>25</v>
      </c>
      <c r="K69" t="s">
        <v>14</v>
      </c>
    </row>
    <row r="70" spans="1:11" x14ac:dyDescent="0.2">
      <c r="A70" t="str">
        <f t="shared" si="1"/>
        <v>4 °C_Dry_a</v>
      </c>
      <c r="B70" s="2" t="s">
        <v>47</v>
      </c>
      <c r="C70" s="2" t="s">
        <v>23</v>
      </c>
      <c r="D70" s="2" t="s">
        <v>13</v>
      </c>
      <c r="E70" s="2">
        <v>1</v>
      </c>
      <c r="F70" t="s">
        <v>31</v>
      </c>
      <c r="G70" s="2">
        <v>20</v>
      </c>
      <c r="H70" s="2">
        <v>5</v>
      </c>
      <c r="I70" s="2">
        <v>0</v>
      </c>
      <c r="J70" s="2">
        <v>38</v>
      </c>
      <c r="K70" t="s">
        <v>14</v>
      </c>
    </row>
    <row r="71" spans="1:11" x14ac:dyDescent="0.2">
      <c r="A71" t="str">
        <f t="shared" si="1"/>
        <v>4 °C_Dry_a</v>
      </c>
      <c r="B71" s="2" t="s">
        <v>47</v>
      </c>
      <c r="C71" s="2" t="s">
        <v>23</v>
      </c>
      <c r="D71" s="2" t="s">
        <v>13</v>
      </c>
      <c r="E71" s="2">
        <v>2</v>
      </c>
      <c r="F71" t="s">
        <v>31</v>
      </c>
      <c r="G71" s="2">
        <v>20</v>
      </c>
      <c r="H71" s="2">
        <v>5</v>
      </c>
      <c r="I71" s="2">
        <v>0</v>
      </c>
      <c r="J71" s="2">
        <v>34</v>
      </c>
      <c r="K71" t="s">
        <v>14</v>
      </c>
    </row>
    <row r="72" spans="1:11" x14ac:dyDescent="0.2">
      <c r="A72" t="str">
        <f t="shared" si="1"/>
        <v>4 °C_Dry_b</v>
      </c>
      <c r="B72" s="2" t="s">
        <v>47</v>
      </c>
      <c r="C72" s="2" t="s">
        <v>23</v>
      </c>
      <c r="D72" s="2" t="s">
        <v>16</v>
      </c>
      <c r="E72" s="2">
        <v>1</v>
      </c>
      <c r="F72" t="s">
        <v>31</v>
      </c>
      <c r="G72" s="2">
        <v>20</v>
      </c>
      <c r="H72" s="2">
        <v>5</v>
      </c>
      <c r="I72" s="2">
        <v>0</v>
      </c>
      <c r="J72" s="2">
        <v>25</v>
      </c>
      <c r="K72" t="s">
        <v>14</v>
      </c>
    </row>
    <row r="73" spans="1:11" x14ac:dyDescent="0.2">
      <c r="A73" t="str">
        <f t="shared" si="1"/>
        <v>4 °C_Dry_b</v>
      </c>
      <c r="B73" s="2" t="s">
        <v>47</v>
      </c>
      <c r="C73" s="2" t="s">
        <v>23</v>
      </c>
      <c r="D73" s="2" t="s">
        <v>16</v>
      </c>
      <c r="E73" s="2">
        <v>2</v>
      </c>
      <c r="F73" t="s">
        <v>31</v>
      </c>
      <c r="G73" s="2">
        <v>20</v>
      </c>
      <c r="H73" s="2">
        <v>5</v>
      </c>
      <c r="I73" s="2">
        <v>0</v>
      </c>
      <c r="J73" s="2">
        <v>29</v>
      </c>
      <c r="K73" t="s">
        <v>14</v>
      </c>
    </row>
    <row r="74" spans="1:11" x14ac:dyDescent="0.2">
      <c r="A74" t="str">
        <f t="shared" si="1"/>
        <v>4 °C_Dry_c</v>
      </c>
      <c r="B74" s="2" t="s">
        <v>47</v>
      </c>
      <c r="C74" s="2" t="s">
        <v>23</v>
      </c>
      <c r="D74" s="2" t="s">
        <v>18</v>
      </c>
      <c r="E74" s="2">
        <v>1</v>
      </c>
      <c r="F74" t="s">
        <v>31</v>
      </c>
      <c r="G74" s="2">
        <v>20</v>
      </c>
      <c r="H74" s="2">
        <v>5</v>
      </c>
      <c r="I74" s="2">
        <v>0</v>
      </c>
      <c r="J74" s="2">
        <v>47</v>
      </c>
      <c r="K74" t="s">
        <v>14</v>
      </c>
    </row>
    <row r="75" spans="1:11" x14ac:dyDescent="0.2">
      <c r="A75" t="str">
        <f t="shared" si="1"/>
        <v>4 °C_Dry_c</v>
      </c>
      <c r="B75" s="2" t="s">
        <v>47</v>
      </c>
      <c r="C75" s="2" t="s">
        <v>23</v>
      </c>
      <c r="D75" s="2" t="s">
        <v>18</v>
      </c>
      <c r="E75" s="2">
        <v>2</v>
      </c>
      <c r="F75" t="s">
        <v>31</v>
      </c>
      <c r="G75" s="2">
        <v>20</v>
      </c>
      <c r="H75" s="2">
        <v>5</v>
      </c>
      <c r="I75" s="2">
        <v>0</v>
      </c>
      <c r="J75" s="2">
        <v>39</v>
      </c>
      <c r="K75" t="s">
        <v>14</v>
      </c>
    </row>
    <row r="76" spans="1:11" x14ac:dyDescent="0.2">
      <c r="A76" t="str">
        <f t="shared" si="1"/>
        <v>4 °C_Dry_d</v>
      </c>
      <c r="B76" s="2" t="s">
        <v>47</v>
      </c>
      <c r="C76" s="2" t="s">
        <v>23</v>
      </c>
      <c r="D76" s="2" t="s">
        <v>20</v>
      </c>
      <c r="E76" s="2">
        <v>1</v>
      </c>
      <c r="F76" t="s">
        <v>31</v>
      </c>
      <c r="G76" s="2">
        <v>20</v>
      </c>
      <c r="H76" s="2">
        <v>5</v>
      </c>
      <c r="I76" s="2">
        <v>0</v>
      </c>
      <c r="J76" s="2">
        <v>25</v>
      </c>
      <c r="K76" t="s">
        <v>14</v>
      </c>
    </row>
    <row r="77" spans="1:11" x14ac:dyDescent="0.2">
      <c r="A77" t="str">
        <f t="shared" si="1"/>
        <v>4 °C_Dry_d</v>
      </c>
      <c r="B77" s="2" t="s">
        <v>47</v>
      </c>
      <c r="C77" s="2" t="s">
        <v>23</v>
      </c>
      <c r="D77" s="2" t="s">
        <v>20</v>
      </c>
      <c r="E77" s="2">
        <v>2</v>
      </c>
      <c r="F77" t="s">
        <v>31</v>
      </c>
      <c r="G77" s="2">
        <v>20</v>
      </c>
      <c r="H77" s="2">
        <v>5</v>
      </c>
      <c r="I77" s="2">
        <v>0</v>
      </c>
      <c r="J77" s="2">
        <v>26</v>
      </c>
      <c r="K77" t="s">
        <v>14</v>
      </c>
    </row>
    <row r="78" spans="1:11" x14ac:dyDescent="0.2">
      <c r="A78" t="str">
        <f t="shared" si="1"/>
        <v>4 °C_Dry_e</v>
      </c>
      <c r="B78" s="2" t="s">
        <v>47</v>
      </c>
      <c r="C78" s="2" t="s">
        <v>23</v>
      </c>
      <c r="D78" s="2" t="s">
        <v>21</v>
      </c>
      <c r="E78" s="2">
        <v>1</v>
      </c>
      <c r="F78" t="s">
        <v>31</v>
      </c>
      <c r="G78" s="2">
        <v>20</v>
      </c>
      <c r="H78" s="2">
        <v>5</v>
      </c>
      <c r="I78" s="2">
        <v>0</v>
      </c>
      <c r="J78" s="2">
        <v>34</v>
      </c>
      <c r="K78" t="s">
        <v>14</v>
      </c>
    </row>
    <row r="79" spans="1:11" x14ac:dyDescent="0.2">
      <c r="A79" t="str">
        <f t="shared" si="1"/>
        <v>4 °C_Dry_e</v>
      </c>
      <c r="B79" s="2" t="s">
        <v>47</v>
      </c>
      <c r="C79" s="2" t="s">
        <v>23</v>
      </c>
      <c r="D79" s="2" t="s">
        <v>21</v>
      </c>
      <c r="E79" s="2">
        <v>2</v>
      </c>
      <c r="F79" t="s">
        <v>31</v>
      </c>
      <c r="G79" s="2">
        <v>20</v>
      </c>
      <c r="H79" s="2">
        <v>5</v>
      </c>
      <c r="I79" s="2">
        <v>0</v>
      </c>
      <c r="J79" s="2">
        <v>32</v>
      </c>
      <c r="K79" t="s">
        <v>14</v>
      </c>
    </row>
    <row r="80" spans="1:11" x14ac:dyDescent="0.2">
      <c r="A80" t="str">
        <f t="shared" si="1"/>
        <v>4 °C_Mucoid_b</v>
      </c>
      <c r="B80" s="2" t="s">
        <v>47</v>
      </c>
      <c r="C80" s="2" t="s">
        <v>12</v>
      </c>
      <c r="D80" s="2" t="s">
        <v>16</v>
      </c>
      <c r="E80" s="2">
        <v>1</v>
      </c>
      <c r="F80" t="s">
        <v>31</v>
      </c>
      <c r="G80" s="2">
        <v>20</v>
      </c>
      <c r="H80" s="2">
        <v>5</v>
      </c>
      <c r="I80">
        <v>29</v>
      </c>
      <c r="J80">
        <v>1</v>
      </c>
      <c r="K80" t="s">
        <v>14</v>
      </c>
    </row>
    <row r="81" spans="1:11" x14ac:dyDescent="0.2">
      <c r="A81" t="str">
        <f t="shared" si="1"/>
        <v>4 °C_Mucoid_b</v>
      </c>
      <c r="B81" s="2" t="s">
        <v>47</v>
      </c>
      <c r="C81" s="2" t="s">
        <v>12</v>
      </c>
      <c r="D81" s="2" t="s">
        <v>16</v>
      </c>
      <c r="E81" s="2">
        <v>2</v>
      </c>
      <c r="F81" t="s">
        <v>31</v>
      </c>
      <c r="G81" s="2">
        <v>20</v>
      </c>
      <c r="H81" s="2">
        <v>5</v>
      </c>
      <c r="I81">
        <v>38</v>
      </c>
      <c r="J81">
        <v>0</v>
      </c>
      <c r="K81" t="s">
        <v>14</v>
      </c>
    </row>
    <row r="82" spans="1:11" x14ac:dyDescent="0.2">
      <c r="A82" t="str">
        <f t="shared" si="1"/>
        <v>4 °C_Mucoid_b</v>
      </c>
      <c r="B82" s="2" t="s">
        <v>47</v>
      </c>
      <c r="C82" s="2" t="s">
        <v>12</v>
      </c>
      <c r="D82" s="2" t="s">
        <v>16</v>
      </c>
      <c r="E82" s="2">
        <v>1</v>
      </c>
      <c r="F82" t="s">
        <v>31</v>
      </c>
      <c r="G82" s="2">
        <v>20</v>
      </c>
      <c r="H82" s="2">
        <v>5</v>
      </c>
      <c r="I82">
        <v>36</v>
      </c>
      <c r="J82">
        <v>0</v>
      </c>
      <c r="K82" t="s">
        <v>14</v>
      </c>
    </row>
    <row r="83" spans="1:11" x14ac:dyDescent="0.2">
      <c r="A83" t="str">
        <f t="shared" si="1"/>
        <v>4 °C_Mucoid_b</v>
      </c>
      <c r="B83" s="2" t="s">
        <v>47</v>
      </c>
      <c r="C83" s="2" t="s">
        <v>12</v>
      </c>
      <c r="D83" s="2" t="s">
        <v>16</v>
      </c>
      <c r="E83" s="2">
        <v>2</v>
      </c>
      <c r="F83" t="s">
        <v>31</v>
      </c>
      <c r="G83" s="2">
        <v>20</v>
      </c>
      <c r="H83" s="2">
        <v>5</v>
      </c>
      <c r="I83">
        <v>36</v>
      </c>
      <c r="J83">
        <v>0</v>
      </c>
      <c r="K83" t="s">
        <v>14</v>
      </c>
    </row>
    <row r="84" spans="1:11" x14ac:dyDescent="0.2">
      <c r="A84" t="str">
        <f t="shared" si="1"/>
        <v>4 °C_Mucoid_c</v>
      </c>
      <c r="B84" s="2" t="s">
        <v>47</v>
      </c>
      <c r="C84" s="2" t="s">
        <v>12</v>
      </c>
      <c r="D84" s="2" t="s">
        <v>18</v>
      </c>
      <c r="E84" s="2">
        <v>1</v>
      </c>
      <c r="F84" t="s">
        <v>31</v>
      </c>
      <c r="G84" s="2">
        <v>20</v>
      </c>
      <c r="H84" s="2">
        <v>5</v>
      </c>
      <c r="I84">
        <v>34</v>
      </c>
      <c r="J84">
        <v>0</v>
      </c>
      <c r="K84" t="s">
        <v>14</v>
      </c>
    </row>
    <row r="85" spans="1:11" x14ac:dyDescent="0.2">
      <c r="A85" t="str">
        <f t="shared" si="1"/>
        <v>4 °C_Mucoid_c</v>
      </c>
      <c r="B85" s="2" t="s">
        <v>47</v>
      </c>
      <c r="C85" s="2" t="s">
        <v>12</v>
      </c>
      <c r="D85" s="2" t="s">
        <v>18</v>
      </c>
      <c r="E85" s="2">
        <v>2</v>
      </c>
      <c r="F85" t="s">
        <v>31</v>
      </c>
      <c r="G85" s="2">
        <v>20</v>
      </c>
      <c r="H85" s="2">
        <v>5</v>
      </c>
      <c r="I85">
        <v>30</v>
      </c>
      <c r="J85">
        <v>1</v>
      </c>
      <c r="K85" t="s">
        <v>14</v>
      </c>
    </row>
    <row r="86" spans="1:11" x14ac:dyDescent="0.2">
      <c r="A86" t="str">
        <f t="shared" si="1"/>
        <v>4 °C_Mucoid_d</v>
      </c>
      <c r="B86" s="2" t="s">
        <v>47</v>
      </c>
      <c r="C86" s="2" t="s">
        <v>12</v>
      </c>
      <c r="D86" s="2" t="s">
        <v>20</v>
      </c>
      <c r="E86" s="2">
        <v>1</v>
      </c>
      <c r="F86" t="s">
        <v>31</v>
      </c>
      <c r="G86" s="2">
        <v>20</v>
      </c>
      <c r="H86" s="2">
        <v>5</v>
      </c>
      <c r="I86">
        <v>30</v>
      </c>
      <c r="J86">
        <v>0</v>
      </c>
      <c r="K86" t="s">
        <v>14</v>
      </c>
    </row>
    <row r="87" spans="1:11" x14ac:dyDescent="0.2">
      <c r="A87" t="str">
        <f t="shared" si="1"/>
        <v>4 °C_Mucoid_d</v>
      </c>
      <c r="B87" s="2" t="s">
        <v>47</v>
      </c>
      <c r="C87" s="2" t="s">
        <v>12</v>
      </c>
      <c r="D87" s="2" t="s">
        <v>20</v>
      </c>
      <c r="E87" s="2">
        <v>2</v>
      </c>
      <c r="F87" t="s">
        <v>31</v>
      </c>
      <c r="G87" s="2">
        <v>20</v>
      </c>
      <c r="H87" s="2">
        <v>5</v>
      </c>
      <c r="I87">
        <v>34</v>
      </c>
      <c r="J87">
        <v>2</v>
      </c>
      <c r="K87" t="s">
        <v>14</v>
      </c>
    </row>
    <row r="88" spans="1:11" x14ac:dyDescent="0.2">
      <c r="A88" t="str">
        <f t="shared" si="1"/>
        <v>4 °C_Mixture_a</v>
      </c>
      <c r="B88" s="2" t="s">
        <v>47</v>
      </c>
      <c r="C88" s="2" t="s">
        <v>27</v>
      </c>
      <c r="D88" s="2" t="s">
        <v>13</v>
      </c>
      <c r="E88" s="2">
        <v>1</v>
      </c>
      <c r="F88" t="s">
        <v>31</v>
      </c>
      <c r="G88" s="2">
        <v>20</v>
      </c>
      <c r="H88" s="2">
        <v>5</v>
      </c>
      <c r="I88">
        <v>20</v>
      </c>
      <c r="J88">
        <v>21</v>
      </c>
      <c r="K88" t="s">
        <v>14</v>
      </c>
    </row>
    <row r="89" spans="1:11" x14ac:dyDescent="0.2">
      <c r="A89" t="str">
        <f t="shared" si="1"/>
        <v>4 °C_Mixture_a</v>
      </c>
      <c r="B89" s="2" t="s">
        <v>47</v>
      </c>
      <c r="C89" s="2" t="s">
        <v>27</v>
      </c>
      <c r="D89" s="2" t="s">
        <v>13</v>
      </c>
      <c r="E89" s="2">
        <v>2</v>
      </c>
      <c r="F89" t="s">
        <v>31</v>
      </c>
      <c r="G89" s="2">
        <v>20</v>
      </c>
      <c r="H89" s="2">
        <v>5</v>
      </c>
      <c r="I89">
        <v>15</v>
      </c>
      <c r="J89">
        <v>19</v>
      </c>
      <c r="K89" t="s">
        <v>14</v>
      </c>
    </row>
    <row r="90" spans="1:11" x14ac:dyDescent="0.2">
      <c r="A90" t="str">
        <f t="shared" si="1"/>
        <v>4 °C_Mixture_b</v>
      </c>
      <c r="B90" s="2" t="s">
        <v>47</v>
      </c>
      <c r="C90" s="2" t="s">
        <v>27</v>
      </c>
      <c r="D90" s="2" t="s">
        <v>16</v>
      </c>
      <c r="E90" s="2">
        <v>1</v>
      </c>
      <c r="F90" t="s">
        <v>31</v>
      </c>
      <c r="G90" s="2">
        <v>20</v>
      </c>
      <c r="H90" s="2">
        <v>5</v>
      </c>
      <c r="I90">
        <v>20</v>
      </c>
      <c r="J90">
        <v>23</v>
      </c>
      <c r="K90" t="s">
        <v>14</v>
      </c>
    </row>
    <row r="91" spans="1:11" x14ac:dyDescent="0.2">
      <c r="A91" t="str">
        <f t="shared" si="1"/>
        <v>4 °C_Mixture_b</v>
      </c>
      <c r="B91" s="2" t="s">
        <v>47</v>
      </c>
      <c r="C91" s="2" t="s">
        <v>27</v>
      </c>
      <c r="D91" s="2" t="s">
        <v>16</v>
      </c>
      <c r="E91" s="2">
        <v>2</v>
      </c>
      <c r="F91" t="s">
        <v>31</v>
      </c>
      <c r="G91" s="2">
        <v>20</v>
      </c>
      <c r="H91" s="2">
        <v>5</v>
      </c>
      <c r="I91">
        <v>12</v>
      </c>
      <c r="J91">
        <v>19</v>
      </c>
      <c r="K91" t="s">
        <v>14</v>
      </c>
    </row>
    <row r="92" spans="1:11" x14ac:dyDescent="0.2">
      <c r="A92" t="str">
        <f t="shared" si="1"/>
        <v>4 °C_Mixture_c</v>
      </c>
      <c r="B92" s="2" t="s">
        <v>47</v>
      </c>
      <c r="C92" s="2" t="s">
        <v>27</v>
      </c>
      <c r="D92" s="2" t="s">
        <v>18</v>
      </c>
      <c r="E92" s="2">
        <v>1</v>
      </c>
      <c r="F92" t="s">
        <v>31</v>
      </c>
      <c r="G92" s="2">
        <v>20</v>
      </c>
      <c r="H92" s="2">
        <v>5</v>
      </c>
      <c r="I92">
        <v>11</v>
      </c>
      <c r="J92">
        <v>22</v>
      </c>
      <c r="K92" t="s">
        <v>14</v>
      </c>
    </row>
    <row r="93" spans="1:11" x14ac:dyDescent="0.2">
      <c r="A93" t="str">
        <f t="shared" si="1"/>
        <v>4 °C_Mixture_c</v>
      </c>
      <c r="B93" s="2" t="s">
        <v>47</v>
      </c>
      <c r="C93" s="2" t="s">
        <v>27</v>
      </c>
      <c r="D93" s="2" t="s">
        <v>18</v>
      </c>
      <c r="E93" s="2">
        <v>2</v>
      </c>
      <c r="F93" t="s">
        <v>31</v>
      </c>
      <c r="G93" s="2">
        <v>20</v>
      </c>
      <c r="H93" s="2">
        <v>5</v>
      </c>
      <c r="I93">
        <v>14</v>
      </c>
      <c r="J93">
        <v>15</v>
      </c>
      <c r="K93" t="s">
        <v>14</v>
      </c>
    </row>
    <row r="94" spans="1:11" x14ac:dyDescent="0.2">
      <c r="A94" t="str">
        <f t="shared" si="1"/>
        <v>4 °C_Mixture_d</v>
      </c>
      <c r="B94" s="2" t="s">
        <v>47</v>
      </c>
      <c r="C94" s="2" t="s">
        <v>27</v>
      </c>
      <c r="D94" s="2" t="s">
        <v>20</v>
      </c>
      <c r="E94" s="2">
        <v>1</v>
      </c>
      <c r="F94" t="s">
        <v>31</v>
      </c>
      <c r="G94" s="2">
        <v>20</v>
      </c>
      <c r="H94" s="2">
        <v>5</v>
      </c>
      <c r="I94">
        <v>17</v>
      </c>
      <c r="J94">
        <v>21</v>
      </c>
      <c r="K94" t="s">
        <v>14</v>
      </c>
    </row>
    <row r="95" spans="1:11" x14ac:dyDescent="0.2">
      <c r="A95" t="str">
        <f t="shared" si="1"/>
        <v>4 °C_Mixture_d</v>
      </c>
      <c r="B95" s="2" t="s">
        <v>47</v>
      </c>
      <c r="C95" s="2" t="s">
        <v>27</v>
      </c>
      <c r="D95" s="2" t="s">
        <v>20</v>
      </c>
      <c r="E95" s="2">
        <v>2</v>
      </c>
      <c r="F95" t="s">
        <v>31</v>
      </c>
      <c r="G95" s="2">
        <v>20</v>
      </c>
      <c r="H95" s="2">
        <v>5</v>
      </c>
      <c r="I95">
        <v>17</v>
      </c>
      <c r="J95">
        <v>19</v>
      </c>
      <c r="K95" t="s">
        <v>14</v>
      </c>
    </row>
    <row r="96" spans="1:11" x14ac:dyDescent="0.2">
      <c r="A96" t="str">
        <f t="shared" si="1"/>
        <v>4 °C_Mixture_e</v>
      </c>
      <c r="B96" s="2" t="s">
        <v>47</v>
      </c>
      <c r="C96" s="2" t="s">
        <v>27</v>
      </c>
      <c r="D96" t="s">
        <v>21</v>
      </c>
      <c r="E96">
        <v>1</v>
      </c>
      <c r="F96" t="s">
        <v>31</v>
      </c>
      <c r="G96">
        <v>20</v>
      </c>
      <c r="H96">
        <v>5</v>
      </c>
      <c r="I96">
        <v>12</v>
      </c>
      <c r="J96">
        <v>15</v>
      </c>
      <c r="K96" t="s">
        <v>14</v>
      </c>
    </row>
    <row r="97" spans="1:11" x14ac:dyDescent="0.2">
      <c r="A97" t="str">
        <f t="shared" si="1"/>
        <v>4 °C_Mixture_e</v>
      </c>
      <c r="B97" s="2" t="s">
        <v>47</v>
      </c>
      <c r="C97" s="2" t="s">
        <v>27</v>
      </c>
      <c r="D97" t="s">
        <v>21</v>
      </c>
      <c r="E97">
        <v>2</v>
      </c>
      <c r="F97" t="s">
        <v>31</v>
      </c>
      <c r="G97">
        <v>20</v>
      </c>
      <c r="H97">
        <v>5</v>
      </c>
      <c r="I97">
        <v>4</v>
      </c>
      <c r="J97">
        <v>10</v>
      </c>
      <c r="K97" t="s">
        <v>14</v>
      </c>
    </row>
    <row r="98" spans="1:11" x14ac:dyDescent="0.2">
      <c r="A98" t="str">
        <f t="shared" si="1"/>
        <v>4 °C_Mixture_e</v>
      </c>
      <c r="B98" s="2" t="s">
        <v>47</v>
      </c>
      <c r="C98" s="2" t="s">
        <v>27</v>
      </c>
      <c r="D98" t="s">
        <v>21</v>
      </c>
      <c r="E98">
        <v>3</v>
      </c>
      <c r="F98" t="s">
        <v>31</v>
      </c>
      <c r="G98">
        <v>20</v>
      </c>
      <c r="H98">
        <v>5</v>
      </c>
      <c r="I98">
        <v>11</v>
      </c>
      <c r="J98">
        <v>7</v>
      </c>
      <c r="K98" t="s">
        <v>14</v>
      </c>
    </row>
    <row r="99" spans="1:11" x14ac:dyDescent="0.2">
      <c r="A99" t="str">
        <f t="shared" si="1"/>
        <v>22 °C_Mucoid_a</v>
      </c>
      <c r="B99" s="2" t="s">
        <v>45</v>
      </c>
      <c r="C99" s="2" t="s">
        <v>12</v>
      </c>
      <c r="D99" s="2" t="s">
        <v>13</v>
      </c>
      <c r="E99" s="2">
        <v>1</v>
      </c>
      <c r="F99" s="2" t="s">
        <v>28</v>
      </c>
      <c r="G99" s="2">
        <v>40</v>
      </c>
      <c r="H99" s="2">
        <v>5</v>
      </c>
      <c r="I99" s="2">
        <v>43</v>
      </c>
      <c r="J99" s="2">
        <v>7</v>
      </c>
      <c r="K99" t="s">
        <v>14</v>
      </c>
    </row>
    <row r="100" spans="1:11" x14ac:dyDescent="0.2">
      <c r="A100" t="str">
        <f t="shared" si="1"/>
        <v>22 °C_Mucoid_a</v>
      </c>
      <c r="B100" s="2" t="s">
        <v>45</v>
      </c>
      <c r="C100" s="2" t="s">
        <v>12</v>
      </c>
      <c r="D100" s="2" t="s">
        <v>13</v>
      </c>
      <c r="E100" s="2">
        <v>2</v>
      </c>
      <c r="F100" s="2" t="s">
        <v>28</v>
      </c>
      <c r="G100" s="2">
        <v>40</v>
      </c>
      <c r="H100" s="2">
        <v>5</v>
      </c>
      <c r="I100" s="2">
        <v>41</v>
      </c>
      <c r="J100" s="2">
        <v>3</v>
      </c>
      <c r="K100" t="s">
        <v>14</v>
      </c>
    </row>
    <row r="101" spans="1:11" x14ac:dyDescent="0.2">
      <c r="A101" t="str">
        <f t="shared" si="1"/>
        <v>22 °C_Mucoid_b</v>
      </c>
      <c r="B101" s="2" t="s">
        <v>45</v>
      </c>
      <c r="C101" s="2" t="s">
        <v>12</v>
      </c>
      <c r="D101" s="2" t="s">
        <v>16</v>
      </c>
      <c r="E101" s="2">
        <v>1</v>
      </c>
      <c r="F101" s="2" t="s">
        <v>28</v>
      </c>
      <c r="G101" s="2">
        <v>40</v>
      </c>
      <c r="H101" s="2">
        <v>5</v>
      </c>
      <c r="I101" s="2">
        <v>36</v>
      </c>
      <c r="J101" s="2">
        <v>1</v>
      </c>
      <c r="K101" t="s">
        <v>14</v>
      </c>
    </row>
    <row r="102" spans="1:11" x14ac:dyDescent="0.2">
      <c r="A102" t="str">
        <f t="shared" si="1"/>
        <v>22 °C_Mucoid_b</v>
      </c>
      <c r="B102" s="2" t="s">
        <v>45</v>
      </c>
      <c r="C102" s="2" t="s">
        <v>12</v>
      </c>
      <c r="D102" s="2" t="s">
        <v>16</v>
      </c>
      <c r="E102" s="2">
        <v>2</v>
      </c>
      <c r="F102" s="2" t="s">
        <v>28</v>
      </c>
      <c r="G102" s="2">
        <v>40</v>
      </c>
      <c r="H102" s="2">
        <v>5</v>
      </c>
      <c r="I102" s="2">
        <v>40</v>
      </c>
      <c r="J102" s="2">
        <v>1</v>
      </c>
      <c r="K102" t="s">
        <v>14</v>
      </c>
    </row>
    <row r="103" spans="1:11" x14ac:dyDescent="0.2">
      <c r="A103" t="str">
        <f t="shared" si="1"/>
        <v>22 °C_Mucoid_c</v>
      </c>
      <c r="B103" s="2" t="s">
        <v>45</v>
      </c>
      <c r="C103" s="2" t="s">
        <v>12</v>
      </c>
      <c r="D103" s="2" t="s">
        <v>18</v>
      </c>
      <c r="E103" s="2">
        <v>1</v>
      </c>
      <c r="F103" s="2" t="s">
        <v>28</v>
      </c>
      <c r="G103" s="2">
        <v>40</v>
      </c>
      <c r="H103" s="2">
        <v>5</v>
      </c>
      <c r="I103" s="2">
        <v>50</v>
      </c>
      <c r="J103" s="2">
        <v>6</v>
      </c>
      <c r="K103" t="s">
        <v>14</v>
      </c>
    </row>
    <row r="104" spans="1:11" x14ac:dyDescent="0.2">
      <c r="A104" t="str">
        <f t="shared" si="1"/>
        <v>22 °C_Mucoid_c</v>
      </c>
      <c r="B104" s="2" t="s">
        <v>45</v>
      </c>
      <c r="C104" s="2" t="s">
        <v>12</v>
      </c>
      <c r="D104" s="2" t="s">
        <v>18</v>
      </c>
      <c r="E104" s="2">
        <v>2</v>
      </c>
      <c r="F104" s="2" t="s">
        <v>28</v>
      </c>
      <c r="G104" s="2">
        <v>40</v>
      </c>
      <c r="H104" s="2">
        <v>5</v>
      </c>
      <c r="I104" s="2">
        <v>45</v>
      </c>
      <c r="J104" s="2">
        <v>3</v>
      </c>
      <c r="K104" t="s">
        <v>14</v>
      </c>
    </row>
    <row r="105" spans="1:11" x14ac:dyDescent="0.2">
      <c r="A105" t="str">
        <f t="shared" si="1"/>
        <v>22 °C_Mucoid_d</v>
      </c>
      <c r="B105" s="2" t="s">
        <v>45</v>
      </c>
      <c r="C105" s="2" t="s">
        <v>12</v>
      </c>
      <c r="D105" s="2" t="s">
        <v>20</v>
      </c>
      <c r="E105" s="2">
        <v>1</v>
      </c>
      <c r="F105" s="2" t="s">
        <v>28</v>
      </c>
      <c r="G105" s="2">
        <v>40</v>
      </c>
      <c r="H105" s="2">
        <v>5</v>
      </c>
      <c r="I105" s="2">
        <v>61</v>
      </c>
      <c r="J105" s="2">
        <v>5</v>
      </c>
      <c r="K105" t="s">
        <v>14</v>
      </c>
    </row>
    <row r="106" spans="1:11" x14ac:dyDescent="0.2">
      <c r="A106" t="str">
        <f t="shared" si="1"/>
        <v>22 °C_Mucoid_d</v>
      </c>
      <c r="B106" s="2" t="s">
        <v>45</v>
      </c>
      <c r="C106" s="2" t="s">
        <v>12</v>
      </c>
      <c r="D106" s="2" t="s">
        <v>20</v>
      </c>
      <c r="E106" s="2">
        <v>2</v>
      </c>
      <c r="F106" s="2" t="s">
        <v>28</v>
      </c>
      <c r="G106" s="2">
        <v>40</v>
      </c>
      <c r="H106" s="2">
        <v>5</v>
      </c>
      <c r="I106" s="2">
        <v>48</v>
      </c>
      <c r="J106" s="2">
        <v>1</v>
      </c>
      <c r="K106" t="s">
        <v>14</v>
      </c>
    </row>
    <row r="107" spans="1:11" x14ac:dyDescent="0.2">
      <c r="A107" t="str">
        <f t="shared" si="1"/>
        <v>22 °C_Mucoid_e</v>
      </c>
      <c r="B107" s="2" t="s">
        <v>45</v>
      </c>
      <c r="C107" s="2" t="s">
        <v>12</v>
      </c>
      <c r="D107" s="2" t="s">
        <v>21</v>
      </c>
      <c r="E107" s="2">
        <v>1</v>
      </c>
      <c r="F107" s="2" t="s">
        <v>28</v>
      </c>
      <c r="G107" s="2">
        <v>40</v>
      </c>
      <c r="H107" s="2">
        <v>5</v>
      </c>
      <c r="I107" s="2">
        <v>39</v>
      </c>
      <c r="J107" s="2">
        <v>2</v>
      </c>
      <c r="K107" t="s">
        <v>14</v>
      </c>
    </row>
    <row r="108" spans="1:11" x14ac:dyDescent="0.2">
      <c r="A108" t="str">
        <f t="shared" si="1"/>
        <v>22 °C_Mucoid_e</v>
      </c>
      <c r="B108" s="2" t="s">
        <v>45</v>
      </c>
      <c r="C108" s="2" t="s">
        <v>12</v>
      </c>
      <c r="D108" s="2" t="s">
        <v>21</v>
      </c>
      <c r="E108" s="2">
        <v>2</v>
      </c>
      <c r="F108" s="2" t="s">
        <v>28</v>
      </c>
      <c r="G108" s="2">
        <v>40</v>
      </c>
      <c r="H108" s="2">
        <v>5</v>
      </c>
      <c r="I108" s="2">
        <v>54</v>
      </c>
      <c r="J108" s="2">
        <v>4</v>
      </c>
      <c r="K108" t="s">
        <v>14</v>
      </c>
    </row>
    <row r="109" spans="1:11" x14ac:dyDescent="0.2">
      <c r="A109" t="str">
        <f t="shared" si="1"/>
        <v>22 °C_Dry_a</v>
      </c>
      <c r="B109" s="2" t="s">
        <v>45</v>
      </c>
      <c r="C109" s="2" t="s">
        <v>23</v>
      </c>
      <c r="D109" s="2" t="s">
        <v>13</v>
      </c>
      <c r="E109" s="2">
        <v>1</v>
      </c>
      <c r="F109" s="2" t="s">
        <v>28</v>
      </c>
      <c r="G109" s="2">
        <v>30</v>
      </c>
      <c r="H109" s="2">
        <v>5</v>
      </c>
      <c r="I109" s="2">
        <v>0</v>
      </c>
      <c r="J109" s="2">
        <v>48</v>
      </c>
      <c r="K109" t="s">
        <v>14</v>
      </c>
    </row>
    <row r="110" spans="1:11" x14ac:dyDescent="0.2">
      <c r="A110" t="str">
        <f t="shared" si="1"/>
        <v>22 °C_Dry_a</v>
      </c>
      <c r="B110" s="2" t="s">
        <v>45</v>
      </c>
      <c r="C110" s="2" t="s">
        <v>23</v>
      </c>
      <c r="D110" s="2" t="s">
        <v>13</v>
      </c>
      <c r="E110" s="2">
        <v>2</v>
      </c>
      <c r="F110" s="2" t="s">
        <v>28</v>
      </c>
      <c r="G110" s="2">
        <v>30</v>
      </c>
      <c r="H110" s="2">
        <v>5</v>
      </c>
      <c r="I110" s="2">
        <v>0</v>
      </c>
      <c r="J110" s="2">
        <v>39</v>
      </c>
      <c r="K110" t="s">
        <v>14</v>
      </c>
    </row>
    <row r="111" spans="1:11" x14ac:dyDescent="0.2">
      <c r="A111" t="str">
        <f t="shared" si="1"/>
        <v>22 °C_Dry_b</v>
      </c>
      <c r="B111" s="2" t="s">
        <v>45</v>
      </c>
      <c r="C111" s="2" t="s">
        <v>23</v>
      </c>
      <c r="D111" s="2" t="s">
        <v>16</v>
      </c>
      <c r="E111" s="2">
        <v>1</v>
      </c>
      <c r="F111" s="2" t="s">
        <v>28</v>
      </c>
      <c r="G111" s="2">
        <v>30</v>
      </c>
      <c r="H111" s="2">
        <v>5</v>
      </c>
      <c r="I111" s="2">
        <v>0</v>
      </c>
      <c r="J111" s="2">
        <v>20</v>
      </c>
      <c r="K111" t="s">
        <v>14</v>
      </c>
    </row>
    <row r="112" spans="1:11" x14ac:dyDescent="0.2">
      <c r="A112" t="str">
        <f t="shared" si="1"/>
        <v>22 °C_Dry_b</v>
      </c>
      <c r="B112" s="2" t="s">
        <v>45</v>
      </c>
      <c r="C112" s="2" t="s">
        <v>23</v>
      </c>
      <c r="D112" s="2" t="s">
        <v>16</v>
      </c>
      <c r="E112" s="2">
        <v>2</v>
      </c>
      <c r="F112" s="2" t="s">
        <v>28</v>
      </c>
      <c r="G112" s="2">
        <v>30</v>
      </c>
      <c r="H112" s="2">
        <v>5</v>
      </c>
      <c r="I112" s="2">
        <v>0</v>
      </c>
      <c r="J112" s="2">
        <v>36</v>
      </c>
      <c r="K112" t="s">
        <v>14</v>
      </c>
    </row>
    <row r="113" spans="1:11" x14ac:dyDescent="0.2">
      <c r="A113" t="str">
        <f t="shared" si="1"/>
        <v>22 °C_Dry_c</v>
      </c>
      <c r="B113" s="2" t="s">
        <v>45</v>
      </c>
      <c r="C113" s="2" t="s">
        <v>23</v>
      </c>
      <c r="D113" s="2" t="s">
        <v>18</v>
      </c>
      <c r="E113" s="2">
        <v>1</v>
      </c>
      <c r="F113" s="2" t="s">
        <v>28</v>
      </c>
      <c r="G113" s="2">
        <v>30</v>
      </c>
      <c r="H113" s="2">
        <v>5</v>
      </c>
      <c r="I113" s="2">
        <v>0</v>
      </c>
      <c r="J113" s="2">
        <v>42</v>
      </c>
      <c r="K113" t="s">
        <v>14</v>
      </c>
    </row>
    <row r="114" spans="1:11" x14ac:dyDescent="0.2">
      <c r="A114" t="str">
        <f t="shared" si="1"/>
        <v>22 °C_Dry_c</v>
      </c>
      <c r="B114" s="2" t="s">
        <v>45</v>
      </c>
      <c r="C114" s="2" t="s">
        <v>23</v>
      </c>
      <c r="D114" s="2" t="s">
        <v>18</v>
      </c>
      <c r="E114" s="2">
        <v>2</v>
      </c>
      <c r="F114" s="2" t="s">
        <v>28</v>
      </c>
      <c r="G114" s="2">
        <v>30</v>
      </c>
      <c r="H114" s="2">
        <v>5</v>
      </c>
      <c r="I114" s="2">
        <v>0</v>
      </c>
      <c r="J114" s="2">
        <v>36</v>
      </c>
      <c r="K114" t="s">
        <v>14</v>
      </c>
    </row>
    <row r="115" spans="1:11" x14ac:dyDescent="0.2">
      <c r="A115" t="str">
        <f t="shared" si="1"/>
        <v>22 °C_Dry_d</v>
      </c>
      <c r="B115" s="2" t="s">
        <v>45</v>
      </c>
      <c r="C115" s="2" t="s">
        <v>23</v>
      </c>
      <c r="D115" s="2" t="s">
        <v>20</v>
      </c>
      <c r="E115" s="2">
        <v>1</v>
      </c>
      <c r="F115" s="2" t="s">
        <v>28</v>
      </c>
      <c r="G115" s="2">
        <v>30</v>
      </c>
      <c r="H115" s="2">
        <v>5</v>
      </c>
      <c r="I115" s="2">
        <v>0</v>
      </c>
      <c r="J115" s="2">
        <v>32</v>
      </c>
      <c r="K115" t="s">
        <v>14</v>
      </c>
    </row>
    <row r="116" spans="1:11" x14ac:dyDescent="0.2">
      <c r="A116" t="str">
        <f t="shared" si="1"/>
        <v>22 °C_Dry_d</v>
      </c>
      <c r="B116" s="2" t="s">
        <v>45</v>
      </c>
      <c r="C116" s="2" t="s">
        <v>23</v>
      </c>
      <c r="D116" s="2" t="s">
        <v>20</v>
      </c>
      <c r="E116" s="2">
        <v>2</v>
      </c>
      <c r="F116" s="2" t="s">
        <v>28</v>
      </c>
      <c r="G116" s="2">
        <v>30</v>
      </c>
      <c r="H116" s="2">
        <v>5</v>
      </c>
      <c r="I116" s="2">
        <v>0</v>
      </c>
      <c r="J116" s="2">
        <v>32</v>
      </c>
      <c r="K116" t="s">
        <v>14</v>
      </c>
    </row>
    <row r="117" spans="1:11" x14ac:dyDescent="0.2">
      <c r="A117" t="str">
        <f t="shared" si="1"/>
        <v>22 °C_Dry_e</v>
      </c>
      <c r="B117" s="2" t="s">
        <v>45</v>
      </c>
      <c r="C117" s="2" t="s">
        <v>23</v>
      </c>
      <c r="D117" s="2" t="s">
        <v>21</v>
      </c>
      <c r="E117" s="2">
        <v>1</v>
      </c>
      <c r="F117" s="2" t="s">
        <v>28</v>
      </c>
      <c r="G117" s="2">
        <v>30</v>
      </c>
      <c r="H117" s="2">
        <v>5</v>
      </c>
      <c r="I117" s="2">
        <v>0</v>
      </c>
      <c r="J117" s="2">
        <v>23</v>
      </c>
      <c r="K117" t="s">
        <v>14</v>
      </c>
    </row>
    <row r="118" spans="1:11" x14ac:dyDescent="0.2">
      <c r="A118" t="str">
        <f t="shared" si="1"/>
        <v>22 °C_Dry_e</v>
      </c>
      <c r="B118" s="2" t="s">
        <v>45</v>
      </c>
      <c r="C118" s="2" t="s">
        <v>23</v>
      </c>
      <c r="D118" s="2" t="s">
        <v>21</v>
      </c>
      <c r="E118" s="2">
        <v>2</v>
      </c>
      <c r="F118" s="2" t="s">
        <v>28</v>
      </c>
      <c r="G118" s="2">
        <v>30</v>
      </c>
      <c r="H118" s="2">
        <v>5</v>
      </c>
      <c r="I118" s="2">
        <v>0</v>
      </c>
      <c r="J118" s="2">
        <v>36</v>
      </c>
      <c r="K118" t="s">
        <v>14</v>
      </c>
    </row>
    <row r="119" spans="1:11" x14ac:dyDescent="0.2">
      <c r="A119" t="str">
        <f t="shared" si="1"/>
        <v>22 °C_Mixture_a</v>
      </c>
      <c r="B119" s="2" t="s">
        <v>45</v>
      </c>
      <c r="C119" s="2" t="s">
        <v>27</v>
      </c>
      <c r="D119" s="2" t="s">
        <v>13</v>
      </c>
      <c r="E119">
        <v>1</v>
      </c>
      <c r="F119" s="2" t="s">
        <v>28</v>
      </c>
      <c r="G119" s="2">
        <v>30</v>
      </c>
      <c r="H119" s="2">
        <v>5</v>
      </c>
      <c r="I119" s="2">
        <v>24</v>
      </c>
      <c r="J119" s="2">
        <v>21</v>
      </c>
      <c r="K119" t="s">
        <v>14</v>
      </c>
    </row>
    <row r="120" spans="1:11" x14ac:dyDescent="0.2">
      <c r="A120" t="str">
        <f t="shared" si="1"/>
        <v>22 °C_Mixture_a</v>
      </c>
      <c r="B120" s="2" t="s">
        <v>45</v>
      </c>
      <c r="C120" s="2" t="s">
        <v>27</v>
      </c>
      <c r="D120" s="2" t="s">
        <v>13</v>
      </c>
      <c r="E120">
        <v>2</v>
      </c>
      <c r="F120" s="2" t="s">
        <v>28</v>
      </c>
      <c r="G120" s="2">
        <v>30</v>
      </c>
      <c r="H120" s="2">
        <v>5</v>
      </c>
      <c r="I120" s="2">
        <v>17</v>
      </c>
      <c r="J120" s="2">
        <v>24</v>
      </c>
      <c r="K120" t="s">
        <v>14</v>
      </c>
    </row>
    <row r="121" spans="1:11" x14ac:dyDescent="0.2">
      <c r="A121" t="str">
        <f t="shared" si="1"/>
        <v>22 °C_Mixture_b</v>
      </c>
      <c r="B121" s="2" t="s">
        <v>45</v>
      </c>
      <c r="C121" s="2" t="s">
        <v>27</v>
      </c>
      <c r="D121" s="2" t="s">
        <v>16</v>
      </c>
      <c r="E121">
        <v>1</v>
      </c>
      <c r="F121" s="2" t="s">
        <v>28</v>
      </c>
      <c r="G121" s="2">
        <v>30</v>
      </c>
      <c r="H121" s="2">
        <v>5</v>
      </c>
      <c r="I121" s="2">
        <v>29</v>
      </c>
      <c r="J121" s="2">
        <v>27</v>
      </c>
      <c r="K121" t="s">
        <v>14</v>
      </c>
    </row>
    <row r="122" spans="1:11" x14ac:dyDescent="0.2">
      <c r="A122" t="str">
        <f t="shared" si="1"/>
        <v>22 °C_Mixture_b</v>
      </c>
      <c r="B122" s="2" t="s">
        <v>45</v>
      </c>
      <c r="C122" s="2" t="s">
        <v>27</v>
      </c>
      <c r="D122" s="2" t="s">
        <v>16</v>
      </c>
      <c r="E122">
        <v>2</v>
      </c>
      <c r="F122" s="2" t="s">
        <v>28</v>
      </c>
      <c r="G122" s="2">
        <v>30</v>
      </c>
      <c r="H122" s="2">
        <v>5</v>
      </c>
      <c r="I122" s="2">
        <v>29</v>
      </c>
      <c r="J122" s="2">
        <v>27</v>
      </c>
      <c r="K122" t="s">
        <v>14</v>
      </c>
    </row>
    <row r="123" spans="1:11" x14ac:dyDescent="0.2">
      <c r="A123" t="str">
        <f t="shared" si="1"/>
        <v>22 °C_Mixture_c</v>
      </c>
      <c r="B123" s="2" t="s">
        <v>45</v>
      </c>
      <c r="C123" s="2" t="s">
        <v>27</v>
      </c>
      <c r="D123" s="2" t="s">
        <v>18</v>
      </c>
      <c r="E123">
        <v>1</v>
      </c>
      <c r="F123" s="2" t="s">
        <v>28</v>
      </c>
      <c r="G123" s="2">
        <v>30</v>
      </c>
      <c r="H123" s="2">
        <v>5</v>
      </c>
      <c r="I123" s="2">
        <v>16</v>
      </c>
      <c r="J123" s="2">
        <v>17</v>
      </c>
      <c r="K123" t="s">
        <v>14</v>
      </c>
    </row>
    <row r="124" spans="1:11" x14ac:dyDescent="0.2">
      <c r="A124" t="str">
        <f t="shared" si="1"/>
        <v>22 °C_Mixture_c</v>
      </c>
      <c r="B124" s="2" t="s">
        <v>45</v>
      </c>
      <c r="C124" s="2" t="s">
        <v>27</v>
      </c>
      <c r="D124" s="2" t="s">
        <v>18</v>
      </c>
      <c r="E124">
        <v>2</v>
      </c>
      <c r="F124" s="2" t="s">
        <v>28</v>
      </c>
      <c r="G124" s="2">
        <v>30</v>
      </c>
      <c r="H124" s="2">
        <v>5</v>
      </c>
      <c r="I124" s="2">
        <v>15</v>
      </c>
      <c r="J124" s="2">
        <v>18</v>
      </c>
      <c r="K124" t="s">
        <v>14</v>
      </c>
    </row>
    <row r="125" spans="1:11" x14ac:dyDescent="0.2">
      <c r="A125" t="str">
        <f t="shared" si="1"/>
        <v>22 °C_Mixture_d</v>
      </c>
      <c r="B125" s="2" t="s">
        <v>45</v>
      </c>
      <c r="C125" s="2" t="s">
        <v>27</v>
      </c>
      <c r="D125" s="2" t="s">
        <v>20</v>
      </c>
      <c r="E125">
        <v>1</v>
      </c>
      <c r="F125" s="2" t="s">
        <v>28</v>
      </c>
      <c r="G125" s="2">
        <v>30</v>
      </c>
      <c r="H125" s="2">
        <v>5</v>
      </c>
      <c r="I125" s="2">
        <v>22</v>
      </c>
      <c r="J125" s="2">
        <v>14</v>
      </c>
      <c r="K125" t="s">
        <v>14</v>
      </c>
    </row>
    <row r="126" spans="1:11" x14ac:dyDescent="0.2">
      <c r="A126" t="str">
        <f t="shared" si="1"/>
        <v>22 °C_Mixture_d</v>
      </c>
      <c r="B126" s="2" t="s">
        <v>45</v>
      </c>
      <c r="C126" s="2" t="s">
        <v>27</v>
      </c>
      <c r="D126" s="2" t="s">
        <v>20</v>
      </c>
      <c r="E126">
        <v>2</v>
      </c>
      <c r="F126" s="2" t="s">
        <v>28</v>
      </c>
      <c r="G126" s="2">
        <v>30</v>
      </c>
      <c r="H126" s="2">
        <v>5</v>
      </c>
      <c r="I126" s="2">
        <v>17</v>
      </c>
      <c r="J126" s="2">
        <v>14</v>
      </c>
      <c r="K126" t="s">
        <v>14</v>
      </c>
    </row>
    <row r="127" spans="1:11" x14ac:dyDescent="0.2">
      <c r="A127" t="str">
        <f t="shared" si="1"/>
        <v>22 °C_Mixture_e</v>
      </c>
      <c r="B127" s="2" t="s">
        <v>45</v>
      </c>
      <c r="C127" s="2" t="s">
        <v>27</v>
      </c>
      <c r="D127" s="2" t="s">
        <v>21</v>
      </c>
      <c r="E127">
        <v>1</v>
      </c>
      <c r="F127" s="2" t="s">
        <v>28</v>
      </c>
      <c r="G127" s="2">
        <v>30</v>
      </c>
      <c r="H127" s="2">
        <v>5</v>
      </c>
      <c r="I127" s="2">
        <v>23</v>
      </c>
      <c r="J127" s="2">
        <v>28</v>
      </c>
      <c r="K127" t="s">
        <v>14</v>
      </c>
    </row>
    <row r="128" spans="1:11" x14ac:dyDescent="0.2">
      <c r="A128" t="str">
        <f t="shared" si="1"/>
        <v>22 °C_Mixture_e</v>
      </c>
      <c r="B128" s="2" t="s">
        <v>45</v>
      </c>
      <c r="C128" s="2" t="s">
        <v>27</v>
      </c>
      <c r="D128" s="2" t="s">
        <v>21</v>
      </c>
      <c r="E128">
        <v>2</v>
      </c>
      <c r="F128" s="2" t="s">
        <v>28</v>
      </c>
      <c r="G128" s="2">
        <v>30</v>
      </c>
      <c r="H128" s="2">
        <v>5</v>
      </c>
      <c r="I128" s="2">
        <v>12</v>
      </c>
      <c r="J128" s="2">
        <v>16</v>
      </c>
      <c r="K128" t="s">
        <v>14</v>
      </c>
    </row>
    <row r="129" spans="1:11" x14ac:dyDescent="0.2">
      <c r="A129" t="str">
        <f t="shared" si="1"/>
        <v>22 °C_Mucoid_a</v>
      </c>
      <c r="B129" s="2" t="s">
        <v>45</v>
      </c>
      <c r="C129" s="2" t="s">
        <v>12</v>
      </c>
      <c r="D129" s="2" t="s">
        <v>13</v>
      </c>
      <c r="E129">
        <v>3</v>
      </c>
      <c r="F129" t="s">
        <v>30</v>
      </c>
      <c r="G129" s="2">
        <v>30</v>
      </c>
      <c r="H129" s="2">
        <v>5</v>
      </c>
      <c r="I129" s="2">
        <v>38</v>
      </c>
      <c r="J129" s="2">
        <v>0</v>
      </c>
      <c r="K129" t="s">
        <v>14</v>
      </c>
    </row>
    <row r="130" spans="1:11" x14ac:dyDescent="0.2">
      <c r="A130" t="str">
        <f t="shared" si="1"/>
        <v>22 °C_Mucoid_a</v>
      </c>
      <c r="B130" s="2" t="s">
        <v>45</v>
      </c>
      <c r="C130" s="2" t="s">
        <v>12</v>
      </c>
      <c r="D130" s="2" t="s">
        <v>13</v>
      </c>
      <c r="E130">
        <v>4</v>
      </c>
      <c r="F130" t="s">
        <v>30</v>
      </c>
      <c r="G130" s="2">
        <v>30</v>
      </c>
      <c r="H130" s="2">
        <v>5</v>
      </c>
      <c r="I130" s="2">
        <v>28</v>
      </c>
      <c r="J130" s="2">
        <v>1</v>
      </c>
      <c r="K130" t="s">
        <v>14</v>
      </c>
    </row>
    <row r="131" spans="1:11" x14ac:dyDescent="0.2">
      <c r="A131" t="str">
        <f t="shared" ref="A131:A194" si="2">_xlfn.CONCAT(B131,"_",C131,"_",D131)</f>
        <v>22 °C_Mucoid_b</v>
      </c>
      <c r="B131" s="2" t="s">
        <v>45</v>
      </c>
      <c r="C131" s="2" t="s">
        <v>12</v>
      </c>
      <c r="D131" s="2" t="s">
        <v>16</v>
      </c>
      <c r="E131">
        <v>3</v>
      </c>
      <c r="F131" t="s">
        <v>30</v>
      </c>
      <c r="G131">
        <v>30</v>
      </c>
      <c r="H131">
        <v>5</v>
      </c>
      <c r="I131" s="2">
        <v>41</v>
      </c>
      <c r="J131" s="2">
        <v>2</v>
      </c>
      <c r="K131" t="s">
        <v>14</v>
      </c>
    </row>
    <row r="132" spans="1:11" x14ac:dyDescent="0.2">
      <c r="A132" t="str">
        <f t="shared" si="2"/>
        <v>22 °C_Mucoid_b</v>
      </c>
      <c r="B132" s="2" t="s">
        <v>45</v>
      </c>
      <c r="C132" s="2" t="s">
        <v>12</v>
      </c>
      <c r="D132" s="2" t="s">
        <v>16</v>
      </c>
      <c r="E132">
        <v>4</v>
      </c>
      <c r="F132" t="s">
        <v>30</v>
      </c>
      <c r="G132">
        <v>30</v>
      </c>
      <c r="H132">
        <v>5</v>
      </c>
      <c r="I132" s="2">
        <v>39</v>
      </c>
      <c r="J132" s="2">
        <v>1</v>
      </c>
      <c r="K132" t="s">
        <v>14</v>
      </c>
    </row>
    <row r="133" spans="1:11" x14ac:dyDescent="0.2">
      <c r="A133" t="str">
        <f t="shared" si="2"/>
        <v>22 °C_Mucoid_c</v>
      </c>
      <c r="B133" s="2" t="s">
        <v>45</v>
      </c>
      <c r="C133" s="2" t="s">
        <v>12</v>
      </c>
      <c r="D133" s="2" t="s">
        <v>18</v>
      </c>
      <c r="E133">
        <v>3</v>
      </c>
      <c r="F133" t="s">
        <v>30</v>
      </c>
      <c r="G133">
        <v>30</v>
      </c>
      <c r="H133">
        <v>5</v>
      </c>
      <c r="I133" s="2">
        <v>42</v>
      </c>
      <c r="J133" s="2">
        <v>1</v>
      </c>
      <c r="K133" t="s">
        <v>14</v>
      </c>
    </row>
    <row r="134" spans="1:11" x14ac:dyDescent="0.2">
      <c r="A134" t="str">
        <f t="shared" si="2"/>
        <v>22 °C_Mucoid_c</v>
      </c>
      <c r="B134" s="2" t="s">
        <v>45</v>
      </c>
      <c r="C134" s="2" t="s">
        <v>12</v>
      </c>
      <c r="D134" s="2" t="s">
        <v>18</v>
      </c>
      <c r="E134">
        <v>4</v>
      </c>
      <c r="F134" t="s">
        <v>30</v>
      </c>
      <c r="G134">
        <v>30</v>
      </c>
      <c r="H134">
        <v>5</v>
      </c>
      <c r="I134" s="2">
        <v>42</v>
      </c>
      <c r="J134" s="2">
        <v>0</v>
      </c>
      <c r="K134" t="s">
        <v>14</v>
      </c>
    </row>
    <row r="135" spans="1:11" x14ac:dyDescent="0.2">
      <c r="A135" t="str">
        <f t="shared" si="2"/>
        <v>22 °C_Mucoid_d</v>
      </c>
      <c r="B135" s="2" t="s">
        <v>45</v>
      </c>
      <c r="C135" s="2" t="s">
        <v>12</v>
      </c>
      <c r="D135" s="2" t="s">
        <v>20</v>
      </c>
      <c r="E135">
        <v>3</v>
      </c>
      <c r="F135" t="s">
        <v>30</v>
      </c>
      <c r="G135">
        <v>30</v>
      </c>
      <c r="H135">
        <v>5</v>
      </c>
      <c r="I135" s="2">
        <v>32</v>
      </c>
      <c r="J135" s="2">
        <v>2</v>
      </c>
      <c r="K135" t="s">
        <v>14</v>
      </c>
    </row>
    <row r="136" spans="1:11" x14ac:dyDescent="0.2">
      <c r="A136" t="str">
        <f t="shared" si="2"/>
        <v>22 °C_Mucoid_d</v>
      </c>
      <c r="B136" s="2" t="s">
        <v>45</v>
      </c>
      <c r="C136" s="2" t="s">
        <v>12</v>
      </c>
      <c r="D136" s="2" t="s">
        <v>20</v>
      </c>
      <c r="E136">
        <v>4</v>
      </c>
      <c r="F136" t="s">
        <v>30</v>
      </c>
      <c r="G136">
        <v>30</v>
      </c>
      <c r="H136">
        <v>5</v>
      </c>
      <c r="I136" s="2">
        <v>33</v>
      </c>
      <c r="J136" s="2">
        <v>2</v>
      </c>
      <c r="K136" t="s">
        <v>14</v>
      </c>
    </row>
    <row r="137" spans="1:11" x14ac:dyDescent="0.2">
      <c r="A137" t="str">
        <f t="shared" si="2"/>
        <v>22 °C_Dry_a</v>
      </c>
      <c r="B137" s="2" t="s">
        <v>45</v>
      </c>
      <c r="C137" s="2" t="s">
        <v>23</v>
      </c>
      <c r="D137" s="2" t="s">
        <v>13</v>
      </c>
      <c r="E137">
        <v>3</v>
      </c>
      <c r="F137" t="s">
        <v>30</v>
      </c>
      <c r="G137">
        <v>30</v>
      </c>
      <c r="H137">
        <v>5</v>
      </c>
      <c r="I137" s="2">
        <v>0</v>
      </c>
      <c r="J137" s="2">
        <v>55</v>
      </c>
      <c r="K137" t="s">
        <v>14</v>
      </c>
    </row>
    <row r="138" spans="1:11" x14ac:dyDescent="0.2">
      <c r="A138" t="str">
        <f t="shared" si="2"/>
        <v>22 °C_Dry_a</v>
      </c>
      <c r="B138" s="2" t="s">
        <v>45</v>
      </c>
      <c r="C138" s="2" t="s">
        <v>23</v>
      </c>
      <c r="D138" s="2" t="s">
        <v>13</v>
      </c>
      <c r="E138">
        <v>4</v>
      </c>
      <c r="F138" t="s">
        <v>30</v>
      </c>
      <c r="G138">
        <v>30</v>
      </c>
      <c r="H138">
        <v>5</v>
      </c>
      <c r="I138" s="2">
        <v>0</v>
      </c>
      <c r="J138" s="2">
        <v>45</v>
      </c>
      <c r="K138" t="s">
        <v>14</v>
      </c>
    </row>
    <row r="139" spans="1:11" x14ac:dyDescent="0.2">
      <c r="A139" t="str">
        <f t="shared" si="2"/>
        <v>22 °C_Dry_b</v>
      </c>
      <c r="B139" s="2" t="s">
        <v>45</v>
      </c>
      <c r="C139" s="2" t="s">
        <v>23</v>
      </c>
      <c r="D139" s="2" t="s">
        <v>16</v>
      </c>
      <c r="E139">
        <v>3</v>
      </c>
      <c r="F139" t="s">
        <v>30</v>
      </c>
      <c r="G139">
        <v>30</v>
      </c>
      <c r="H139">
        <v>5</v>
      </c>
      <c r="I139" s="2">
        <v>0</v>
      </c>
      <c r="J139" s="2">
        <v>62</v>
      </c>
      <c r="K139" t="s">
        <v>14</v>
      </c>
    </row>
    <row r="140" spans="1:11" x14ac:dyDescent="0.2">
      <c r="A140" t="str">
        <f t="shared" si="2"/>
        <v>22 °C_Dry_b</v>
      </c>
      <c r="B140" s="2" t="s">
        <v>45</v>
      </c>
      <c r="C140" s="2" t="s">
        <v>23</v>
      </c>
      <c r="D140" s="2" t="s">
        <v>16</v>
      </c>
      <c r="E140">
        <v>4</v>
      </c>
      <c r="F140" t="s">
        <v>30</v>
      </c>
      <c r="G140">
        <v>30</v>
      </c>
      <c r="H140">
        <v>5</v>
      </c>
      <c r="I140" s="2">
        <v>0</v>
      </c>
      <c r="J140" s="2">
        <v>44</v>
      </c>
      <c r="K140" t="s">
        <v>14</v>
      </c>
    </row>
    <row r="141" spans="1:11" x14ac:dyDescent="0.2">
      <c r="A141" t="str">
        <f t="shared" si="2"/>
        <v>22 °C_Dry_d</v>
      </c>
      <c r="B141" s="2" t="s">
        <v>45</v>
      </c>
      <c r="C141" s="2" t="s">
        <v>23</v>
      </c>
      <c r="D141" s="2" t="s">
        <v>20</v>
      </c>
      <c r="E141">
        <v>3</v>
      </c>
      <c r="F141" t="s">
        <v>30</v>
      </c>
      <c r="G141">
        <v>30</v>
      </c>
      <c r="H141">
        <v>5</v>
      </c>
      <c r="I141" s="2">
        <v>0</v>
      </c>
      <c r="J141" s="2">
        <v>67</v>
      </c>
      <c r="K141" t="s">
        <v>14</v>
      </c>
    </row>
    <row r="142" spans="1:11" x14ac:dyDescent="0.2">
      <c r="A142" t="str">
        <f t="shared" si="2"/>
        <v>22 °C_Dry_d</v>
      </c>
      <c r="B142" s="2" t="s">
        <v>45</v>
      </c>
      <c r="C142" s="2" t="s">
        <v>23</v>
      </c>
      <c r="D142" s="2" t="s">
        <v>20</v>
      </c>
      <c r="E142">
        <v>4</v>
      </c>
      <c r="F142" t="s">
        <v>30</v>
      </c>
      <c r="G142">
        <v>30</v>
      </c>
      <c r="H142">
        <v>5</v>
      </c>
      <c r="I142" s="2">
        <v>0</v>
      </c>
      <c r="J142" s="2">
        <v>52</v>
      </c>
      <c r="K142" t="s">
        <v>14</v>
      </c>
    </row>
    <row r="143" spans="1:11" x14ac:dyDescent="0.2">
      <c r="A143" t="str">
        <f t="shared" si="2"/>
        <v>22 °C_Dry_e</v>
      </c>
      <c r="B143" s="2" t="s">
        <v>45</v>
      </c>
      <c r="C143" s="2" t="s">
        <v>23</v>
      </c>
      <c r="D143" s="2" t="s">
        <v>21</v>
      </c>
      <c r="E143">
        <v>3</v>
      </c>
      <c r="F143" t="s">
        <v>30</v>
      </c>
      <c r="G143">
        <v>30</v>
      </c>
      <c r="H143">
        <v>5</v>
      </c>
      <c r="I143" s="2">
        <v>0</v>
      </c>
      <c r="J143" s="2">
        <v>60</v>
      </c>
      <c r="K143" t="s">
        <v>14</v>
      </c>
    </row>
    <row r="144" spans="1:11" x14ac:dyDescent="0.2">
      <c r="A144" t="str">
        <f t="shared" si="2"/>
        <v>22 °C_Dry_e</v>
      </c>
      <c r="B144" s="2" t="s">
        <v>45</v>
      </c>
      <c r="C144" s="2" t="s">
        <v>23</v>
      </c>
      <c r="D144" s="2" t="s">
        <v>21</v>
      </c>
      <c r="E144">
        <v>4</v>
      </c>
      <c r="F144" t="s">
        <v>30</v>
      </c>
      <c r="G144">
        <v>30</v>
      </c>
      <c r="H144">
        <v>5</v>
      </c>
      <c r="I144" s="2">
        <v>0</v>
      </c>
      <c r="J144" s="2">
        <v>63</v>
      </c>
      <c r="K144" t="s">
        <v>14</v>
      </c>
    </row>
    <row r="145" spans="1:11" x14ac:dyDescent="0.2">
      <c r="A145" t="str">
        <f t="shared" si="2"/>
        <v>22 °C_Mixture_a</v>
      </c>
      <c r="B145" s="2" t="s">
        <v>45</v>
      </c>
      <c r="C145" s="2" t="s">
        <v>27</v>
      </c>
      <c r="D145" s="2" t="s">
        <v>13</v>
      </c>
      <c r="E145">
        <v>3</v>
      </c>
      <c r="F145" t="s">
        <v>30</v>
      </c>
      <c r="G145">
        <v>30</v>
      </c>
      <c r="H145">
        <v>5</v>
      </c>
      <c r="I145" s="2">
        <v>26</v>
      </c>
      <c r="J145" s="2">
        <v>29</v>
      </c>
      <c r="K145" t="s">
        <v>14</v>
      </c>
    </row>
    <row r="146" spans="1:11" x14ac:dyDescent="0.2">
      <c r="A146" t="str">
        <f t="shared" si="2"/>
        <v>22 °C_Mixture_a</v>
      </c>
      <c r="B146" s="2" t="s">
        <v>45</v>
      </c>
      <c r="C146" s="2" t="s">
        <v>27</v>
      </c>
      <c r="D146" s="2" t="s">
        <v>13</v>
      </c>
      <c r="E146">
        <v>4</v>
      </c>
      <c r="F146" t="s">
        <v>30</v>
      </c>
      <c r="G146">
        <v>30</v>
      </c>
      <c r="H146">
        <v>5</v>
      </c>
      <c r="I146" s="2">
        <v>25</v>
      </c>
      <c r="J146" s="2">
        <v>28</v>
      </c>
      <c r="K146" t="s">
        <v>14</v>
      </c>
    </row>
    <row r="147" spans="1:11" x14ac:dyDescent="0.2">
      <c r="A147" t="str">
        <f t="shared" si="2"/>
        <v>22 °C_Mixture_b</v>
      </c>
      <c r="B147" s="2" t="s">
        <v>45</v>
      </c>
      <c r="C147" s="2" t="s">
        <v>27</v>
      </c>
      <c r="D147" s="2" t="s">
        <v>16</v>
      </c>
      <c r="E147">
        <v>3</v>
      </c>
      <c r="F147" t="s">
        <v>30</v>
      </c>
      <c r="G147">
        <v>30</v>
      </c>
      <c r="H147">
        <v>5</v>
      </c>
      <c r="I147" s="2">
        <v>16</v>
      </c>
      <c r="J147" s="2">
        <v>24</v>
      </c>
      <c r="K147" t="s">
        <v>14</v>
      </c>
    </row>
    <row r="148" spans="1:11" x14ac:dyDescent="0.2">
      <c r="A148" t="str">
        <f t="shared" si="2"/>
        <v>22 °C_Mixture_b</v>
      </c>
      <c r="B148" s="2" t="s">
        <v>45</v>
      </c>
      <c r="C148" s="2" t="s">
        <v>27</v>
      </c>
      <c r="D148" s="2" t="s">
        <v>16</v>
      </c>
      <c r="E148">
        <v>4</v>
      </c>
      <c r="F148" t="s">
        <v>30</v>
      </c>
      <c r="G148">
        <v>30</v>
      </c>
      <c r="H148">
        <v>5</v>
      </c>
      <c r="I148" s="2">
        <v>19</v>
      </c>
      <c r="J148" s="2">
        <v>12</v>
      </c>
      <c r="K148" t="s">
        <v>14</v>
      </c>
    </row>
    <row r="149" spans="1:11" x14ac:dyDescent="0.2">
      <c r="A149" t="str">
        <f t="shared" si="2"/>
        <v>22 °C_Mixture_c</v>
      </c>
      <c r="B149" s="2" t="s">
        <v>45</v>
      </c>
      <c r="C149" s="2" t="s">
        <v>27</v>
      </c>
      <c r="D149" s="2" t="s">
        <v>18</v>
      </c>
      <c r="E149">
        <v>3</v>
      </c>
      <c r="F149" t="s">
        <v>30</v>
      </c>
      <c r="G149">
        <v>30</v>
      </c>
      <c r="H149">
        <v>5</v>
      </c>
      <c r="I149" s="2">
        <v>15</v>
      </c>
      <c r="J149" s="2">
        <v>20</v>
      </c>
      <c r="K149" t="s">
        <v>14</v>
      </c>
    </row>
    <row r="150" spans="1:11" x14ac:dyDescent="0.2">
      <c r="A150" t="str">
        <f t="shared" si="2"/>
        <v>22 °C_Mixture_c</v>
      </c>
      <c r="B150" s="2" t="s">
        <v>45</v>
      </c>
      <c r="C150" s="2" t="s">
        <v>27</v>
      </c>
      <c r="D150" s="2" t="s">
        <v>18</v>
      </c>
      <c r="E150">
        <v>4</v>
      </c>
      <c r="F150" t="s">
        <v>30</v>
      </c>
      <c r="G150" s="2">
        <v>30</v>
      </c>
      <c r="H150" s="2">
        <v>5</v>
      </c>
      <c r="I150" s="2">
        <v>12</v>
      </c>
      <c r="J150" s="2">
        <v>21</v>
      </c>
      <c r="K150" t="s">
        <v>14</v>
      </c>
    </row>
    <row r="151" spans="1:11" x14ac:dyDescent="0.2">
      <c r="A151" t="str">
        <f t="shared" si="2"/>
        <v>22 °C_Mixture_d</v>
      </c>
      <c r="B151" s="2" t="s">
        <v>45</v>
      </c>
      <c r="C151" s="2" t="s">
        <v>27</v>
      </c>
      <c r="D151" s="2" t="s">
        <v>20</v>
      </c>
      <c r="E151">
        <v>3</v>
      </c>
      <c r="F151" t="s">
        <v>30</v>
      </c>
      <c r="G151" s="2">
        <v>30</v>
      </c>
      <c r="H151" s="2">
        <v>5</v>
      </c>
      <c r="I151" s="2">
        <v>19</v>
      </c>
      <c r="J151" s="2">
        <v>30</v>
      </c>
      <c r="K151" t="s">
        <v>14</v>
      </c>
    </row>
    <row r="152" spans="1:11" x14ac:dyDescent="0.2">
      <c r="A152" t="str">
        <f t="shared" si="2"/>
        <v>22 °C_Mixture_d</v>
      </c>
      <c r="B152" s="2" t="s">
        <v>45</v>
      </c>
      <c r="C152" s="2" t="s">
        <v>27</v>
      </c>
      <c r="D152" s="2" t="s">
        <v>20</v>
      </c>
      <c r="E152">
        <v>4</v>
      </c>
      <c r="F152" t="s">
        <v>30</v>
      </c>
      <c r="G152" s="2">
        <v>30</v>
      </c>
      <c r="H152" s="2">
        <v>5</v>
      </c>
      <c r="I152" s="2">
        <v>18</v>
      </c>
      <c r="J152" s="2">
        <v>23</v>
      </c>
      <c r="K152" t="s">
        <v>14</v>
      </c>
    </row>
    <row r="153" spans="1:11" x14ac:dyDescent="0.2">
      <c r="A153" t="str">
        <f t="shared" si="2"/>
        <v>22 °C_Mixture_e</v>
      </c>
      <c r="B153" s="2" t="s">
        <v>45</v>
      </c>
      <c r="C153" s="2" t="s">
        <v>27</v>
      </c>
      <c r="D153" s="2" t="s">
        <v>21</v>
      </c>
      <c r="E153">
        <v>3</v>
      </c>
      <c r="F153" t="s">
        <v>30</v>
      </c>
      <c r="G153" s="2">
        <v>30</v>
      </c>
      <c r="H153" s="2">
        <v>5</v>
      </c>
      <c r="I153" s="2">
        <v>12</v>
      </c>
      <c r="J153" s="2">
        <v>16</v>
      </c>
      <c r="K153" t="s">
        <v>14</v>
      </c>
    </row>
    <row r="154" spans="1:11" x14ac:dyDescent="0.2">
      <c r="A154" t="str">
        <f t="shared" si="2"/>
        <v>22 °C_Mixture_e</v>
      </c>
      <c r="B154" s="2" t="s">
        <v>45</v>
      </c>
      <c r="C154" s="2" t="s">
        <v>27</v>
      </c>
      <c r="D154" s="2" t="s">
        <v>21</v>
      </c>
      <c r="E154">
        <v>4</v>
      </c>
      <c r="F154" t="s">
        <v>30</v>
      </c>
      <c r="G154" s="2">
        <v>30</v>
      </c>
      <c r="H154" s="2">
        <v>5</v>
      </c>
      <c r="I154" s="2">
        <v>15</v>
      </c>
      <c r="J154" s="2">
        <v>13</v>
      </c>
      <c r="K154" t="s">
        <v>14</v>
      </c>
    </row>
    <row r="155" spans="1:11" x14ac:dyDescent="0.2">
      <c r="A155" t="str">
        <f t="shared" si="2"/>
        <v>22 °C_Dry_a</v>
      </c>
      <c r="B155" s="2" t="s">
        <v>45</v>
      </c>
      <c r="C155" s="2" t="s">
        <v>23</v>
      </c>
      <c r="D155" s="2" t="s">
        <v>13</v>
      </c>
      <c r="E155" s="2">
        <v>1</v>
      </c>
      <c r="F155" t="s">
        <v>31</v>
      </c>
      <c r="G155" s="2">
        <v>20</v>
      </c>
      <c r="H155" s="2">
        <v>5</v>
      </c>
      <c r="I155" s="2">
        <v>0</v>
      </c>
      <c r="J155" s="2">
        <v>34</v>
      </c>
      <c r="K155" t="s">
        <v>14</v>
      </c>
    </row>
    <row r="156" spans="1:11" x14ac:dyDescent="0.2">
      <c r="A156" t="str">
        <f t="shared" si="2"/>
        <v>22 °C_Dry_a</v>
      </c>
      <c r="B156" s="2" t="s">
        <v>45</v>
      </c>
      <c r="C156" s="2" t="s">
        <v>23</v>
      </c>
      <c r="D156" s="2" t="s">
        <v>13</v>
      </c>
      <c r="E156" s="2">
        <v>2</v>
      </c>
      <c r="F156" t="s">
        <v>31</v>
      </c>
      <c r="G156" s="2">
        <v>20</v>
      </c>
      <c r="H156" s="2">
        <v>5</v>
      </c>
      <c r="I156" s="2">
        <v>0</v>
      </c>
      <c r="J156" s="2">
        <v>30</v>
      </c>
      <c r="K156" t="s">
        <v>14</v>
      </c>
    </row>
    <row r="157" spans="1:11" x14ac:dyDescent="0.2">
      <c r="A157" t="str">
        <f t="shared" si="2"/>
        <v>22 °C_Dry_b</v>
      </c>
      <c r="B157" s="2" t="s">
        <v>45</v>
      </c>
      <c r="C157" s="2" t="s">
        <v>23</v>
      </c>
      <c r="D157" s="2" t="s">
        <v>16</v>
      </c>
      <c r="E157" s="2">
        <v>1</v>
      </c>
      <c r="F157" t="s">
        <v>31</v>
      </c>
      <c r="G157" s="2">
        <v>20</v>
      </c>
      <c r="H157" s="2">
        <v>5</v>
      </c>
      <c r="I157" s="2">
        <v>0</v>
      </c>
      <c r="J157" s="2">
        <v>36</v>
      </c>
      <c r="K157" t="s">
        <v>14</v>
      </c>
    </row>
    <row r="158" spans="1:11" x14ac:dyDescent="0.2">
      <c r="A158" t="str">
        <f t="shared" si="2"/>
        <v>22 °C_Dry_b</v>
      </c>
      <c r="B158" s="2" t="s">
        <v>45</v>
      </c>
      <c r="C158" s="2" t="s">
        <v>23</v>
      </c>
      <c r="D158" s="2" t="s">
        <v>16</v>
      </c>
      <c r="E158" s="2">
        <v>2</v>
      </c>
      <c r="F158" t="s">
        <v>31</v>
      </c>
      <c r="G158" s="2">
        <v>20</v>
      </c>
      <c r="H158" s="2">
        <v>5</v>
      </c>
      <c r="I158" s="2">
        <v>0</v>
      </c>
      <c r="J158" s="2">
        <v>29</v>
      </c>
      <c r="K158" t="s">
        <v>14</v>
      </c>
    </row>
    <row r="159" spans="1:11" x14ac:dyDescent="0.2">
      <c r="A159" t="str">
        <f t="shared" si="2"/>
        <v>22 °C_Dry_c</v>
      </c>
      <c r="B159" s="2" t="s">
        <v>45</v>
      </c>
      <c r="C159" s="2" t="s">
        <v>23</v>
      </c>
      <c r="D159" s="2" t="s">
        <v>18</v>
      </c>
      <c r="E159" s="2">
        <v>1</v>
      </c>
      <c r="F159" t="s">
        <v>31</v>
      </c>
      <c r="G159" s="2">
        <v>20</v>
      </c>
      <c r="H159" s="2">
        <v>5</v>
      </c>
      <c r="I159" s="2">
        <v>0</v>
      </c>
      <c r="J159" s="2">
        <v>29</v>
      </c>
      <c r="K159" t="s">
        <v>14</v>
      </c>
    </row>
    <row r="160" spans="1:11" x14ac:dyDescent="0.2">
      <c r="A160" t="str">
        <f t="shared" si="2"/>
        <v>22 °C_Dry_c</v>
      </c>
      <c r="B160" s="2" t="s">
        <v>45</v>
      </c>
      <c r="C160" s="2" t="s">
        <v>23</v>
      </c>
      <c r="D160" s="2" t="s">
        <v>18</v>
      </c>
      <c r="E160" s="2">
        <v>2</v>
      </c>
      <c r="F160" t="s">
        <v>31</v>
      </c>
      <c r="G160" s="2">
        <v>20</v>
      </c>
      <c r="H160" s="2">
        <v>5</v>
      </c>
      <c r="I160" s="2">
        <v>0</v>
      </c>
      <c r="J160" s="2">
        <v>32</v>
      </c>
      <c r="K160" t="s">
        <v>14</v>
      </c>
    </row>
    <row r="161" spans="1:11" x14ac:dyDescent="0.2">
      <c r="A161" t="str">
        <f t="shared" si="2"/>
        <v>22 °C_Dry_d</v>
      </c>
      <c r="B161" s="2" t="s">
        <v>45</v>
      </c>
      <c r="C161" s="2" t="s">
        <v>23</v>
      </c>
      <c r="D161" s="2" t="s">
        <v>20</v>
      </c>
      <c r="E161" s="2">
        <v>1</v>
      </c>
      <c r="F161" t="s">
        <v>31</v>
      </c>
      <c r="G161" s="2">
        <v>20</v>
      </c>
      <c r="H161" s="2">
        <v>5</v>
      </c>
      <c r="I161" s="2">
        <v>0</v>
      </c>
      <c r="J161" s="2">
        <v>37</v>
      </c>
      <c r="K161" t="s">
        <v>14</v>
      </c>
    </row>
    <row r="162" spans="1:11" x14ac:dyDescent="0.2">
      <c r="A162" t="str">
        <f t="shared" si="2"/>
        <v>22 °C_Dry_d</v>
      </c>
      <c r="B162" s="2" t="s">
        <v>45</v>
      </c>
      <c r="C162" s="2" t="s">
        <v>23</v>
      </c>
      <c r="D162" s="2" t="s">
        <v>20</v>
      </c>
      <c r="E162" s="2">
        <v>2</v>
      </c>
      <c r="F162" t="s">
        <v>31</v>
      </c>
      <c r="G162" s="2">
        <v>20</v>
      </c>
      <c r="H162" s="2">
        <v>5</v>
      </c>
      <c r="I162" s="2">
        <v>0</v>
      </c>
      <c r="J162" s="2">
        <v>29</v>
      </c>
      <c r="K162" t="s">
        <v>14</v>
      </c>
    </row>
    <row r="163" spans="1:11" x14ac:dyDescent="0.2">
      <c r="A163" t="str">
        <f t="shared" si="2"/>
        <v>22 °C_Mucoid_a</v>
      </c>
      <c r="B163" s="2" t="s">
        <v>45</v>
      </c>
      <c r="C163" s="2" t="s">
        <v>12</v>
      </c>
      <c r="D163" s="2" t="s">
        <v>13</v>
      </c>
      <c r="E163" s="2">
        <v>1</v>
      </c>
      <c r="F163" t="s">
        <v>31</v>
      </c>
      <c r="G163" s="2">
        <v>20</v>
      </c>
      <c r="H163" s="2">
        <v>5</v>
      </c>
      <c r="I163" s="2">
        <v>30</v>
      </c>
      <c r="J163" s="2">
        <v>3</v>
      </c>
      <c r="K163" t="s">
        <v>14</v>
      </c>
    </row>
    <row r="164" spans="1:11" x14ac:dyDescent="0.2">
      <c r="A164" t="str">
        <f t="shared" si="2"/>
        <v>22 °C_Mucoid_a</v>
      </c>
      <c r="B164" s="2" t="s">
        <v>45</v>
      </c>
      <c r="C164" s="2" t="s">
        <v>12</v>
      </c>
      <c r="D164" s="2" t="s">
        <v>13</v>
      </c>
      <c r="E164" s="2">
        <v>2</v>
      </c>
      <c r="F164" t="s">
        <v>31</v>
      </c>
      <c r="G164" s="2">
        <v>20</v>
      </c>
      <c r="H164" s="2">
        <v>5</v>
      </c>
      <c r="I164" s="2">
        <v>28</v>
      </c>
      <c r="J164" s="2">
        <v>0</v>
      </c>
      <c r="K164" t="s">
        <v>14</v>
      </c>
    </row>
    <row r="165" spans="1:11" x14ac:dyDescent="0.2">
      <c r="A165" t="str">
        <f t="shared" si="2"/>
        <v>22 °C_Mucoid_b</v>
      </c>
      <c r="B165" s="2" t="s">
        <v>45</v>
      </c>
      <c r="C165" s="2" t="s">
        <v>12</v>
      </c>
      <c r="D165" s="2" t="s">
        <v>16</v>
      </c>
      <c r="E165" s="2">
        <v>1</v>
      </c>
      <c r="F165" t="s">
        <v>31</v>
      </c>
      <c r="G165" s="2">
        <v>20</v>
      </c>
      <c r="H165" s="2">
        <v>5</v>
      </c>
      <c r="I165" s="2">
        <v>17</v>
      </c>
      <c r="J165" s="2">
        <v>4</v>
      </c>
      <c r="K165" t="s">
        <v>14</v>
      </c>
    </row>
    <row r="166" spans="1:11" x14ac:dyDescent="0.2">
      <c r="A166" t="str">
        <f t="shared" si="2"/>
        <v>22 °C_Mucoid_b</v>
      </c>
      <c r="B166" s="2" t="s">
        <v>45</v>
      </c>
      <c r="C166" s="2" t="s">
        <v>12</v>
      </c>
      <c r="D166" s="2" t="s">
        <v>16</v>
      </c>
      <c r="E166" s="2">
        <v>2</v>
      </c>
      <c r="F166" t="s">
        <v>31</v>
      </c>
      <c r="G166" s="2">
        <v>20</v>
      </c>
      <c r="H166" s="2">
        <v>5</v>
      </c>
      <c r="I166" s="2">
        <v>18</v>
      </c>
      <c r="J166" s="2">
        <v>0</v>
      </c>
      <c r="K166" t="s">
        <v>14</v>
      </c>
    </row>
    <row r="167" spans="1:11" x14ac:dyDescent="0.2">
      <c r="A167" t="str">
        <f t="shared" si="2"/>
        <v>22 °C_Mucoid_c</v>
      </c>
      <c r="B167" s="2" t="s">
        <v>45</v>
      </c>
      <c r="C167" s="2" t="s">
        <v>12</v>
      </c>
      <c r="D167" s="2" t="s">
        <v>18</v>
      </c>
      <c r="E167" s="2">
        <v>1</v>
      </c>
      <c r="F167" t="s">
        <v>31</v>
      </c>
      <c r="G167" s="2">
        <v>20</v>
      </c>
      <c r="H167" s="2">
        <v>5</v>
      </c>
      <c r="I167" s="2">
        <v>25</v>
      </c>
      <c r="J167" s="2">
        <v>1</v>
      </c>
      <c r="K167" t="s">
        <v>14</v>
      </c>
    </row>
    <row r="168" spans="1:11" x14ac:dyDescent="0.2">
      <c r="A168" t="str">
        <f t="shared" si="2"/>
        <v>22 °C_Mucoid_c</v>
      </c>
      <c r="B168" s="2" t="s">
        <v>45</v>
      </c>
      <c r="C168" s="2" t="s">
        <v>12</v>
      </c>
      <c r="D168" s="2" t="s">
        <v>18</v>
      </c>
      <c r="E168" s="2">
        <v>2</v>
      </c>
      <c r="F168" t="s">
        <v>31</v>
      </c>
      <c r="G168" s="2">
        <v>20</v>
      </c>
      <c r="H168" s="2">
        <v>5</v>
      </c>
      <c r="I168" s="2">
        <v>24</v>
      </c>
      <c r="J168" s="2">
        <v>4</v>
      </c>
      <c r="K168" t="s">
        <v>14</v>
      </c>
    </row>
    <row r="169" spans="1:11" x14ac:dyDescent="0.2">
      <c r="A169" t="str">
        <f t="shared" si="2"/>
        <v>22 °C_Mucoid_d</v>
      </c>
      <c r="B169" s="2" t="s">
        <v>45</v>
      </c>
      <c r="C169" s="2" t="s">
        <v>12</v>
      </c>
      <c r="D169" s="2" t="s">
        <v>20</v>
      </c>
      <c r="E169" s="2">
        <v>1</v>
      </c>
      <c r="F169" t="s">
        <v>31</v>
      </c>
      <c r="G169" s="2">
        <v>20</v>
      </c>
      <c r="H169" s="2">
        <v>5</v>
      </c>
      <c r="I169" s="2">
        <v>26</v>
      </c>
      <c r="J169" s="2">
        <v>0</v>
      </c>
      <c r="K169" t="s">
        <v>14</v>
      </c>
    </row>
    <row r="170" spans="1:11" x14ac:dyDescent="0.2">
      <c r="A170" t="str">
        <f t="shared" si="2"/>
        <v>22 °C_Mucoid_d</v>
      </c>
      <c r="B170" s="2" t="s">
        <v>45</v>
      </c>
      <c r="C170" s="2" t="s">
        <v>12</v>
      </c>
      <c r="D170" s="2" t="s">
        <v>20</v>
      </c>
      <c r="E170" s="2">
        <v>2</v>
      </c>
      <c r="F170" t="s">
        <v>31</v>
      </c>
      <c r="G170" s="2">
        <v>20</v>
      </c>
      <c r="H170" s="2">
        <v>5</v>
      </c>
      <c r="I170" s="2">
        <v>25</v>
      </c>
      <c r="J170" s="2">
        <v>1</v>
      </c>
      <c r="K170" t="s">
        <v>14</v>
      </c>
    </row>
    <row r="171" spans="1:11" x14ac:dyDescent="0.2">
      <c r="A171" t="str">
        <f t="shared" si="2"/>
        <v>22 °C_Mucoid_e</v>
      </c>
      <c r="B171" s="2" t="s">
        <v>45</v>
      </c>
      <c r="C171" s="2" t="s">
        <v>12</v>
      </c>
      <c r="D171" s="2" t="s">
        <v>21</v>
      </c>
      <c r="E171" s="2">
        <v>1</v>
      </c>
      <c r="F171" t="s">
        <v>31</v>
      </c>
      <c r="G171" s="2">
        <v>20</v>
      </c>
      <c r="H171" s="2">
        <v>5</v>
      </c>
      <c r="I171" s="2">
        <v>31</v>
      </c>
      <c r="J171" s="2">
        <v>3</v>
      </c>
      <c r="K171" t="s">
        <v>14</v>
      </c>
    </row>
    <row r="172" spans="1:11" x14ac:dyDescent="0.2">
      <c r="A172" t="str">
        <f t="shared" si="2"/>
        <v>22 °C_Mucoid_e</v>
      </c>
      <c r="B172" s="2" t="s">
        <v>45</v>
      </c>
      <c r="C172" s="2" t="s">
        <v>12</v>
      </c>
      <c r="D172" s="2" t="s">
        <v>21</v>
      </c>
      <c r="E172" s="2">
        <v>2</v>
      </c>
      <c r="F172" t="s">
        <v>31</v>
      </c>
      <c r="G172" s="2">
        <v>20</v>
      </c>
      <c r="H172" s="2">
        <v>5</v>
      </c>
      <c r="I172" s="2">
        <v>26</v>
      </c>
      <c r="J172" s="2">
        <v>1</v>
      </c>
      <c r="K172" t="s">
        <v>14</v>
      </c>
    </row>
    <row r="173" spans="1:11" x14ac:dyDescent="0.2">
      <c r="A173" t="str">
        <f t="shared" si="2"/>
        <v>22 °C_Mixture_a</v>
      </c>
      <c r="B173" s="2" t="s">
        <v>45</v>
      </c>
      <c r="C173" s="2" t="s">
        <v>27</v>
      </c>
      <c r="D173" s="2" t="s">
        <v>13</v>
      </c>
      <c r="E173" s="2">
        <v>1</v>
      </c>
      <c r="F173" t="s">
        <v>31</v>
      </c>
      <c r="G173" s="2">
        <v>20</v>
      </c>
      <c r="H173" s="2">
        <v>5</v>
      </c>
      <c r="I173">
        <v>9</v>
      </c>
      <c r="J173">
        <v>23</v>
      </c>
      <c r="K173" t="s">
        <v>14</v>
      </c>
    </row>
    <row r="174" spans="1:11" x14ac:dyDescent="0.2">
      <c r="A174" t="str">
        <f t="shared" si="2"/>
        <v>22 °C_Mixture_a</v>
      </c>
      <c r="B174" s="2" t="s">
        <v>45</v>
      </c>
      <c r="C174" s="2" t="s">
        <v>27</v>
      </c>
      <c r="D174" s="2" t="s">
        <v>13</v>
      </c>
      <c r="E174" s="2">
        <v>2</v>
      </c>
      <c r="F174" t="s">
        <v>31</v>
      </c>
      <c r="G174" s="2">
        <v>20</v>
      </c>
      <c r="H174" s="2">
        <v>5</v>
      </c>
      <c r="I174">
        <v>6</v>
      </c>
      <c r="J174">
        <v>19</v>
      </c>
      <c r="K174" t="s">
        <v>14</v>
      </c>
    </row>
    <row r="175" spans="1:11" x14ac:dyDescent="0.2">
      <c r="A175" t="str">
        <f t="shared" si="2"/>
        <v>22 °C_Mixture_b</v>
      </c>
      <c r="B175" s="2" t="s">
        <v>45</v>
      </c>
      <c r="C175" s="2" t="s">
        <v>27</v>
      </c>
      <c r="D175" s="2" t="s">
        <v>16</v>
      </c>
      <c r="E175" s="2">
        <v>1</v>
      </c>
      <c r="F175" t="s">
        <v>31</v>
      </c>
      <c r="G175" s="2">
        <v>20</v>
      </c>
      <c r="H175" s="2">
        <v>5</v>
      </c>
      <c r="I175">
        <v>15</v>
      </c>
      <c r="J175">
        <v>19</v>
      </c>
      <c r="K175" t="s">
        <v>14</v>
      </c>
    </row>
    <row r="176" spans="1:11" x14ac:dyDescent="0.2">
      <c r="A176" t="str">
        <f t="shared" si="2"/>
        <v>22 °C_Mixture_b</v>
      </c>
      <c r="B176" s="2" t="s">
        <v>45</v>
      </c>
      <c r="C176" s="2" t="s">
        <v>27</v>
      </c>
      <c r="D176" s="2" t="s">
        <v>16</v>
      </c>
      <c r="E176" s="2">
        <v>2</v>
      </c>
      <c r="F176" t="s">
        <v>31</v>
      </c>
      <c r="G176" s="2">
        <v>20</v>
      </c>
      <c r="H176" s="2">
        <v>5</v>
      </c>
      <c r="I176">
        <v>13</v>
      </c>
      <c r="J176">
        <v>22</v>
      </c>
      <c r="K176" t="s">
        <v>14</v>
      </c>
    </row>
    <row r="177" spans="1:11" x14ac:dyDescent="0.2">
      <c r="A177" t="str">
        <f t="shared" si="2"/>
        <v>22 °C_Mixture_c</v>
      </c>
      <c r="B177" s="2" t="s">
        <v>45</v>
      </c>
      <c r="C177" s="2" t="s">
        <v>27</v>
      </c>
      <c r="D177" s="2" t="s">
        <v>18</v>
      </c>
      <c r="E177" s="2">
        <v>1</v>
      </c>
      <c r="F177" t="s">
        <v>31</v>
      </c>
      <c r="G177" s="2">
        <v>20</v>
      </c>
      <c r="H177" s="2">
        <v>5</v>
      </c>
      <c r="I177">
        <v>12</v>
      </c>
      <c r="J177">
        <v>14</v>
      </c>
      <c r="K177" t="s">
        <v>14</v>
      </c>
    </row>
    <row r="178" spans="1:11" x14ac:dyDescent="0.2">
      <c r="A178" t="str">
        <f t="shared" si="2"/>
        <v>22 °C_Mixture_c</v>
      </c>
      <c r="B178" s="2" t="s">
        <v>45</v>
      </c>
      <c r="C178" s="2" t="s">
        <v>27</v>
      </c>
      <c r="D178" s="2" t="s">
        <v>18</v>
      </c>
      <c r="E178" s="2">
        <v>2</v>
      </c>
      <c r="F178" t="s">
        <v>31</v>
      </c>
      <c r="G178" s="2">
        <v>20</v>
      </c>
      <c r="H178" s="2">
        <v>5</v>
      </c>
      <c r="I178">
        <v>8</v>
      </c>
      <c r="J178">
        <v>14</v>
      </c>
      <c r="K178" t="s">
        <v>14</v>
      </c>
    </row>
    <row r="179" spans="1:11" x14ac:dyDescent="0.2">
      <c r="A179" t="str">
        <f t="shared" si="2"/>
        <v>22 °C_Mixture_d</v>
      </c>
      <c r="B179" s="2" t="s">
        <v>45</v>
      </c>
      <c r="C179" s="2" t="s">
        <v>27</v>
      </c>
      <c r="D179" s="2" t="s">
        <v>20</v>
      </c>
      <c r="E179" s="2">
        <v>1</v>
      </c>
      <c r="F179" t="s">
        <v>31</v>
      </c>
      <c r="G179" s="2">
        <v>20</v>
      </c>
      <c r="H179" s="2">
        <v>5</v>
      </c>
      <c r="I179">
        <v>10</v>
      </c>
      <c r="J179">
        <v>18</v>
      </c>
      <c r="K179" t="s">
        <v>14</v>
      </c>
    </row>
    <row r="180" spans="1:11" x14ac:dyDescent="0.2">
      <c r="A180" t="str">
        <f t="shared" si="2"/>
        <v>22 °C_Mixture_d</v>
      </c>
      <c r="B180" s="2" t="s">
        <v>45</v>
      </c>
      <c r="C180" s="2" t="s">
        <v>27</v>
      </c>
      <c r="D180" s="2" t="s">
        <v>20</v>
      </c>
      <c r="E180" s="2">
        <v>2</v>
      </c>
      <c r="F180" t="s">
        <v>31</v>
      </c>
      <c r="G180" s="2">
        <v>20</v>
      </c>
      <c r="H180" s="2">
        <v>5</v>
      </c>
      <c r="I180">
        <v>11</v>
      </c>
      <c r="J180">
        <v>13</v>
      </c>
      <c r="K180" t="s">
        <v>14</v>
      </c>
    </row>
    <row r="181" spans="1:11" x14ac:dyDescent="0.2">
      <c r="A181" t="str">
        <f t="shared" si="2"/>
        <v>22 °C_Mixture_e</v>
      </c>
      <c r="B181" s="2" t="s">
        <v>45</v>
      </c>
      <c r="C181" s="2" t="s">
        <v>27</v>
      </c>
      <c r="D181" s="2" t="s">
        <v>21</v>
      </c>
      <c r="E181" s="2">
        <v>1</v>
      </c>
      <c r="F181" t="s">
        <v>31</v>
      </c>
      <c r="G181" s="2">
        <v>20</v>
      </c>
      <c r="H181" s="2">
        <v>5</v>
      </c>
      <c r="I181">
        <v>12</v>
      </c>
      <c r="J181">
        <v>18</v>
      </c>
      <c r="K181" t="s">
        <v>14</v>
      </c>
    </row>
    <row r="182" spans="1:11" x14ac:dyDescent="0.2">
      <c r="A182" t="str">
        <f t="shared" si="2"/>
        <v>22 °C_Mixture_e</v>
      </c>
      <c r="B182" s="2" t="s">
        <v>45</v>
      </c>
      <c r="C182" s="2" t="s">
        <v>27</v>
      </c>
      <c r="D182" s="2" t="s">
        <v>21</v>
      </c>
      <c r="E182" s="2">
        <v>2</v>
      </c>
      <c r="F182" t="s">
        <v>31</v>
      </c>
      <c r="G182" s="2">
        <v>20</v>
      </c>
      <c r="H182" s="2">
        <v>5</v>
      </c>
      <c r="I182">
        <v>9</v>
      </c>
      <c r="J182">
        <v>18</v>
      </c>
      <c r="K182" t="s">
        <v>14</v>
      </c>
    </row>
    <row r="183" spans="1:11" x14ac:dyDescent="0.2">
      <c r="A183" t="str">
        <f t="shared" si="2"/>
        <v>22 °C_Mucoid_s</v>
      </c>
      <c r="B183" s="2" t="s">
        <v>45</v>
      </c>
      <c r="C183" t="s">
        <v>12</v>
      </c>
      <c r="D183" t="s">
        <v>33</v>
      </c>
      <c r="E183">
        <v>1</v>
      </c>
      <c r="F183" t="s">
        <v>31</v>
      </c>
      <c r="G183" s="2">
        <v>20</v>
      </c>
      <c r="H183">
        <v>5</v>
      </c>
      <c r="I183">
        <v>47</v>
      </c>
      <c r="J183">
        <v>5</v>
      </c>
      <c r="K183" t="s">
        <v>14</v>
      </c>
    </row>
    <row r="184" spans="1:11" x14ac:dyDescent="0.2">
      <c r="A184" t="str">
        <f t="shared" si="2"/>
        <v>22 °C_Mucoid_s</v>
      </c>
      <c r="B184" s="2" t="s">
        <v>45</v>
      </c>
      <c r="C184" t="s">
        <v>12</v>
      </c>
      <c r="D184" t="s">
        <v>33</v>
      </c>
      <c r="E184">
        <v>2</v>
      </c>
      <c r="F184" t="s">
        <v>31</v>
      </c>
      <c r="G184" s="2">
        <v>20</v>
      </c>
      <c r="H184">
        <v>5</v>
      </c>
      <c r="I184">
        <v>46</v>
      </c>
      <c r="J184">
        <v>2</v>
      </c>
      <c r="K184" t="s">
        <v>14</v>
      </c>
    </row>
    <row r="185" spans="1:11" x14ac:dyDescent="0.2">
      <c r="A185" t="str">
        <f t="shared" si="2"/>
        <v>32 °C_Mucoid_a</v>
      </c>
      <c r="B185" s="2" t="s">
        <v>46</v>
      </c>
      <c r="C185" s="2" t="s">
        <v>12</v>
      </c>
      <c r="D185" s="2" t="s">
        <v>13</v>
      </c>
      <c r="E185">
        <v>1</v>
      </c>
      <c r="F185" s="2" t="s">
        <v>28</v>
      </c>
      <c r="G185" s="2">
        <v>40</v>
      </c>
      <c r="H185" s="2">
        <v>5</v>
      </c>
      <c r="I185" s="2">
        <v>58</v>
      </c>
      <c r="J185" s="2">
        <v>4</v>
      </c>
      <c r="K185" t="s">
        <v>14</v>
      </c>
    </row>
    <row r="186" spans="1:11" x14ac:dyDescent="0.2">
      <c r="A186" t="str">
        <f t="shared" si="2"/>
        <v>32 °C_Mucoid_a</v>
      </c>
      <c r="B186" s="2" t="s">
        <v>46</v>
      </c>
      <c r="C186" s="2" t="s">
        <v>12</v>
      </c>
      <c r="D186" s="2" t="s">
        <v>13</v>
      </c>
      <c r="E186">
        <v>2</v>
      </c>
      <c r="F186" s="2" t="s">
        <v>28</v>
      </c>
      <c r="G186" s="2">
        <v>40</v>
      </c>
      <c r="H186" s="2">
        <v>5</v>
      </c>
      <c r="I186" s="2">
        <v>48</v>
      </c>
      <c r="J186" s="2">
        <v>4</v>
      </c>
      <c r="K186" t="s">
        <v>14</v>
      </c>
    </row>
    <row r="187" spans="1:11" x14ac:dyDescent="0.2">
      <c r="A187" t="str">
        <f t="shared" si="2"/>
        <v>32 °C_Mucoid_c</v>
      </c>
      <c r="B187" s="2" t="s">
        <v>46</v>
      </c>
      <c r="C187" s="2" t="s">
        <v>12</v>
      </c>
      <c r="D187" s="2" t="s">
        <v>18</v>
      </c>
      <c r="E187">
        <v>1</v>
      </c>
      <c r="F187" s="2" t="s">
        <v>28</v>
      </c>
      <c r="G187" s="2">
        <v>40</v>
      </c>
      <c r="H187" s="2">
        <v>5</v>
      </c>
      <c r="I187" s="2">
        <v>41</v>
      </c>
      <c r="J187" s="2">
        <v>3</v>
      </c>
      <c r="K187" t="s">
        <v>14</v>
      </c>
    </row>
    <row r="188" spans="1:11" x14ac:dyDescent="0.2">
      <c r="A188" t="str">
        <f t="shared" si="2"/>
        <v>32 °C_Mucoid_c</v>
      </c>
      <c r="B188" s="2" t="s">
        <v>46</v>
      </c>
      <c r="C188" s="2" t="s">
        <v>12</v>
      </c>
      <c r="D188" s="2" t="s">
        <v>18</v>
      </c>
      <c r="E188">
        <v>2</v>
      </c>
      <c r="F188" s="2" t="s">
        <v>28</v>
      </c>
      <c r="G188" s="2">
        <v>40</v>
      </c>
      <c r="H188" s="2">
        <v>5</v>
      </c>
      <c r="I188" s="2">
        <v>48</v>
      </c>
      <c r="J188" s="2">
        <v>4</v>
      </c>
      <c r="K188" t="s">
        <v>14</v>
      </c>
    </row>
    <row r="189" spans="1:11" x14ac:dyDescent="0.2">
      <c r="A189" t="str">
        <f t="shared" si="2"/>
        <v>32 °C_Mucoid_d</v>
      </c>
      <c r="B189" s="2" t="s">
        <v>46</v>
      </c>
      <c r="C189" s="2" t="s">
        <v>12</v>
      </c>
      <c r="D189" s="2" t="s">
        <v>20</v>
      </c>
      <c r="E189">
        <v>1</v>
      </c>
      <c r="F189" s="2" t="s">
        <v>28</v>
      </c>
      <c r="G189" s="2">
        <v>40</v>
      </c>
      <c r="H189" s="2">
        <v>5</v>
      </c>
      <c r="I189" s="2">
        <v>61</v>
      </c>
      <c r="J189" s="2">
        <v>6</v>
      </c>
      <c r="K189" t="s">
        <v>14</v>
      </c>
    </row>
    <row r="190" spans="1:11" x14ac:dyDescent="0.2">
      <c r="A190" t="str">
        <f t="shared" si="2"/>
        <v>32 °C_Mucoid_d</v>
      </c>
      <c r="B190" s="2" t="s">
        <v>46</v>
      </c>
      <c r="C190" s="2" t="s">
        <v>12</v>
      </c>
      <c r="D190" s="2" t="s">
        <v>20</v>
      </c>
      <c r="E190">
        <v>2</v>
      </c>
      <c r="F190" s="2" t="s">
        <v>28</v>
      </c>
      <c r="G190" s="2">
        <v>40</v>
      </c>
      <c r="H190" s="2">
        <v>5</v>
      </c>
      <c r="I190" s="2">
        <v>69</v>
      </c>
      <c r="J190" s="2">
        <v>5</v>
      </c>
      <c r="K190" t="s">
        <v>14</v>
      </c>
    </row>
    <row r="191" spans="1:11" x14ac:dyDescent="0.2">
      <c r="A191" t="str">
        <f t="shared" si="2"/>
        <v>32 °C_Mucoid_e</v>
      </c>
      <c r="B191" s="2" t="s">
        <v>46</v>
      </c>
      <c r="C191" s="2" t="s">
        <v>12</v>
      </c>
      <c r="D191" s="2" t="s">
        <v>21</v>
      </c>
      <c r="E191">
        <v>1</v>
      </c>
      <c r="F191" s="2" t="s">
        <v>28</v>
      </c>
      <c r="G191" s="2">
        <v>40</v>
      </c>
      <c r="H191" s="2">
        <v>5</v>
      </c>
      <c r="I191" s="2">
        <v>44</v>
      </c>
      <c r="J191" s="2">
        <v>3</v>
      </c>
      <c r="K191" t="s">
        <v>14</v>
      </c>
    </row>
    <row r="192" spans="1:11" x14ac:dyDescent="0.2">
      <c r="A192" t="str">
        <f t="shared" si="2"/>
        <v>32 °C_Mucoid_e</v>
      </c>
      <c r="B192" s="2" t="s">
        <v>46</v>
      </c>
      <c r="C192" s="2" t="s">
        <v>12</v>
      </c>
      <c r="D192" s="2" t="s">
        <v>21</v>
      </c>
      <c r="E192">
        <v>2</v>
      </c>
      <c r="F192" s="2" t="s">
        <v>28</v>
      </c>
      <c r="G192" s="2">
        <v>40</v>
      </c>
      <c r="H192" s="2">
        <v>5</v>
      </c>
      <c r="I192" s="2">
        <v>55</v>
      </c>
      <c r="J192" s="2">
        <v>5</v>
      </c>
      <c r="K192" t="s">
        <v>14</v>
      </c>
    </row>
    <row r="193" spans="1:11" x14ac:dyDescent="0.2">
      <c r="A193" t="str">
        <f t="shared" si="2"/>
        <v>32 °C_Dry_a</v>
      </c>
      <c r="B193" s="2" t="s">
        <v>46</v>
      </c>
      <c r="C193" s="2" t="s">
        <v>23</v>
      </c>
      <c r="D193" s="2" t="s">
        <v>13</v>
      </c>
      <c r="E193">
        <v>1</v>
      </c>
      <c r="F193" s="2" t="s">
        <v>28</v>
      </c>
      <c r="G193" s="2" t="s">
        <v>41</v>
      </c>
      <c r="H193" s="2"/>
      <c r="I193" s="2"/>
      <c r="J193" s="2"/>
      <c r="K193" t="s">
        <v>14</v>
      </c>
    </row>
    <row r="194" spans="1:11" x14ac:dyDescent="0.2">
      <c r="A194" t="str">
        <f t="shared" si="2"/>
        <v>32 °C_Dry_a</v>
      </c>
      <c r="B194" s="2" t="s">
        <v>46</v>
      </c>
      <c r="C194" s="2" t="s">
        <v>23</v>
      </c>
      <c r="D194" s="2" t="s">
        <v>13</v>
      </c>
      <c r="E194">
        <v>2</v>
      </c>
      <c r="F194" s="2" t="s">
        <v>28</v>
      </c>
      <c r="G194" s="2" t="s">
        <v>41</v>
      </c>
      <c r="H194" s="2"/>
      <c r="I194" s="2"/>
      <c r="J194" s="2"/>
      <c r="K194" t="s">
        <v>14</v>
      </c>
    </row>
    <row r="195" spans="1:11" x14ac:dyDescent="0.2">
      <c r="A195" t="str">
        <f t="shared" ref="A195:A258" si="3">_xlfn.CONCAT(B195,"_",C195,"_",D195)</f>
        <v>32 °C_Dry_a</v>
      </c>
      <c r="B195" s="2" t="s">
        <v>46</v>
      </c>
      <c r="C195" s="2" t="s">
        <v>23</v>
      </c>
      <c r="D195" s="2" t="s">
        <v>13</v>
      </c>
      <c r="E195">
        <v>3</v>
      </c>
      <c r="F195" s="2" t="s">
        <v>28</v>
      </c>
      <c r="G195" s="2" t="s">
        <v>41</v>
      </c>
      <c r="H195" s="2"/>
      <c r="I195" s="2"/>
      <c r="J195" s="2"/>
      <c r="K195" t="s">
        <v>14</v>
      </c>
    </row>
    <row r="196" spans="1:11" x14ac:dyDescent="0.2">
      <c r="A196" t="str">
        <f t="shared" si="3"/>
        <v>32 °C_Dry_a</v>
      </c>
      <c r="B196" s="2" t="s">
        <v>46</v>
      </c>
      <c r="C196" s="2" t="s">
        <v>23</v>
      </c>
      <c r="D196" s="2" t="s">
        <v>13</v>
      </c>
      <c r="E196">
        <v>4</v>
      </c>
      <c r="F196" s="2" t="s">
        <v>28</v>
      </c>
      <c r="G196" s="2" t="s">
        <v>41</v>
      </c>
      <c r="H196" s="2"/>
      <c r="I196" s="2"/>
      <c r="J196" s="2"/>
      <c r="K196" t="s">
        <v>14</v>
      </c>
    </row>
    <row r="197" spans="1:11" x14ac:dyDescent="0.2">
      <c r="A197" t="str">
        <f t="shared" si="3"/>
        <v>32 °C_Dry_b</v>
      </c>
      <c r="B197" s="2" t="s">
        <v>46</v>
      </c>
      <c r="C197" s="2" t="s">
        <v>23</v>
      </c>
      <c r="D197" s="2" t="s">
        <v>16</v>
      </c>
      <c r="E197">
        <v>1</v>
      </c>
      <c r="F197" s="2" t="s">
        <v>28</v>
      </c>
      <c r="G197" s="2">
        <v>60</v>
      </c>
      <c r="H197" s="2">
        <v>5</v>
      </c>
      <c r="I197" s="2">
        <v>0</v>
      </c>
      <c r="J197" s="2">
        <v>76</v>
      </c>
      <c r="K197" t="s">
        <v>14</v>
      </c>
    </row>
    <row r="198" spans="1:11" x14ac:dyDescent="0.2">
      <c r="A198" t="str">
        <f t="shared" si="3"/>
        <v>32 °C_Dry_b</v>
      </c>
      <c r="B198" s="2" t="s">
        <v>46</v>
      </c>
      <c r="C198" s="2" t="s">
        <v>23</v>
      </c>
      <c r="D198" s="2" t="s">
        <v>16</v>
      </c>
      <c r="E198">
        <v>2</v>
      </c>
      <c r="F198" s="2" t="s">
        <v>28</v>
      </c>
      <c r="G198" s="2">
        <v>60</v>
      </c>
      <c r="H198" s="2">
        <v>5</v>
      </c>
      <c r="I198" s="2">
        <v>0</v>
      </c>
      <c r="J198" s="2">
        <v>74</v>
      </c>
      <c r="K198" t="s">
        <v>14</v>
      </c>
    </row>
    <row r="199" spans="1:11" x14ac:dyDescent="0.2">
      <c r="A199" t="str">
        <f t="shared" si="3"/>
        <v>32 °C_Dry_b</v>
      </c>
      <c r="B199" s="2" t="s">
        <v>46</v>
      </c>
      <c r="C199" s="2" t="s">
        <v>23</v>
      </c>
      <c r="D199" s="2" t="s">
        <v>16</v>
      </c>
      <c r="E199">
        <v>3</v>
      </c>
      <c r="F199" s="2" t="s">
        <v>28</v>
      </c>
      <c r="G199" s="2">
        <v>60</v>
      </c>
      <c r="H199" s="2">
        <v>5</v>
      </c>
      <c r="I199" s="2">
        <v>0</v>
      </c>
      <c r="J199" s="2">
        <v>61</v>
      </c>
      <c r="K199" t="s">
        <v>14</v>
      </c>
    </row>
    <row r="200" spans="1:11" x14ac:dyDescent="0.2">
      <c r="A200" t="str">
        <f t="shared" si="3"/>
        <v>32 °C_Dry_b</v>
      </c>
      <c r="B200" s="2" t="s">
        <v>46</v>
      </c>
      <c r="C200" s="2" t="s">
        <v>23</v>
      </c>
      <c r="D200" s="2" t="s">
        <v>16</v>
      </c>
      <c r="E200">
        <v>4</v>
      </c>
      <c r="F200" s="2" t="s">
        <v>28</v>
      </c>
      <c r="G200" s="2">
        <v>60</v>
      </c>
      <c r="H200" s="2">
        <v>5</v>
      </c>
      <c r="I200" s="2">
        <v>0</v>
      </c>
      <c r="J200" s="2">
        <v>66</v>
      </c>
      <c r="K200" t="s">
        <v>14</v>
      </c>
    </row>
    <row r="201" spans="1:11" x14ac:dyDescent="0.2">
      <c r="A201" t="str">
        <f t="shared" si="3"/>
        <v>32 °C_Dry_c</v>
      </c>
      <c r="B201" s="2" t="s">
        <v>46</v>
      </c>
      <c r="C201" s="2" t="s">
        <v>23</v>
      </c>
      <c r="D201" s="2" t="s">
        <v>18</v>
      </c>
      <c r="E201">
        <v>1</v>
      </c>
      <c r="F201" s="2" t="s">
        <v>28</v>
      </c>
      <c r="G201" s="2">
        <v>60</v>
      </c>
      <c r="H201" s="2">
        <v>5</v>
      </c>
      <c r="I201" s="2">
        <v>0</v>
      </c>
      <c r="J201" s="2">
        <v>83</v>
      </c>
      <c r="K201" t="s">
        <v>14</v>
      </c>
    </row>
    <row r="202" spans="1:11" x14ac:dyDescent="0.2">
      <c r="A202" t="str">
        <f t="shared" si="3"/>
        <v>32 °C_Dry_c</v>
      </c>
      <c r="B202" s="2" t="s">
        <v>46</v>
      </c>
      <c r="C202" s="2" t="s">
        <v>23</v>
      </c>
      <c r="D202" s="2" t="s">
        <v>18</v>
      </c>
      <c r="E202">
        <v>2</v>
      </c>
      <c r="F202" s="2" t="s">
        <v>28</v>
      </c>
      <c r="G202" s="2">
        <v>60</v>
      </c>
      <c r="H202" s="2">
        <v>5</v>
      </c>
      <c r="I202" s="2">
        <v>0</v>
      </c>
      <c r="J202" s="2">
        <v>78</v>
      </c>
      <c r="K202" t="s">
        <v>14</v>
      </c>
    </row>
    <row r="203" spans="1:11" x14ac:dyDescent="0.2">
      <c r="A203" t="str">
        <f t="shared" si="3"/>
        <v>32 °C_Dry_c</v>
      </c>
      <c r="B203" s="2" t="s">
        <v>46</v>
      </c>
      <c r="C203" s="2" t="s">
        <v>23</v>
      </c>
      <c r="D203" s="2" t="s">
        <v>18</v>
      </c>
      <c r="E203">
        <v>3</v>
      </c>
      <c r="F203" s="2" t="s">
        <v>28</v>
      </c>
      <c r="G203" s="2">
        <v>60</v>
      </c>
      <c r="H203" s="2">
        <v>5</v>
      </c>
      <c r="I203" s="2">
        <v>0</v>
      </c>
      <c r="J203" s="2">
        <v>91</v>
      </c>
      <c r="K203" t="s">
        <v>14</v>
      </c>
    </row>
    <row r="204" spans="1:11" x14ac:dyDescent="0.2">
      <c r="A204" t="str">
        <f t="shared" si="3"/>
        <v>32 °C_Dry_c</v>
      </c>
      <c r="B204" s="2" t="s">
        <v>46</v>
      </c>
      <c r="C204" s="2" t="s">
        <v>23</v>
      </c>
      <c r="D204" s="2" t="s">
        <v>18</v>
      </c>
      <c r="E204">
        <v>4</v>
      </c>
      <c r="F204" s="2" t="s">
        <v>28</v>
      </c>
      <c r="G204" s="2">
        <v>60</v>
      </c>
      <c r="H204" s="2">
        <v>5</v>
      </c>
      <c r="I204" s="2">
        <v>0</v>
      </c>
      <c r="J204" s="2">
        <v>60</v>
      </c>
      <c r="K204" t="s">
        <v>14</v>
      </c>
    </row>
    <row r="205" spans="1:11" x14ac:dyDescent="0.2">
      <c r="A205" t="str">
        <f t="shared" si="3"/>
        <v>32 °C_Dry_d</v>
      </c>
      <c r="B205" s="2" t="s">
        <v>46</v>
      </c>
      <c r="C205" s="2" t="s">
        <v>23</v>
      </c>
      <c r="D205" s="2" t="s">
        <v>20</v>
      </c>
      <c r="E205">
        <v>1</v>
      </c>
      <c r="F205" s="2" t="s">
        <v>28</v>
      </c>
      <c r="G205" s="2">
        <v>60</v>
      </c>
      <c r="H205" s="2">
        <v>5</v>
      </c>
      <c r="I205" s="2">
        <v>0</v>
      </c>
      <c r="J205" s="2">
        <v>75</v>
      </c>
      <c r="K205" t="s">
        <v>14</v>
      </c>
    </row>
    <row r="206" spans="1:11" x14ac:dyDescent="0.2">
      <c r="A206" t="str">
        <f t="shared" si="3"/>
        <v>32 °C_Dry_d</v>
      </c>
      <c r="B206" s="2" t="s">
        <v>46</v>
      </c>
      <c r="C206" s="2" t="s">
        <v>23</v>
      </c>
      <c r="D206" s="2" t="s">
        <v>20</v>
      </c>
      <c r="E206">
        <v>2</v>
      </c>
      <c r="F206" s="2" t="s">
        <v>28</v>
      </c>
      <c r="G206" s="2">
        <v>60</v>
      </c>
      <c r="H206" s="2">
        <v>5</v>
      </c>
      <c r="I206" s="2">
        <v>0</v>
      </c>
      <c r="J206" s="2">
        <v>62</v>
      </c>
      <c r="K206" t="s">
        <v>14</v>
      </c>
    </row>
    <row r="207" spans="1:11" x14ac:dyDescent="0.2">
      <c r="A207" t="str">
        <f t="shared" si="3"/>
        <v>32 °C_Dry_d</v>
      </c>
      <c r="B207" s="2" t="s">
        <v>46</v>
      </c>
      <c r="C207" s="2" t="s">
        <v>23</v>
      </c>
      <c r="D207" s="2" t="s">
        <v>20</v>
      </c>
      <c r="E207">
        <v>3</v>
      </c>
      <c r="F207" s="2" t="s">
        <v>28</v>
      </c>
      <c r="G207" s="2">
        <v>60</v>
      </c>
      <c r="H207" s="2">
        <v>5</v>
      </c>
      <c r="I207" s="2">
        <v>0</v>
      </c>
      <c r="J207" s="2">
        <v>55</v>
      </c>
      <c r="K207" t="s">
        <v>14</v>
      </c>
    </row>
    <row r="208" spans="1:11" x14ac:dyDescent="0.2">
      <c r="A208" t="str">
        <f t="shared" si="3"/>
        <v>32 °C_Dry_d</v>
      </c>
      <c r="B208" s="2" t="s">
        <v>46</v>
      </c>
      <c r="C208" s="2" t="s">
        <v>23</v>
      </c>
      <c r="D208" s="2" t="s">
        <v>20</v>
      </c>
      <c r="E208">
        <v>4</v>
      </c>
      <c r="F208" s="2" t="s">
        <v>28</v>
      </c>
      <c r="G208" s="2">
        <v>60</v>
      </c>
      <c r="H208" s="2">
        <v>5</v>
      </c>
      <c r="I208" s="2">
        <v>0</v>
      </c>
      <c r="J208" s="2">
        <v>57</v>
      </c>
      <c r="K208" t="s">
        <v>14</v>
      </c>
    </row>
    <row r="209" spans="1:11" x14ac:dyDescent="0.2">
      <c r="A209" t="str">
        <f t="shared" si="3"/>
        <v>32 °C_Dry_e</v>
      </c>
      <c r="B209" s="2" t="s">
        <v>46</v>
      </c>
      <c r="C209" s="2" t="s">
        <v>23</v>
      </c>
      <c r="D209" s="2" t="s">
        <v>21</v>
      </c>
      <c r="E209">
        <v>1</v>
      </c>
      <c r="F209" s="2" t="s">
        <v>28</v>
      </c>
      <c r="G209" s="2">
        <v>60</v>
      </c>
      <c r="H209" s="2">
        <v>5</v>
      </c>
      <c r="I209" s="2">
        <v>0</v>
      </c>
      <c r="J209" s="2">
        <v>85</v>
      </c>
      <c r="K209" t="s">
        <v>14</v>
      </c>
    </row>
    <row r="210" spans="1:11" x14ac:dyDescent="0.2">
      <c r="A210" t="str">
        <f t="shared" si="3"/>
        <v>32 °C_Dry_e</v>
      </c>
      <c r="B210" s="2" t="s">
        <v>46</v>
      </c>
      <c r="C210" s="2" t="s">
        <v>23</v>
      </c>
      <c r="D210" s="2" t="s">
        <v>21</v>
      </c>
      <c r="E210">
        <v>2</v>
      </c>
      <c r="F210" s="2" t="s">
        <v>28</v>
      </c>
      <c r="G210" s="2">
        <v>60</v>
      </c>
      <c r="H210" s="2">
        <v>5</v>
      </c>
      <c r="I210" s="2">
        <v>0</v>
      </c>
      <c r="J210" s="2">
        <v>53</v>
      </c>
      <c r="K210" t="s">
        <v>14</v>
      </c>
    </row>
    <row r="211" spans="1:11" x14ac:dyDescent="0.2">
      <c r="A211" t="str">
        <f t="shared" si="3"/>
        <v>32 °C_Dry_e</v>
      </c>
      <c r="B211" s="2" t="s">
        <v>46</v>
      </c>
      <c r="C211" s="2" t="s">
        <v>23</v>
      </c>
      <c r="D211" s="2" t="s">
        <v>21</v>
      </c>
      <c r="E211">
        <v>3</v>
      </c>
      <c r="F211" s="2" t="s">
        <v>28</v>
      </c>
      <c r="G211" s="2">
        <v>60</v>
      </c>
      <c r="H211" s="2">
        <v>5</v>
      </c>
      <c r="I211" s="2">
        <v>0</v>
      </c>
      <c r="J211" s="2">
        <v>72</v>
      </c>
      <c r="K211" t="s">
        <v>14</v>
      </c>
    </row>
    <row r="212" spans="1:11" x14ac:dyDescent="0.2">
      <c r="A212" t="str">
        <f t="shared" si="3"/>
        <v>32 °C_Dry_e</v>
      </c>
      <c r="B212" s="2" t="s">
        <v>46</v>
      </c>
      <c r="C212" s="2" t="s">
        <v>23</v>
      </c>
      <c r="D212" s="2" t="s">
        <v>21</v>
      </c>
      <c r="E212">
        <v>4</v>
      </c>
      <c r="F212" s="2" t="s">
        <v>28</v>
      </c>
      <c r="G212" s="2">
        <v>60</v>
      </c>
      <c r="H212" s="2">
        <v>5</v>
      </c>
      <c r="I212" s="2">
        <v>0</v>
      </c>
      <c r="J212" s="2">
        <v>80</v>
      </c>
      <c r="K212" t="s">
        <v>14</v>
      </c>
    </row>
    <row r="213" spans="1:11" x14ac:dyDescent="0.2">
      <c r="A213" t="str">
        <f t="shared" si="3"/>
        <v>32 °C_Mixture_a</v>
      </c>
      <c r="B213" s="2" t="s">
        <v>46</v>
      </c>
      <c r="C213" s="2" t="s">
        <v>27</v>
      </c>
      <c r="D213" s="2" t="s">
        <v>13</v>
      </c>
      <c r="E213">
        <v>1</v>
      </c>
      <c r="F213" s="2" t="s">
        <v>28</v>
      </c>
      <c r="G213" s="2">
        <v>60</v>
      </c>
      <c r="H213" s="2">
        <v>5</v>
      </c>
      <c r="I213" s="2">
        <v>15</v>
      </c>
      <c r="J213" s="2">
        <v>19</v>
      </c>
      <c r="K213" t="s">
        <v>14</v>
      </c>
    </row>
    <row r="214" spans="1:11" x14ac:dyDescent="0.2">
      <c r="A214" t="str">
        <f t="shared" si="3"/>
        <v>32 °C_Mixture_a</v>
      </c>
      <c r="B214" s="2" t="s">
        <v>46</v>
      </c>
      <c r="C214" s="2" t="s">
        <v>27</v>
      </c>
      <c r="D214" s="2" t="s">
        <v>13</v>
      </c>
      <c r="E214">
        <v>2</v>
      </c>
      <c r="F214" s="2" t="s">
        <v>28</v>
      </c>
      <c r="G214" s="2">
        <v>60</v>
      </c>
      <c r="H214" s="2">
        <v>5</v>
      </c>
      <c r="I214" s="2">
        <v>18</v>
      </c>
      <c r="J214" s="2">
        <v>16</v>
      </c>
      <c r="K214" t="s">
        <v>14</v>
      </c>
    </row>
    <row r="215" spans="1:11" x14ac:dyDescent="0.2">
      <c r="A215" t="str">
        <f t="shared" si="3"/>
        <v>32 °C_Mixture_b</v>
      </c>
      <c r="B215" s="2" t="s">
        <v>46</v>
      </c>
      <c r="C215" s="2" t="s">
        <v>27</v>
      </c>
      <c r="D215" s="2" t="s">
        <v>16</v>
      </c>
      <c r="E215">
        <v>1</v>
      </c>
      <c r="F215" s="2" t="s">
        <v>28</v>
      </c>
      <c r="G215" s="2">
        <v>60</v>
      </c>
      <c r="H215" s="2">
        <v>5</v>
      </c>
      <c r="I215" s="2">
        <v>22</v>
      </c>
      <c r="J215" s="2">
        <v>26</v>
      </c>
      <c r="K215" t="s">
        <v>14</v>
      </c>
    </row>
    <row r="216" spans="1:11" x14ac:dyDescent="0.2">
      <c r="A216" t="str">
        <f t="shared" si="3"/>
        <v>32 °C_Mixture_b</v>
      </c>
      <c r="B216" s="2" t="s">
        <v>46</v>
      </c>
      <c r="C216" s="2" t="s">
        <v>27</v>
      </c>
      <c r="D216" s="2" t="s">
        <v>16</v>
      </c>
      <c r="E216">
        <v>2</v>
      </c>
      <c r="F216" s="2" t="s">
        <v>28</v>
      </c>
      <c r="G216" s="2">
        <v>60</v>
      </c>
      <c r="H216" s="2">
        <v>5</v>
      </c>
      <c r="I216" s="2">
        <v>20</v>
      </c>
      <c r="J216" s="2">
        <v>19</v>
      </c>
      <c r="K216" t="s">
        <v>14</v>
      </c>
    </row>
    <row r="217" spans="1:11" x14ac:dyDescent="0.2">
      <c r="A217" t="str">
        <f t="shared" si="3"/>
        <v>32 °C_Mixture_c</v>
      </c>
      <c r="B217" s="2" t="s">
        <v>46</v>
      </c>
      <c r="C217" s="2" t="s">
        <v>27</v>
      </c>
      <c r="D217" s="2" t="s">
        <v>18</v>
      </c>
      <c r="E217">
        <v>1</v>
      </c>
      <c r="F217" s="2" t="s">
        <v>28</v>
      </c>
      <c r="G217" s="2">
        <v>60</v>
      </c>
      <c r="H217" s="2">
        <v>5</v>
      </c>
      <c r="I217" s="2">
        <v>38</v>
      </c>
      <c r="J217" s="2">
        <v>41</v>
      </c>
      <c r="K217" t="s">
        <v>14</v>
      </c>
    </row>
    <row r="218" spans="1:11" x14ac:dyDescent="0.2">
      <c r="A218" t="str">
        <f t="shared" si="3"/>
        <v>32 °C_Mixture_c</v>
      </c>
      <c r="B218" s="2" t="s">
        <v>46</v>
      </c>
      <c r="C218" s="2" t="s">
        <v>27</v>
      </c>
      <c r="D218" s="2" t="s">
        <v>18</v>
      </c>
      <c r="E218">
        <v>2</v>
      </c>
      <c r="F218" s="2" t="s">
        <v>28</v>
      </c>
      <c r="G218" s="2">
        <v>60</v>
      </c>
      <c r="H218" s="2">
        <v>5</v>
      </c>
      <c r="I218" s="2">
        <v>16</v>
      </c>
      <c r="J218" s="2">
        <v>35</v>
      </c>
      <c r="K218" t="s">
        <v>14</v>
      </c>
    </row>
    <row r="219" spans="1:11" x14ac:dyDescent="0.2">
      <c r="A219" t="str">
        <f t="shared" si="3"/>
        <v>32 °C_Mixture_d</v>
      </c>
      <c r="B219" s="2" t="s">
        <v>46</v>
      </c>
      <c r="C219" s="2" t="s">
        <v>27</v>
      </c>
      <c r="D219" s="2" t="s">
        <v>20</v>
      </c>
      <c r="E219">
        <v>1</v>
      </c>
      <c r="F219" s="2" t="s">
        <v>28</v>
      </c>
      <c r="G219" s="2">
        <v>60</v>
      </c>
      <c r="H219" s="2">
        <v>5</v>
      </c>
      <c r="I219" s="2">
        <v>35</v>
      </c>
      <c r="J219" s="2">
        <v>44</v>
      </c>
      <c r="K219" t="s">
        <v>14</v>
      </c>
    </row>
    <row r="220" spans="1:11" x14ac:dyDescent="0.2">
      <c r="A220" t="str">
        <f t="shared" si="3"/>
        <v>32 °C_Mixture_d</v>
      </c>
      <c r="B220" s="2" t="s">
        <v>46</v>
      </c>
      <c r="C220" s="2" t="s">
        <v>27</v>
      </c>
      <c r="D220" s="2" t="s">
        <v>20</v>
      </c>
      <c r="E220">
        <v>2</v>
      </c>
      <c r="F220" s="2" t="s">
        <v>28</v>
      </c>
      <c r="G220" s="2">
        <v>60</v>
      </c>
      <c r="H220" s="2">
        <v>5</v>
      </c>
      <c r="I220" s="2">
        <v>24</v>
      </c>
      <c r="J220" s="2">
        <v>45</v>
      </c>
      <c r="K220" t="s">
        <v>14</v>
      </c>
    </row>
    <row r="221" spans="1:11" x14ac:dyDescent="0.2">
      <c r="A221" t="str">
        <f t="shared" si="3"/>
        <v>32 °C_Mixture_e</v>
      </c>
      <c r="B221" s="2" t="s">
        <v>46</v>
      </c>
      <c r="C221" s="2" t="s">
        <v>27</v>
      </c>
      <c r="D221" s="2" t="s">
        <v>21</v>
      </c>
      <c r="E221">
        <v>1</v>
      </c>
      <c r="F221" s="2" t="s">
        <v>28</v>
      </c>
      <c r="G221" s="2">
        <v>60</v>
      </c>
      <c r="H221" s="2">
        <v>5</v>
      </c>
      <c r="I221" s="2">
        <v>20</v>
      </c>
      <c r="J221" s="2">
        <v>41</v>
      </c>
      <c r="K221" t="s">
        <v>14</v>
      </c>
    </row>
    <row r="222" spans="1:11" x14ac:dyDescent="0.2">
      <c r="A222" t="str">
        <f t="shared" si="3"/>
        <v>32 °C_Mixture_e</v>
      </c>
      <c r="B222" s="2" t="s">
        <v>46</v>
      </c>
      <c r="C222" s="2" t="s">
        <v>27</v>
      </c>
      <c r="D222" s="2" t="s">
        <v>21</v>
      </c>
      <c r="E222">
        <v>2</v>
      </c>
      <c r="F222" s="2" t="s">
        <v>28</v>
      </c>
      <c r="G222" s="2">
        <v>60</v>
      </c>
      <c r="H222" s="2">
        <v>5</v>
      </c>
      <c r="I222" s="2">
        <v>26</v>
      </c>
      <c r="J222" s="2">
        <v>40</v>
      </c>
      <c r="K222" t="s">
        <v>14</v>
      </c>
    </row>
    <row r="223" spans="1:11" x14ac:dyDescent="0.2">
      <c r="A223" t="str">
        <f t="shared" si="3"/>
        <v>32 °C_Mucoid_a</v>
      </c>
      <c r="B223" s="2" t="s">
        <v>46</v>
      </c>
      <c r="C223" s="2" t="s">
        <v>12</v>
      </c>
      <c r="D223" s="2" t="s">
        <v>13</v>
      </c>
      <c r="E223">
        <v>3</v>
      </c>
      <c r="F223" t="s">
        <v>30</v>
      </c>
      <c r="G223" s="2">
        <v>30</v>
      </c>
      <c r="H223" s="2">
        <v>5</v>
      </c>
      <c r="I223" s="2">
        <v>14</v>
      </c>
      <c r="J223" s="2">
        <v>2</v>
      </c>
      <c r="K223" t="s">
        <v>14</v>
      </c>
    </row>
    <row r="224" spans="1:11" x14ac:dyDescent="0.2">
      <c r="A224" t="str">
        <f t="shared" si="3"/>
        <v>32 °C_Mucoid_a</v>
      </c>
      <c r="B224" s="2" t="s">
        <v>46</v>
      </c>
      <c r="C224" s="2" t="s">
        <v>12</v>
      </c>
      <c r="D224" s="2" t="s">
        <v>13</v>
      </c>
      <c r="E224">
        <v>4</v>
      </c>
      <c r="F224" t="s">
        <v>30</v>
      </c>
      <c r="G224" s="2">
        <v>30</v>
      </c>
      <c r="H224" s="2">
        <v>5</v>
      </c>
      <c r="I224" s="2">
        <v>12</v>
      </c>
      <c r="J224" s="2">
        <v>3</v>
      </c>
      <c r="K224" t="s">
        <v>14</v>
      </c>
    </row>
    <row r="225" spans="1:11" x14ac:dyDescent="0.2">
      <c r="A225" t="str">
        <f t="shared" si="3"/>
        <v>32 °C_Mucoid_b</v>
      </c>
      <c r="B225" s="2" t="s">
        <v>46</v>
      </c>
      <c r="C225" s="2" t="s">
        <v>12</v>
      </c>
      <c r="D225" s="2" t="s">
        <v>16</v>
      </c>
      <c r="E225">
        <v>3</v>
      </c>
      <c r="F225" t="s">
        <v>30</v>
      </c>
      <c r="G225" s="2">
        <v>30</v>
      </c>
      <c r="H225" s="2">
        <v>5</v>
      </c>
      <c r="I225" s="2">
        <v>7</v>
      </c>
      <c r="J225" s="2">
        <v>1</v>
      </c>
      <c r="K225" t="s">
        <v>14</v>
      </c>
    </row>
    <row r="226" spans="1:11" x14ac:dyDescent="0.2">
      <c r="A226" t="str">
        <f t="shared" si="3"/>
        <v>32 °C_Mucoid_b</v>
      </c>
      <c r="B226" s="2" t="s">
        <v>46</v>
      </c>
      <c r="C226" s="2" t="s">
        <v>12</v>
      </c>
      <c r="D226" s="2" t="s">
        <v>16</v>
      </c>
      <c r="E226">
        <v>4</v>
      </c>
      <c r="F226" t="s">
        <v>30</v>
      </c>
      <c r="G226" s="2">
        <v>30</v>
      </c>
      <c r="H226" s="2">
        <v>5</v>
      </c>
      <c r="I226" s="2">
        <v>3</v>
      </c>
      <c r="J226" s="2">
        <v>2</v>
      </c>
      <c r="K226" t="s">
        <v>14</v>
      </c>
    </row>
    <row r="227" spans="1:11" x14ac:dyDescent="0.2">
      <c r="A227" t="str">
        <f t="shared" si="3"/>
        <v>32 °C_Mucoid_c</v>
      </c>
      <c r="B227" s="2" t="s">
        <v>46</v>
      </c>
      <c r="C227" s="2" t="s">
        <v>12</v>
      </c>
      <c r="D227" s="2" t="s">
        <v>18</v>
      </c>
      <c r="E227">
        <v>3</v>
      </c>
      <c r="F227" t="s">
        <v>30</v>
      </c>
      <c r="G227" s="2">
        <v>30</v>
      </c>
      <c r="H227" s="2">
        <v>5</v>
      </c>
      <c r="I227" s="2">
        <v>14</v>
      </c>
      <c r="J227" s="2">
        <v>3</v>
      </c>
      <c r="K227" t="s">
        <v>14</v>
      </c>
    </row>
    <row r="228" spans="1:11" x14ac:dyDescent="0.2">
      <c r="A228" t="str">
        <f t="shared" si="3"/>
        <v>32 °C_Mucoid_c</v>
      </c>
      <c r="B228" s="2" t="s">
        <v>46</v>
      </c>
      <c r="C228" s="2" t="s">
        <v>12</v>
      </c>
      <c r="D228" s="2" t="s">
        <v>18</v>
      </c>
      <c r="E228">
        <v>4</v>
      </c>
      <c r="F228" t="s">
        <v>30</v>
      </c>
      <c r="G228" s="2">
        <v>30</v>
      </c>
      <c r="H228" s="2">
        <v>5</v>
      </c>
      <c r="I228" s="2">
        <v>9</v>
      </c>
      <c r="J228" s="2">
        <v>3</v>
      </c>
      <c r="K228" t="s">
        <v>14</v>
      </c>
    </row>
    <row r="229" spans="1:11" x14ac:dyDescent="0.2">
      <c r="A229" t="str">
        <f t="shared" si="3"/>
        <v>32 °C_Mucoid_d</v>
      </c>
      <c r="B229" s="2" t="s">
        <v>46</v>
      </c>
      <c r="C229" s="2" t="s">
        <v>12</v>
      </c>
      <c r="D229" s="2" t="s">
        <v>20</v>
      </c>
      <c r="E229">
        <v>3</v>
      </c>
      <c r="F229" t="s">
        <v>30</v>
      </c>
      <c r="G229" s="2">
        <v>30</v>
      </c>
      <c r="H229" s="2">
        <v>5</v>
      </c>
      <c r="I229" s="2">
        <v>7</v>
      </c>
      <c r="J229" s="2">
        <v>1</v>
      </c>
      <c r="K229" t="s">
        <v>14</v>
      </c>
    </row>
    <row r="230" spans="1:11" x14ac:dyDescent="0.2">
      <c r="A230" t="str">
        <f t="shared" si="3"/>
        <v>32 °C_Mucoid_d</v>
      </c>
      <c r="B230" s="2" t="s">
        <v>46</v>
      </c>
      <c r="C230" s="2" t="s">
        <v>12</v>
      </c>
      <c r="D230" s="2" t="s">
        <v>20</v>
      </c>
      <c r="E230">
        <v>4</v>
      </c>
      <c r="F230" t="s">
        <v>30</v>
      </c>
      <c r="G230" s="2">
        <v>30</v>
      </c>
      <c r="H230" s="2">
        <v>5</v>
      </c>
      <c r="I230" s="2">
        <v>14</v>
      </c>
      <c r="J230" s="2">
        <v>0</v>
      </c>
      <c r="K230" t="s">
        <v>14</v>
      </c>
    </row>
    <row r="231" spans="1:11" x14ac:dyDescent="0.2">
      <c r="A231" t="str">
        <f t="shared" si="3"/>
        <v>32 °C_Mucoid_e</v>
      </c>
      <c r="B231" s="2" t="s">
        <v>46</v>
      </c>
      <c r="C231" s="2" t="s">
        <v>12</v>
      </c>
      <c r="D231" s="2" t="s">
        <v>21</v>
      </c>
      <c r="E231">
        <v>3</v>
      </c>
      <c r="F231" t="s">
        <v>30</v>
      </c>
      <c r="G231" s="2">
        <v>30</v>
      </c>
      <c r="H231" s="2">
        <v>5</v>
      </c>
      <c r="I231" s="2">
        <v>12</v>
      </c>
      <c r="J231" s="2">
        <v>3</v>
      </c>
      <c r="K231" t="s">
        <v>14</v>
      </c>
    </row>
    <row r="232" spans="1:11" x14ac:dyDescent="0.2">
      <c r="A232" t="str">
        <f t="shared" si="3"/>
        <v>32 °C_Mucoid_e</v>
      </c>
      <c r="B232" s="2" t="s">
        <v>46</v>
      </c>
      <c r="C232" s="2" t="s">
        <v>12</v>
      </c>
      <c r="D232" s="2" t="s">
        <v>21</v>
      </c>
      <c r="E232">
        <v>4</v>
      </c>
      <c r="F232" t="s">
        <v>30</v>
      </c>
      <c r="G232" s="2">
        <v>30</v>
      </c>
      <c r="H232" s="2">
        <v>5</v>
      </c>
      <c r="I232" s="2">
        <v>11</v>
      </c>
      <c r="J232" s="2">
        <v>1</v>
      </c>
      <c r="K232" t="s">
        <v>14</v>
      </c>
    </row>
    <row r="233" spans="1:11" x14ac:dyDescent="0.2">
      <c r="A233" t="str">
        <f t="shared" si="3"/>
        <v>32 °C_Dry_a</v>
      </c>
      <c r="B233" s="2" t="s">
        <v>46</v>
      </c>
      <c r="C233" s="2" t="s">
        <v>23</v>
      </c>
      <c r="D233" s="2" t="s">
        <v>13</v>
      </c>
      <c r="E233">
        <v>3</v>
      </c>
      <c r="F233" t="s">
        <v>30</v>
      </c>
      <c r="G233" s="2">
        <v>30</v>
      </c>
      <c r="H233" s="2">
        <v>5</v>
      </c>
      <c r="I233" s="2">
        <v>0</v>
      </c>
      <c r="J233" s="2">
        <v>34</v>
      </c>
      <c r="K233" t="s">
        <v>14</v>
      </c>
    </row>
    <row r="234" spans="1:11" x14ac:dyDescent="0.2">
      <c r="A234" t="str">
        <f t="shared" si="3"/>
        <v>32 °C_Dry_a</v>
      </c>
      <c r="B234" s="2" t="s">
        <v>46</v>
      </c>
      <c r="C234" s="2" t="s">
        <v>23</v>
      </c>
      <c r="D234" s="2" t="s">
        <v>13</v>
      </c>
      <c r="E234">
        <v>4</v>
      </c>
      <c r="F234" t="s">
        <v>30</v>
      </c>
      <c r="G234" s="2">
        <v>30</v>
      </c>
      <c r="H234" s="2">
        <v>5</v>
      </c>
      <c r="I234" s="2">
        <v>0</v>
      </c>
      <c r="J234" s="2">
        <v>34</v>
      </c>
      <c r="K234" t="s">
        <v>14</v>
      </c>
    </row>
    <row r="235" spans="1:11" x14ac:dyDescent="0.2">
      <c r="A235" t="str">
        <f t="shared" si="3"/>
        <v>32 °C_Dry_b</v>
      </c>
      <c r="B235" s="2" t="s">
        <v>46</v>
      </c>
      <c r="C235" s="2" t="s">
        <v>23</v>
      </c>
      <c r="D235" s="2" t="s">
        <v>16</v>
      </c>
      <c r="E235">
        <v>3</v>
      </c>
      <c r="F235" t="s">
        <v>30</v>
      </c>
      <c r="G235" s="2">
        <v>30</v>
      </c>
      <c r="H235" s="2">
        <v>5</v>
      </c>
      <c r="I235" s="2">
        <v>0</v>
      </c>
      <c r="J235" s="2">
        <v>32</v>
      </c>
      <c r="K235" t="s">
        <v>14</v>
      </c>
    </row>
    <row r="236" spans="1:11" x14ac:dyDescent="0.2">
      <c r="A236" t="str">
        <f t="shared" si="3"/>
        <v>32 °C_Dry_b</v>
      </c>
      <c r="B236" s="2" t="s">
        <v>46</v>
      </c>
      <c r="C236" s="2" t="s">
        <v>23</v>
      </c>
      <c r="D236" s="2" t="s">
        <v>16</v>
      </c>
      <c r="E236">
        <v>4</v>
      </c>
      <c r="F236" t="s">
        <v>30</v>
      </c>
      <c r="G236" s="2">
        <v>30</v>
      </c>
      <c r="H236" s="2">
        <v>5</v>
      </c>
      <c r="I236" s="2">
        <v>0</v>
      </c>
      <c r="J236" s="2">
        <v>29</v>
      </c>
      <c r="K236" t="s">
        <v>14</v>
      </c>
    </row>
    <row r="237" spans="1:11" x14ac:dyDescent="0.2">
      <c r="A237" t="str">
        <f t="shared" si="3"/>
        <v>32 °C_Dry_c</v>
      </c>
      <c r="B237" s="2" t="s">
        <v>46</v>
      </c>
      <c r="C237" s="2" t="s">
        <v>23</v>
      </c>
      <c r="D237" s="2" t="s">
        <v>18</v>
      </c>
      <c r="E237">
        <v>3</v>
      </c>
      <c r="F237" t="s">
        <v>30</v>
      </c>
      <c r="G237" s="2">
        <v>30</v>
      </c>
      <c r="H237" s="2">
        <v>5</v>
      </c>
      <c r="I237" s="2">
        <v>0</v>
      </c>
      <c r="J237" s="2">
        <v>41</v>
      </c>
      <c r="K237" t="s">
        <v>14</v>
      </c>
    </row>
    <row r="238" spans="1:11" x14ac:dyDescent="0.2">
      <c r="A238" t="str">
        <f t="shared" si="3"/>
        <v>32 °C_Dry_c</v>
      </c>
      <c r="B238" s="2" t="s">
        <v>46</v>
      </c>
      <c r="C238" s="2" t="s">
        <v>23</v>
      </c>
      <c r="D238" s="2" t="s">
        <v>18</v>
      </c>
      <c r="E238">
        <v>4</v>
      </c>
      <c r="F238" t="s">
        <v>30</v>
      </c>
      <c r="G238" s="2">
        <v>30</v>
      </c>
      <c r="H238" s="2">
        <v>5</v>
      </c>
      <c r="I238" s="2">
        <v>0</v>
      </c>
      <c r="J238" s="2">
        <v>31</v>
      </c>
      <c r="K238" t="s">
        <v>14</v>
      </c>
    </row>
    <row r="239" spans="1:11" x14ac:dyDescent="0.2">
      <c r="A239" t="str">
        <f t="shared" si="3"/>
        <v>32 °C_Dry_d</v>
      </c>
      <c r="B239" s="2" t="s">
        <v>46</v>
      </c>
      <c r="C239" s="2" t="s">
        <v>23</v>
      </c>
      <c r="D239" s="2" t="s">
        <v>20</v>
      </c>
      <c r="E239">
        <v>3</v>
      </c>
      <c r="F239" t="s">
        <v>30</v>
      </c>
      <c r="G239" s="2">
        <v>30</v>
      </c>
      <c r="H239" s="2">
        <v>5</v>
      </c>
      <c r="I239" s="2">
        <v>0</v>
      </c>
      <c r="J239" s="2">
        <v>33</v>
      </c>
      <c r="K239" t="s">
        <v>14</v>
      </c>
    </row>
    <row r="240" spans="1:11" x14ac:dyDescent="0.2">
      <c r="A240" t="str">
        <f t="shared" si="3"/>
        <v>32 °C_Dry_d</v>
      </c>
      <c r="B240" s="2" t="s">
        <v>46</v>
      </c>
      <c r="C240" s="2" t="s">
        <v>23</v>
      </c>
      <c r="D240" s="2" t="s">
        <v>20</v>
      </c>
      <c r="E240">
        <v>4</v>
      </c>
      <c r="F240" t="s">
        <v>30</v>
      </c>
      <c r="G240" s="2">
        <v>30</v>
      </c>
      <c r="H240" s="2">
        <v>5</v>
      </c>
      <c r="I240" s="2">
        <v>0</v>
      </c>
      <c r="J240" s="2">
        <v>40</v>
      </c>
      <c r="K240" t="s">
        <v>14</v>
      </c>
    </row>
    <row r="241" spans="1:11" x14ac:dyDescent="0.2">
      <c r="A241" t="str">
        <f t="shared" si="3"/>
        <v>32 °C_Dry_e</v>
      </c>
      <c r="B241" s="2" t="s">
        <v>46</v>
      </c>
      <c r="C241" s="2" t="s">
        <v>23</v>
      </c>
      <c r="D241" s="2" t="s">
        <v>21</v>
      </c>
      <c r="E241">
        <v>3</v>
      </c>
      <c r="F241" t="s">
        <v>30</v>
      </c>
      <c r="G241" s="2">
        <v>30</v>
      </c>
      <c r="H241" s="2">
        <v>5</v>
      </c>
      <c r="I241" s="2">
        <v>0</v>
      </c>
      <c r="J241" s="2">
        <v>25</v>
      </c>
      <c r="K241" t="s">
        <v>14</v>
      </c>
    </row>
    <row r="242" spans="1:11" x14ac:dyDescent="0.2">
      <c r="A242" t="str">
        <f t="shared" si="3"/>
        <v>32 °C_Dry_e</v>
      </c>
      <c r="B242" s="2" t="s">
        <v>46</v>
      </c>
      <c r="C242" s="2" t="s">
        <v>23</v>
      </c>
      <c r="D242" s="2" t="s">
        <v>21</v>
      </c>
      <c r="E242">
        <v>4</v>
      </c>
      <c r="F242" t="s">
        <v>30</v>
      </c>
      <c r="G242" s="2">
        <v>30</v>
      </c>
      <c r="H242" s="2">
        <v>5</v>
      </c>
      <c r="I242" s="2">
        <v>0</v>
      </c>
      <c r="J242" s="2">
        <v>18</v>
      </c>
      <c r="K242" t="s">
        <v>14</v>
      </c>
    </row>
    <row r="243" spans="1:11" x14ac:dyDescent="0.2">
      <c r="A243" t="str">
        <f t="shared" si="3"/>
        <v>32 °C_Mixture_a</v>
      </c>
      <c r="B243" s="2" t="s">
        <v>46</v>
      </c>
      <c r="C243" s="2" t="s">
        <v>27</v>
      </c>
      <c r="D243" s="2" t="s">
        <v>13</v>
      </c>
      <c r="E243">
        <v>3</v>
      </c>
      <c r="F243" t="s">
        <v>30</v>
      </c>
      <c r="G243" s="2">
        <v>30</v>
      </c>
      <c r="H243" s="2">
        <v>5</v>
      </c>
      <c r="I243" s="2">
        <v>5</v>
      </c>
      <c r="J243" s="2">
        <v>10</v>
      </c>
      <c r="K243" t="s">
        <v>14</v>
      </c>
    </row>
    <row r="244" spans="1:11" x14ac:dyDescent="0.2">
      <c r="A244" t="str">
        <f t="shared" si="3"/>
        <v>32 °C_Mixture_a</v>
      </c>
      <c r="B244" s="2" t="s">
        <v>46</v>
      </c>
      <c r="C244" s="2" t="s">
        <v>27</v>
      </c>
      <c r="D244" s="2" t="s">
        <v>13</v>
      </c>
      <c r="E244">
        <v>4</v>
      </c>
      <c r="F244" t="s">
        <v>30</v>
      </c>
      <c r="G244" s="2">
        <v>30</v>
      </c>
      <c r="H244" s="2">
        <v>5</v>
      </c>
      <c r="I244" s="2">
        <v>9</v>
      </c>
      <c r="J244" s="2">
        <v>18</v>
      </c>
      <c r="K244" t="s">
        <v>14</v>
      </c>
    </row>
    <row r="245" spans="1:11" x14ac:dyDescent="0.2">
      <c r="A245" t="str">
        <f t="shared" si="3"/>
        <v>32 °C_Mixture_b</v>
      </c>
      <c r="B245" s="2" t="s">
        <v>46</v>
      </c>
      <c r="C245" s="2" t="s">
        <v>27</v>
      </c>
      <c r="D245" s="2" t="s">
        <v>16</v>
      </c>
      <c r="E245">
        <v>3</v>
      </c>
      <c r="F245" t="s">
        <v>30</v>
      </c>
      <c r="G245" s="2">
        <v>30</v>
      </c>
      <c r="H245" s="2">
        <v>5</v>
      </c>
      <c r="I245" s="2">
        <v>7</v>
      </c>
      <c r="J245" s="2">
        <v>12</v>
      </c>
      <c r="K245" t="s">
        <v>14</v>
      </c>
    </row>
    <row r="246" spans="1:11" x14ac:dyDescent="0.2">
      <c r="A246" t="str">
        <f t="shared" si="3"/>
        <v>32 °C_Mixture_b</v>
      </c>
      <c r="B246" s="2" t="s">
        <v>46</v>
      </c>
      <c r="C246" s="2" t="s">
        <v>27</v>
      </c>
      <c r="D246" s="2" t="s">
        <v>16</v>
      </c>
      <c r="E246">
        <v>4</v>
      </c>
      <c r="F246" t="s">
        <v>30</v>
      </c>
      <c r="G246" s="2">
        <v>30</v>
      </c>
      <c r="H246" s="2">
        <v>5</v>
      </c>
      <c r="I246" s="2">
        <v>6</v>
      </c>
      <c r="J246" s="2">
        <v>13</v>
      </c>
      <c r="K246" t="s">
        <v>14</v>
      </c>
    </row>
    <row r="247" spans="1:11" x14ac:dyDescent="0.2">
      <c r="A247" t="str">
        <f t="shared" si="3"/>
        <v>32 °C_Mixture_c</v>
      </c>
      <c r="B247" s="2" t="s">
        <v>46</v>
      </c>
      <c r="C247" s="2" t="s">
        <v>27</v>
      </c>
      <c r="D247" s="2" t="s">
        <v>18</v>
      </c>
      <c r="E247">
        <v>3</v>
      </c>
      <c r="F247" t="s">
        <v>30</v>
      </c>
      <c r="G247" s="2">
        <v>30</v>
      </c>
      <c r="H247" s="2">
        <v>5</v>
      </c>
      <c r="I247" s="2">
        <v>7</v>
      </c>
      <c r="J247" s="2">
        <v>10</v>
      </c>
      <c r="K247" t="s">
        <v>14</v>
      </c>
    </row>
    <row r="248" spans="1:11" x14ac:dyDescent="0.2">
      <c r="A248" t="str">
        <f t="shared" si="3"/>
        <v>32 °C_Mixture_c</v>
      </c>
      <c r="B248" s="2" t="s">
        <v>46</v>
      </c>
      <c r="C248" s="2" t="s">
        <v>27</v>
      </c>
      <c r="D248" s="2" t="s">
        <v>18</v>
      </c>
      <c r="E248">
        <v>4</v>
      </c>
      <c r="F248" t="s">
        <v>30</v>
      </c>
      <c r="G248" s="2">
        <v>30</v>
      </c>
      <c r="H248" s="2">
        <v>5</v>
      </c>
      <c r="I248" s="2">
        <v>4</v>
      </c>
      <c r="J248" s="2">
        <v>10</v>
      </c>
      <c r="K248" t="s">
        <v>14</v>
      </c>
    </row>
    <row r="249" spans="1:11" x14ac:dyDescent="0.2">
      <c r="A249" t="str">
        <f t="shared" si="3"/>
        <v>32 °C_Mixture_d</v>
      </c>
      <c r="B249" s="2" t="s">
        <v>46</v>
      </c>
      <c r="C249" s="2" t="s">
        <v>27</v>
      </c>
      <c r="D249" s="2" t="s">
        <v>20</v>
      </c>
      <c r="E249">
        <v>3</v>
      </c>
      <c r="F249" t="s">
        <v>30</v>
      </c>
      <c r="G249" s="2">
        <v>30</v>
      </c>
      <c r="H249" s="2">
        <v>5</v>
      </c>
      <c r="I249" s="2">
        <v>5</v>
      </c>
      <c r="J249" s="2">
        <v>7</v>
      </c>
      <c r="K249" t="s">
        <v>14</v>
      </c>
    </row>
    <row r="250" spans="1:11" x14ac:dyDescent="0.2">
      <c r="A250" t="str">
        <f t="shared" si="3"/>
        <v>32 °C_Mixture_d</v>
      </c>
      <c r="B250" s="2" t="s">
        <v>46</v>
      </c>
      <c r="C250" s="2" t="s">
        <v>27</v>
      </c>
      <c r="D250" s="2" t="s">
        <v>20</v>
      </c>
      <c r="E250">
        <v>4</v>
      </c>
      <c r="F250" t="s">
        <v>30</v>
      </c>
      <c r="G250" s="2">
        <v>30</v>
      </c>
      <c r="H250" s="2">
        <v>5</v>
      </c>
      <c r="I250" s="2">
        <v>6</v>
      </c>
      <c r="J250" s="2">
        <v>11</v>
      </c>
      <c r="K250" t="s">
        <v>14</v>
      </c>
    </row>
    <row r="251" spans="1:11" x14ac:dyDescent="0.2">
      <c r="A251" t="str">
        <f t="shared" si="3"/>
        <v>32 °C_Mixture_e</v>
      </c>
      <c r="B251" s="2" t="s">
        <v>46</v>
      </c>
      <c r="C251" s="2" t="s">
        <v>27</v>
      </c>
      <c r="D251" s="2" t="s">
        <v>21</v>
      </c>
      <c r="E251">
        <v>3</v>
      </c>
      <c r="F251" t="s">
        <v>30</v>
      </c>
      <c r="G251" s="2">
        <v>30</v>
      </c>
      <c r="H251" s="2">
        <v>5</v>
      </c>
      <c r="I251" s="2">
        <v>14</v>
      </c>
      <c r="J251" s="2">
        <v>16</v>
      </c>
      <c r="K251" t="s">
        <v>14</v>
      </c>
    </row>
    <row r="252" spans="1:11" x14ac:dyDescent="0.2">
      <c r="A252" t="str">
        <f t="shared" si="3"/>
        <v>32 °C_Mixture_e</v>
      </c>
      <c r="B252" s="2" t="s">
        <v>46</v>
      </c>
      <c r="C252" s="2" t="s">
        <v>27</v>
      </c>
      <c r="D252" s="2" t="s">
        <v>21</v>
      </c>
      <c r="E252">
        <v>4</v>
      </c>
      <c r="F252" t="s">
        <v>30</v>
      </c>
      <c r="G252" s="2">
        <v>30</v>
      </c>
      <c r="H252" s="2">
        <v>5</v>
      </c>
      <c r="I252" s="2">
        <v>12</v>
      </c>
      <c r="J252" s="2">
        <v>14</v>
      </c>
      <c r="K252" t="s">
        <v>14</v>
      </c>
    </row>
    <row r="253" spans="1:11" x14ac:dyDescent="0.2">
      <c r="A253" t="str">
        <f t="shared" si="3"/>
        <v>32 °C_Dry_a</v>
      </c>
      <c r="B253" s="2" t="s">
        <v>46</v>
      </c>
      <c r="C253" s="2" t="s">
        <v>23</v>
      </c>
      <c r="D253" s="2" t="s">
        <v>13</v>
      </c>
      <c r="E253" s="2">
        <v>1</v>
      </c>
      <c r="F253" t="s">
        <v>31</v>
      </c>
      <c r="G253" s="2">
        <v>20</v>
      </c>
      <c r="H253" s="2">
        <v>5</v>
      </c>
      <c r="I253" s="2">
        <v>0</v>
      </c>
      <c r="J253" s="2">
        <v>12</v>
      </c>
      <c r="K253" t="s">
        <v>14</v>
      </c>
    </row>
    <row r="254" spans="1:11" x14ac:dyDescent="0.2">
      <c r="A254" t="str">
        <f t="shared" si="3"/>
        <v>32 °C_Dry_a</v>
      </c>
      <c r="B254" s="2" t="s">
        <v>46</v>
      </c>
      <c r="C254" s="2" t="s">
        <v>23</v>
      </c>
      <c r="D254" s="2" t="s">
        <v>13</v>
      </c>
      <c r="E254" s="2">
        <v>2</v>
      </c>
      <c r="F254" t="s">
        <v>31</v>
      </c>
      <c r="G254" s="2">
        <v>20</v>
      </c>
      <c r="H254" s="2">
        <v>5</v>
      </c>
      <c r="I254" s="2">
        <v>0</v>
      </c>
      <c r="J254" s="2">
        <v>16</v>
      </c>
      <c r="K254" t="s">
        <v>14</v>
      </c>
    </row>
    <row r="255" spans="1:11" x14ac:dyDescent="0.2">
      <c r="A255" t="str">
        <f t="shared" si="3"/>
        <v>32 °C_Dry_b</v>
      </c>
      <c r="B255" s="2" t="s">
        <v>46</v>
      </c>
      <c r="C255" s="2" t="s">
        <v>23</v>
      </c>
      <c r="D255" s="2" t="s">
        <v>16</v>
      </c>
      <c r="E255" s="2">
        <v>1</v>
      </c>
      <c r="F255" t="s">
        <v>31</v>
      </c>
      <c r="G255" s="2">
        <v>20</v>
      </c>
      <c r="H255" s="2">
        <v>5</v>
      </c>
      <c r="I255" s="2">
        <v>0</v>
      </c>
      <c r="J255" s="2">
        <v>15</v>
      </c>
      <c r="K255" t="s">
        <v>14</v>
      </c>
    </row>
    <row r="256" spans="1:11" x14ac:dyDescent="0.2">
      <c r="A256" t="str">
        <f t="shared" si="3"/>
        <v>32 °C_Dry_b</v>
      </c>
      <c r="B256" s="2" t="s">
        <v>46</v>
      </c>
      <c r="C256" s="2" t="s">
        <v>23</v>
      </c>
      <c r="D256" s="2" t="s">
        <v>16</v>
      </c>
      <c r="E256" s="2">
        <v>2</v>
      </c>
      <c r="F256" t="s">
        <v>31</v>
      </c>
      <c r="G256" s="2">
        <v>20</v>
      </c>
      <c r="H256" s="2">
        <v>5</v>
      </c>
      <c r="I256" s="2">
        <v>0</v>
      </c>
      <c r="J256" s="2">
        <v>16</v>
      </c>
      <c r="K256" t="s">
        <v>14</v>
      </c>
    </row>
    <row r="257" spans="1:11" x14ac:dyDescent="0.2">
      <c r="A257" t="str">
        <f t="shared" si="3"/>
        <v>32 °C_Dry_c</v>
      </c>
      <c r="B257" s="2" t="s">
        <v>46</v>
      </c>
      <c r="C257" s="2" t="s">
        <v>23</v>
      </c>
      <c r="D257" s="2" t="s">
        <v>18</v>
      </c>
      <c r="E257" s="2">
        <v>1</v>
      </c>
      <c r="F257" t="s">
        <v>31</v>
      </c>
      <c r="G257" s="2">
        <v>20</v>
      </c>
      <c r="H257" s="2">
        <v>5</v>
      </c>
      <c r="I257" s="2">
        <v>0</v>
      </c>
      <c r="J257" s="2">
        <v>17</v>
      </c>
      <c r="K257" t="s">
        <v>14</v>
      </c>
    </row>
    <row r="258" spans="1:11" x14ac:dyDescent="0.2">
      <c r="A258" t="str">
        <f t="shared" si="3"/>
        <v>32 °C_Dry_c</v>
      </c>
      <c r="B258" s="2" t="s">
        <v>46</v>
      </c>
      <c r="C258" s="2" t="s">
        <v>23</v>
      </c>
      <c r="D258" s="2" t="s">
        <v>18</v>
      </c>
      <c r="E258" s="2">
        <v>2</v>
      </c>
      <c r="F258" t="s">
        <v>31</v>
      </c>
      <c r="G258" s="2">
        <v>20</v>
      </c>
      <c r="H258" s="2">
        <v>5</v>
      </c>
      <c r="I258" s="2">
        <v>0</v>
      </c>
      <c r="J258" s="2">
        <v>17</v>
      </c>
      <c r="K258" t="s">
        <v>14</v>
      </c>
    </row>
    <row r="259" spans="1:11" x14ac:dyDescent="0.2">
      <c r="A259" t="str">
        <f t="shared" ref="A259:A322" si="4">_xlfn.CONCAT(B259,"_",C259,"_",D259)</f>
        <v>32 °C_Dry_d</v>
      </c>
      <c r="B259" s="2" t="s">
        <v>46</v>
      </c>
      <c r="C259" s="2" t="s">
        <v>23</v>
      </c>
      <c r="D259" s="2" t="s">
        <v>20</v>
      </c>
      <c r="E259" s="2">
        <v>1</v>
      </c>
      <c r="F259" t="s">
        <v>31</v>
      </c>
      <c r="G259" s="2">
        <v>20</v>
      </c>
      <c r="H259" s="2">
        <v>5</v>
      </c>
      <c r="I259" s="2">
        <v>0</v>
      </c>
      <c r="J259" s="2">
        <v>11</v>
      </c>
      <c r="K259" t="s">
        <v>14</v>
      </c>
    </row>
    <row r="260" spans="1:11" x14ac:dyDescent="0.2">
      <c r="A260" t="str">
        <f t="shared" si="4"/>
        <v>32 °C_Dry_d</v>
      </c>
      <c r="B260" s="2" t="s">
        <v>46</v>
      </c>
      <c r="C260" s="2" t="s">
        <v>23</v>
      </c>
      <c r="D260" s="2" t="s">
        <v>20</v>
      </c>
      <c r="E260" s="2">
        <v>2</v>
      </c>
      <c r="F260" t="s">
        <v>31</v>
      </c>
      <c r="G260" s="2">
        <v>20</v>
      </c>
      <c r="H260" s="2">
        <v>5</v>
      </c>
      <c r="I260" s="2">
        <v>0</v>
      </c>
      <c r="J260" s="2">
        <v>13</v>
      </c>
      <c r="K260" t="s">
        <v>14</v>
      </c>
    </row>
    <row r="261" spans="1:11" x14ac:dyDescent="0.2">
      <c r="A261" t="str">
        <f t="shared" si="4"/>
        <v>32 °C_Mucoid_a</v>
      </c>
      <c r="B261" s="2" t="s">
        <v>46</v>
      </c>
      <c r="C261" s="2" t="s">
        <v>12</v>
      </c>
      <c r="D261" s="2" t="s">
        <v>13</v>
      </c>
      <c r="E261" s="2">
        <v>1</v>
      </c>
      <c r="F261" t="s">
        <v>31</v>
      </c>
      <c r="G261" s="2">
        <v>60</v>
      </c>
      <c r="H261" s="2">
        <v>5</v>
      </c>
      <c r="I261">
        <v>27</v>
      </c>
      <c r="J261">
        <v>10</v>
      </c>
      <c r="K261" t="s">
        <v>14</v>
      </c>
    </row>
    <row r="262" spans="1:11" x14ac:dyDescent="0.2">
      <c r="A262" t="str">
        <f t="shared" si="4"/>
        <v>32 °C_Mucoid_a</v>
      </c>
      <c r="B262" s="2" t="s">
        <v>46</v>
      </c>
      <c r="C262" s="2" t="s">
        <v>12</v>
      </c>
      <c r="D262" s="2" t="s">
        <v>13</v>
      </c>
      <c r="E262" s="2">
        <v>2</v>
      </c>
      <c r="F262" t="s">
        <v>31</v>
      </c>
      <c r="G262" s="2">
        <v>60</v>
      </c>
      <c r="H262" s="2">
        <v>5</v>
      </c>
      <c r="I262">
        <v>19</v>
      </c>
      <c r="J262">
        <v>9</v>
      </c>
      <c r="K262" t="s">
        <v>14</v>
      </c>
    </row>
    <row r="263" spans="1:11" x14ac:dyDescent="0.2">
      <c r="A263" t="str">
        <f t="shared" si="4"/>
        <v>32 °C_Mucoid_b</v>
      </c>
      <c r="B263" s="2" t="s">
        <v>46</v>
      </c>
      <c r="C263" s="2" t="s">
        <v>12</v>
      </c>
      <c r="D263" s="2" t="s">
        <v>16</v>
      </c>
      <c r="E263" s="2">
        <v>1</v>
      </c>
      <c r="F263" t="s">
        <v>31</v>
      </c>
      <c r="G263" s="2">
        <v>60</v>
      </c>
      <c r="H263" s="2">
        <v>5</v>
      </c>
      <c r="I263">
        <v>14</v>
      </c>
      <c r="J263">
        <v>4</v>
      </c>
      <c r="K263" t="s">
        <v>14</v>
      </c>
    </row>
    <row r="264" spans="1:11" x14ac:dyDescent="0.2">
      <c r="A264" t="str">
        <f t="shared" si="4"/>
        <v>32 °C_Mucoid_b</v>
      </c>
      <c r="B264" s="2" t="s">
        <v>46</v>
      </c>
      <c r="C264" s="2" t="s">
        <v>12</v>
      </c>
      <c r="D264" s="2" t="s">
        <v>16</v>
      </c>
      <c r="E264" s="2">
        <v>2</v>
      </c>
      <c r="F264" t="s">
        <v>31</v>
      </c>
      <c r="G264" s="2">
        <v>60</v>
      </c>
      <c r="H264" s="2">
        <v>5</v>
      </c>
      <c r="I264">
        <v>10</v>
      </c>
      <c r="J264">
        <v>5</v>
      </c>
      <c r="K264" t="s">
        <v>14</v>
      </c>
    </row>
    <row r="265" spans="1:11" x14ac:dyDescent="0.2">
      <c r="A265" t="str">
        <f t="shared" si="4"/>
        <v>32 °C_Mucoid_b</v>
      </c>
      <c r="B265" s="2" t="s">
        <v>46</v>
      </c>
      <c r="C265" s="2" t="s">
        <v>12</v>
      </c>
      <c r="D265" s="2" t="s">
        <v>16</v>
      </c>
      <c r="E265" s="2">
        <v>3</v>
      </c>
      <c r="F265" t="s">
        <v>31</v>
      </c>
      <c r="G265" s="2">
        <v>60</v>
      </c>
      <c r="H265" s="2">
        <v>5</v>
      </c>
      <c r="I265">
        <v>17</v>
      </c>
      <c r="J265">
        <v>6</v>
      </c>
      <c r="K265" t="s">
        <v>14</v>
      </c>
    </row>
    <row r="266" spans="1:11" x14ac:dyDescent="0.2">
      <c r="A266" t="str">
        <f t="shared" si="4"/>
        <v>32 °C_Mixture_a</v>
      </c>
      <c r="B266" s="2" t="s">
        <v>46</v>
      </c>
      <c r="C266" s="2" t="s">
        <v>27</v>
      </c>
      <c r="D266" s="2" t="s">
        <v>13</v>
      </c>
      <c r="E266" s="2">
        <v>1</v>
      </c>
      <c r="F266" t="s">
        <v>31</v>
      </c>
      <c r="G266" s="2">
        <v>60</v>
      </c>
      <c r="H266" s="2">
        <v>5</v>
      </c>
      <c r="I266">
        <v>14</v>
      </c>
      <c r="J266">
        <v>31</v>
      </c>
      <c r="K266" t="s">
        <v>14</v>
      </c>
    </row>
    <row r="267" spans="1:11" x14ac:dyDescent="0.2">
      <c r="A267" t="str">
        <f t="shared" si="4"/>
        <v>32 °C_Mixture_a</v>
      </c>
      <c r="B267" s="2" t="s">
        <v>46</v>
      </c>
      <c r="C267" s="2" t="s">
        <v>27</v>
      </c>
      <c r="D267" s="2" t="s">
        <v>13</v>
      </c>
      <c r="E267" s="2">
        <v>2</v>
      </c>
      <c r="F267" t="s">
        <v>31</v>
      </c>
      <c r="G267" s="2">
        <v>60</v>
      </c>
      <c r="H267" s="2">
        <v>5</v>
      </c>
      <c r="I267">
        <v>15</v>
      </c>
      <c r="J267">
        <v>27</v>
      </c>
      <c r="K267" t="s">
        <v>14</v>
      </c>
    </row>
    <row r="268" spans="1:11" x14ac:dyDescent="0.2">
      <c r="A268" t="str">
        <f t="shared" si="4"/>
        <v>32 °C_Mixture_b</v>
      </c>
      <c r="B268" s="2" t="s">
        <v>46</v>
      </c>
      <c r="C268" s="2" t="s">
        <v>27</v>
      </c>
      <c r="D268" s="2" t="s">
        <v>16</v>
      </c>
      <c r="E268" s="2">
        <v>1</v>
      </c>
      <c r="F268" t="s">
        <v>31</v>
      </c>
      <c r="G268" s="2">
        <v>60</v>
      </c>
      <c r="H268" s="2">
        <v>5</v>
      </c>
      <c r="I268">
        <v>9</v>
      </c>
      <c r="J268">
        <v>22</v>
      </c>
      <c r="K268" t="s">
        <v>14</v>
      </c>
    </row>
    <row r="269" spans="1:11" x14ac:dyDescent="0.2">
      <c r="A269" t="str">
        <f t="shared" si="4"/>
        <v>32 °C_Mixture_b</v>
      </c>
      <c r="B269" s="2" t="s">
        <v>46</v>
      </c>
      <c r="C269" s="2" t="s">
        <v>27</v>
      </c>
      <c r="D269" s="2" t="s">
        <v>16</v>
      </c>
      <c r="E269" s="2">
        <v>2</v>
      </c>
      <c r="F269" t="s">
        <v>31</v>
      </c>
      <c r="G269" s="2">
        <v>60</v>
      </c>
      <c r="H269" s="2">
        <v>5</v>
      </c>
      <c r="I269">
        <v>11</v>
      </c>
      <c r="J269">
        <v>32</v>
      </c>
      <c r="K269" t="s">
        <v>14</v>
      </c>
    </row>
    <row r="270" spans="1:11" x14ac:dyDescent="0.2">
      <c r="A270" t="str">
        <f t="shared" si="4"/>
        <v>32 °C_Mixture_c</v>
      </c>
      <c r="B270" s="2" t="s">
        <v>46</v>
      </c>
      <c r="C270" s="2" t="s">
        <v>27</v>
      </c>
      <c r="D270" s="2" t="s">
        <v>18</v>
      </c>
      <c r="E270" s="2">
        <v>1</v>
      </c>
      <c r="F270" t="s">
        <v>31</v>
      </c>
      <c r="G270" s="2">
        <v>60</v>
      </c>
      <c r="H270" s="2">
        <v>5</v>
      </c>
      <c r="I270">
        <v>7</v>
      </c>
      <c r="J270">
        <v>24</v>
      </c>
      <c r="K270" t="s">
        <v>14</v>
      </c>
    </row>
    <row r="271" spans="1:11" x14ac:dyDescent="0.2">
      <c r="A271" t="str">
        <f t="shared" si="4"/>
        <v>32 °C_Mixture_c</v>
      </c>
      <c r="B271" s="2" t="s">
        <v>46</v>
      </c>
      <c r="C271" s="2" t="s">
        <v>27</v>
      </c>
      <c r="D271" s="2" t="s">
        <v>18</v>
      </c>
      <c r="E271" s="2">
        <v>2</v>
      </c>
      <c r="F271" t="s">
        <v>31</v>
      </c>
      <c r="G271" s="2">
        <v>60</v>
      </c>
      <c r="H271" s="2">
        <v>5</v>
      </c>
      <c r="I271">
        <v>7</v>
      </c>
      <c r="J271">
        <v>37</v>
      </c>
      <c r="K271" t="s">
        <v>14</v>
      </c>
    </row>
    <row r="272" spans="1:11" x14ac:dyDescent="0.2">
      <c r="A272" t="str">
        <f t="shared" si="4"/>
        <v>32 °C_Mixture_d</v>
      </c>
      <c r="B272" s="2" t="s">
        <v>46</v>
      </c>
      <c r="C272" s="2" t="s">
        <v>27</v>
      </c>
      <c r="D272" s="2" t="s">
        <v>20</v>
      </c>
      <c r="E272" s="2">
        <v>1</v>
      </c>
      <c r="F272" t="s">
        <v>31</v>
      </c>
      <c r="G272" s="2">
        <v>60</v>
      </c>
      <c r="H272" s="2">
        <v>5</v>
      </c>
      <c r="I272">
        <v>8</v>
      </c>
      <c r="J272">
        <v>13</v>
      </c>
      <c r="K272" t="s">
        <v>14</v>
      </c>
    </row>
    <row r="273" spans="1:11" x14ac:dyDescent="0.2">
      <c r="A273" t="str">
        <f t="shared" si="4"/>
        <v>32 °C_Mixture_d</v>
      </c>
      <c r="B273" s="2" t="s">
        <v>46</v>
      </c>
      <c r="C273" s="2" t="s">
        <v>27</v>
      </c>
      <c r="D273" s="2" t="s">
        <v>20</v>
      </c>
      <c r="E273" s="2">
        <v>2</v>
      </c>
      <c r="F273" t="s">
        <v>31</v>
      </c>
      <c r="G273" s="2">
        <v>60</v>
      </c>
      <c r="H273" s="2">
        <v>5</v>
      </c>
      <c r="I273">
        <v>11</v>
      </c>
      <c r="J273">
        <v>22</v>
      </c>
      <c r="K273" t="s">
        <v>14</v>
      </c>
    </row>
    <row r="274" spans="1:11" x14ac:dyDescent="0.2">
      <c r="A274" t="str">
        <f t="shared" si="4"/>
        <v>Drought_Mucoid_a</v>
      </c>
      <c r="B274" s="2" t="s">
        <v>29</v>
      </c>
      <c r="C274" s="2" t="s">
        <v>12</v>
      </c>
      <c r="D274" s="2" t="s">
        <v>13</v>
      </c>
      <c r="E274">
        <v>1</v>
      </c>
      <c r="F274" s="2" t="s">
        <v>28</v>
      </c>
      <c r="G274" s="2">
        <v>60</v>
      </c>
      <c r="H274" s="2">
        <v>5</v>
      </c>
      <c r="I274" s="2">
        <v>2</v>
      </c>
      <c r="J274" s="2">
        <v>0</v>
      </c>
      <c r="K274" t="s">
        <v>14</v>
      </c>
    </row>
    <row r="275" spans="1:11" x14ac:dyDescent="0.2">
      <c r="A275" t="str">
        <f t="shared" si="4"/>
        <v>Drought_Mucoid_a</v>
      </c>
      <c r="B275" s="2" t="s">
        <v>29</v>
      </c>
      <c r="C275" s="2" t="s">
        <v>12</v>
      </c>
      <c r="D275" s="2" t="s">
        <v>13</v>
      </c>
      <c r="E275">
        <v>2</v>
      </c>
      <c r="F275" s="2" t="s">
        <v>28</v>
      </c>
      <c r="G275" s="2">
        <v>60</v>
      </c>
      <c r="H275" s="2">
        <v>5</v>
      </c>
      <c r="I275" s="2">
        <v>2</v>
      </c>
      <c r="J275" s="2">
        <v>1</v>
      </c>
      <c r="K275" t="s">
        <v>14</v>
      </c>
    </row>
    <row r="276" spans="1:11" x14ac:dyDescent="0.2">
      <c r="A276" t="str">
        <f t="shared" si="4"/>
        <v>Drought_Mucoid_a</v>
      </c>
      <c r="B276" s="2" t="s">
        <v>29</v>
      </c>
      <c r="C276" s="2" t="s">
        <v>12</v>
      </c>
      <c r="D276" s="2" t="s">
        <v>13</v>
      </c>
      <c r="E276">
        <v>3</v>
      </c>
      <c r="F276" s="2" t="s">
        <v>28</v>
      </c>
      <c r="G276" s="2">
        <v>60</v>
      </c>
      <c r="H276" s="2">
        <v>5</v>
      </c>
      <c r="I276" s="2">
        <v>6</v>
      </c>
      <c r="J276" s="2">
        <v>0</v>
      </c>
      <c r="K276" t="s">
        <v>14</v>
      </c>
    </row>
    <row r="277" spans="1:11" x14ac:dyDescent="0.2">
      <c r="A277" t="str">
        <f t="shared" si="4"/>
        <v>Drought_Mucoid_a</v>
      </c>
      <c r="B277" s="2" t="s">
        <v>29</v>
      </c>
      <c r="C277" s="2" t="s">
        <v>12</v>
      </c>
      <c r="D277" s="2" t="s">
        <v>13</v>
      </c>
      <c r="E277">
        <v>4</v>
      </c>
      <c r="F277" s="2" t="s">
        <v>28</v>
      </c>
      <c r="G277" s="2">
        <v>60</v>
      </c>
      <c r="H277" s="2">
        <v>5</v>
      </c>
      <c r="I277" s="2">
        <v>7</v>
      </c>
      <c r="J277" s="2">
        <v>0</v>
      </c>
      <c r="K277" t="s">
        <v>14</v>
      </c>
    </row>
    <row r="278" spans="1:11" x14ac:dyDescent="0.2">
      <c r="A278" t="str">
        <f t="shared" si="4"/>
        <v>Drought_Mucoid_b</v>
      </c>
      <c r="B278" s="2" t="s">
        <v>29</v>
      </c>
      <c r="C278" s="2" t="s">
        <v>12</v>
      </c>
      <c r="D278" s="2" t="s">
        <v>16</v>
      </c>
      <c r="E278">
        <v>1</v>
      </c>
      <c r="F278" s="2" t="s">
        <v>28</v>
      </c>
      <c r="G278" s="2">
        <v>60</v>
      </c>
      <c r="H278" s="2">
        <v>5</v>
      </c>
      <c r="I278" s="2">
        <v>3</v>
      </c>
      <c r="J278" s="2">
        <v>0</v>
      </c>
      <c r="K278" t="s">
        <v>14</v>
      </c>
    </row>
    <row r="279" spans="1:11" x14ac:dyDescent="0.2">
      <c r="A279" t="str">
        <f t="shared" si="4"/>
        <v>Drought_Mucoid_b</v>
      </c>
      <c r="B279" s="2" t="s">
        <v>29</v>
      </c>
      <c r="C279" s="2" t="s">
        <v>12</v>
      </c>
      <c r="D279" s="2" t="s">
        <v>16</v>
      </c>
      <c r="E279">
        <v>2</v>
      </c>
      <c r="F279" s="2" t="s">
        <v>28</v>
      </c>
      <c r="G279" s="2">
        <v>60</v>
      </c>
      <c r="H279" s="2">
        <v>5</v>
      </c>
      <c r="I279" s="2">
        <v>7</v>
      </c>
      <c r="J279" s="2">
        <v>0</v>
      </c>
      <c r="K279" t="s">
        <v>14</v>
      </c>
    </row>
    <row r="280" spans="1:11" x14ac:dyDescent="0.2">
      <c r="A280" t="str">
        <f t="shared" si="4"/>
        <v>Drought_Mucoid_b</v>
      </c>
      <c r="B280" s="2" t="s">
        <v>29</v>
      </c>
      <c r="C280" s="2" t="s">
        <v>12</v>
      </c>
      <c r="D280" s="2" t="s">
        <v>16</v>
      </c>
      <c r="E280">
        <v>3</v>
      </c>
      <c r="F280" s="2" t="s">
        <v>28</v>
      </c>
      <c r="G280" s="2">
        <v>60</v>
      </c>
      <c r="H280" s="2">
        <v>5</v>
      </c>
      <c r="I280" s="2">
        <v>4</v>
      </c>
      <c r="J280" s="2">
        <v>0</v>
      </c>
      <c r="K280" t="s">
        <v>14</v>
      </c>
    </row>
    <row r="281" spans="1:11" x14ac:dyDescent="0.2">
      <c r="A281" t="str">
        <f t="shared" si="4"/>
        <v>Drought_Mucoid_b</v>
      </c>
      <c r="B281" s="2" t="s">
        <v>29</v>
      </c>
      <c r="C281" s="2" t="s">
        <v>12</v>
      </c>
      <c r="D281" s="2" t="s">
        <v>16</v>
      </c>
      <c r="E281">
        <v>4</v>
      </c>
      <c r="F281" s="2" t="s">
        <v>28</v>
      </c>
      <c r="G281" s="2">
        <v>60</v>
      </c>
      <c r="H281" s="2">
        <v>5</v>
      </c>
      <c r="I281" s="2">
        <v>1</v>
      </c>
      <c r="J281" s="2">
        <v>0</v>
      </c>
      <c r="K281" t="s">
        <v>14</v>
      </c>
    </row>
    <row r="282" spans="1:11" x14ac:dyDescent="0.2">
      <c r="A282" t="str">
        <f t="shared" si="4"/>
        <v>Drought_Mucoid_c</v>
      </c>
      <c r="B282" s="2" t="s">
        <v>29</v>
      </c>
      <c r="C282" s="2" t="s">
        <v>12</v>
      </c>
      <c r="D282" s="2" t="s">
        <v>18</v>
      </c>
      <c r="E282">
        <v>1</v>
      </c>
      <c r="F282" s="2" t="s">
        <v>28</v>
      </c>
      <c r="G282" s="2">
        <v>60</v>
      </c>
      <c r="H282" s="2">
        <v>5</v>
      </c>
      <c r="I282" s="2">
        <v>6</v>
      </c>
      <c r="J282" s="2">
        <v>0</v>
      </c>
      <c r="K282" t="s">
        <v>14</v>
      </c>
    </row>
    <row r="283" spans="1:11" x14ac:dyDescent="0.2">
      <c r="A283" t="str">
        <f t="shared" si="4"/>
        <v>Drought_Mucoid_c</v>
      </c>
      <c r="B283" s="2" t="s">
        <v>29</v>
      </c>
      <c r="C283" s="2" t="s">
        <v>12</v>
      </c>
      <c r="D283" s="2" t="s">
        <v>18</v>
      </c>
      <c r="E283">
        <v>2</v>
      </c>
      <c r="F283" s="2" t="s">
        <v>28</v>
      </c>
      <c r="G283" s="2">
        <v>60</v>
      </c>
      <c r="H283" s="2">
        <v>5</v>
      </c>
      <c r="I283" s="2">
        <v>5</v>
      </c>
      <c r="J283" s="2">
        <v>0</v>
      </c>
      <c r="K283" t="s">
        <v>14</v>
      </c>
    </row>
    <row r="284" spans="1:11" x14ac:dyDescent="0.2">
      <c r="A284" t="str">
        <f t="shared" si="4"/>
        <v>Drought_Mucoid_c</v>
      </c>
      <c r="B284" s="2" t="s">
        <v>29</v>
      </c>
      <c r="C284" s="2" t="s">
        <v>12</v>
      </c>
      <c r="D284" s="2" t="s">
        <v>18</v>
      </c>
      <c r="E284">
        <v>3</v>
      </c>
      <c r="F284" s="2" t="s">
        <v>28</v>
      </c>
      <c r="G284" s="2">
        <v>60</v>
      </c>
      <c r="H284" s="2">
        <v>5</v>
      </c>
      <c r="I284" s="2">
        <v>8</v>
      </c>
      <c r="J284" s="2">
        <v>0</v>
      </c>
      <c r="K284" t="s">
        <v>14</v>
      </c>
    </row>
    <row r="285" spans="1:11" x14ac:dyDescent="0.2">
      <c r="A285" t="str">
        <f t="shared" si="4"/>
        <v>Drought_Mucoid_c</v>
      </c>
      <c r="B285" s="2" t="s">
        <v>29</v>
      </c>
      <c r="C285" s="2" t="s">
        <v>12</v>
      </c>
      <c r="D285" s="2" t="s">
        <v>18</v>
      </c>
      <c r="E285">
        <v>4</v>
      </c>
      <c r="F285" s="2" t="s">
        <v>28</v>
      </c>
      <c r="G285" s="2">
        <v>60</v>
      </c>
      <c r="H285" s="2">
        <v>5</v>
      </c>
      <c r="I285" s="2">
        <v>9</v>
      </c>
      <c r="J285" s="2">
        <v>0</v>
      </c>
      <c r="K285" t="s">
        <v>14</v>
      </c>
    </row>
    <row r="286" spans="1:11" x14ac:dyDescent="0.2">
      <c r="A286" t="str">
        <f t="shared" si="4"/>
        <v>Drought_Mucoid_d</v>
      </c>
      <c r="B286" s="2" t="s">
        <v>29</v>
      </c>
      <c r="C286" s="2" t="s">
        <v>12</v>
      </c>
      <c r="D286" s="2" t="s">
        <v>20</v>
      </c>
      <c r="E286">
        <v>1</v>
      </c>
      <c r="F286" s="2" t="s">
        <v>28</v>
      </c>
      <c r="G286" s="2">
        <v>100</v>
      </c>
      <c r="H286" s="2">
        <v>5</v>
      </c>
      <c r="I286" s="2">
        <v>11</v>
      </c>
      <c r="J286" s="2">
        <v>1</v>
      </c>
      <c r="K286" t="s">
        <v>14</v>
      </c>
    </row>
    <row r="287" spans="1:11" x14ac:dyDescent="0.2">
      <c r="A287" t="str">
        <f t="shared" si="4"/>
        <v>Drought_Mucoid_d</v>
      </c>
      <c r="B287" s="2" t="s">
        <v>29</v>
      </c>
      <c r="C287" s="2" t="s">
        <v>12</v>
      </c>
      <c r="D287" s="2" t="s">
        <v>20</v>
      </c>
      <c r="E287">
        <v>2</v>
      </c>
      <c r="F287" s="2" t="s">
        <v>28</v>
      </c>
      <c r="G287" s="2">
        <v>100</v>
      </c>
      <c r="H287" s="2">
        <v>5</v>
      </c>
      <c r="I287" s="2">
        <v>11</v>
      </c>
      <c r="J287" s="2">
        <v>0</v>
      </c>
      <c r="K287" t="s">
        <v>14</v>
      </c>
    </row>
    <row r="288" spans="1:11" x14ac:dyDescent="0.2">
      <c r="A288" t="str">
        <f t="shared" si="4"/>
        <v>Drought_Mucoid_d</v>
      </c>
      <c r="B288" s="2" t="s">
        <v>29</v>
      </c>
      <c r="C288" s="2" t="s">
        <v>12</v>
      </c>
      <c r="D288" s="2" t="s">
        <v>20</v>
      </c>
      <c r="E288">
        <v>3</v>
      </c>
      <c r="F288" s="2" t="s">
        <v>28</v>
      </c>
      <c r="G288" s="2">
        <v>100</v>
      </c>
      <c r="H288" s="2">
        <v>5</v>
      </c>
      <c r="I288" s="2">
        <v>15</v>
      </c>
      <c r="J288" s="2">
        <v>2</v>
      </c>
      <c r="K288" t="s">
        <v>14</v>
      </c>
    </row>
    <row r="289" spans="1:11" x14ac:dyDescent="0.2">
      <c r="A289" t="str">
        <f t="shared" si="4"/>
        <v>Drought_Mucoid_d</v>
      </c>
      <c r="B289" s="2" t="s">
        <v>29</v>
      </c>
      <c r="C289" s="2" t="s">
        <v>12</v>
      </c>
      <c r="D289" s="2" t="s">
        <v>20</v>
      </c>
      <c r="E289">
        <v>4</v>
      </c>
      <c r="F289" s="2" t="s">
        <v>28</v>
      </c>
      <c r="G289" s="2">
        <v>100</v>
      </c>
      <c r="H289" s="2">
        <v>5</v>
      </c>
      <c r="I289" s="2">
        <v>12</v>
      </c>
      <c r="J289" s="2">
        <v>2</v>
      </c>
      <c r="K289" t="s">
        <v>14</v>
      </c>
    </row>
    <row r="290" spans="1:11" x14ac:dyDescent="0.2">
      <c r="A290" t="str">
        <f t="shared" si="4"/>
        <v>Drought_Mucoid_e</v>
      </c>
      <c r="B290" s="2" t="s">
        <v>29</v>
      </c>
      <c r="C290" s="2" t="s">
        <v>12</v>
      </c>
      <c r="D290" s="2" t="s">
        <v>21</v>
      </c>
      <c r="E290">
        <v>1</v>
      </c>
      <c r="F290" s="2" t="s">
        <v>28</v>
      </c>
      <c r="G290" s="2">
        <v>60</v>
      </c>
      <c r="H290" s="2">
        <v>5</v>
      </c>
      <c r="I290" s="2">
        <v>7</v>
      </c>
      <c r="J290" s="2">
        <v>1</v>
      </c>
      <c r="K290" t="s">
        <v>14</v>
      </c>
    </row>
    <row r="291" spans="1:11" x14ac:dyDescent="0.2">
      <c r="A291" t="str">
        <f t="shared" si="4"/>
        <v>Drought_Mucoid_e</v>
      </c>
      <c r="B291" s="2" t="s">
        <v>29</v>
      </c>
      <c r="C291" s="2" t="s">
        <v>12</v>
      </c>
      <c r="D291" s="2" t="s">
        <v>21</v>
      </c>
      <c r="E291">
        <v>2</v>
      </c>
      <c r="F291" s="2" t="s">
        <v>28</v>
      </c>
      <c r="G291" s="2">
        <v>60</v>
      </c>
      <c r="H291" s="2">
        <v>5</v>
      </c>
      <c r="I291" s="2">
        <v>7</v>
      </c>
      <c r="J291" s="2">
        <v>0</v>
      </c>
      <c r="K291" t="s">
        <v>14</v>
      </c>
    </row>
    <row r="292" spans="1:11" x14ac:dyDescent="0.2">
      <c r="A292" t="str">
        <f t="shared" si="4"/>
        <v>Drought_Mucoid_e</v>
      </c>
      <c r="B292" s="2" t="s">
        <v>29</v>
      </c>
      <c r="C292" s="2" t="s">
        <v>12</v>
      </c>
      <c r="D292" s="2" t="s">
        <v>21</v>
      </c>
      <c r="E292">
        <v>3</v>
      </c>
      <c r="F292" s="2" t="s">
        <v>28</v>
      </c>
      <c r="G292" s="2">
        <v>60</v>
      </c>
      <c r="H292" s="2">
        <v>5</v>
      </c>
      <c r="I292" s="2">
        <v>2</v>
      </c>
      <c r="J292" s="2">
        <v>2</v>
      </c>
      <c r="K292" t="s">
        <v>14</v>
      </c>
    </row>
    <row r="293" spans="1:11" x14ac:dyDescent="0.2">
      <c r="A293" t="str">
        <f t="shared" si="4"/>
        <v>Drought_Mucoid_e</v>
      </c>
      <c r="B293" s="2" t="s">
        <v>29</v>
      </c>
      <c r="C293" s="2" t="s">
        <v>12</v>
      </c>
      <c r="D293" s="2" t="s">
        <v>21</v>
      </c>
      <c r="E293">
        <v>4</v>
      </c>
      <c r="F293" s="2" t="s">
        <v>28</v>
      </c>
      <c r="G293" s="2">
        <v>60</v>
      </c>
      <c r="H293" s="2">
        <v>5</v>
      </c>
      <c r="I293" s="2">
        <v>5</v>
      </c>
      <c r="J293" s="2">
        <v>1</v>
      </c>
      <c r="K293" t="s">
        <v>14</v>
      </c>
    </row>
    <row r="294" spans="1:11" x14ac:dyDescent="0.2">
      <c r="A294" t="str">
        <f t="shared" si="4"/>
        <v>Drought_Dry_a</v>
      </c>
      <c r="B294" s="2" t="s">
        <v>29</v>
      </c>
      <c r="C294" s="2" t="s">
        <v>23</v>
      </c>
      <c r="D294" s="2" t="s">
        <v>13</v>
      </c>
      <c r="E294">
        <v>1</v>
      </c>
      <c r="F294" s="2" t="s">
        <v>28</v>
      </c>
      <c r="G294" s="2">
        <v>60</v>
      </c>
      <c r="H294" s="2">
        <v>5</v>
      </c>
      <c r="I294" s="2">
        <v>0</v>
      </c>
      <c r="J294" s="2">
        <v>12</v>
      </c>
      <c r="K294" t="s">
        <v>14</v>
      </c>
    </row>
    <row r="295" spans="1:11" x14ac:dyDescent="0.2">
      <c r="A295" t="str">
        <f t="shared" si="4"/>
        <v>Drought_Dry_a</v>
      </c>
      <c r="B295" s="2" t="s">
        <v>29</v>
      </c>
      <c r="C295" s="2" t="s">
        <v>23</v>
      </c>
      <c r="D295" s="2" t="s">
        <v>13</v>
      </c>
      <c r="E295">
        <v>2</v>
      </c>
      <c r="F295" s="2" t="s">
        <v>28</v>
      </c>
      <c r="G295" s="2">
        <v>60</v>
      </c>
      <c r="H295" s="2">
        <v>5</v>
      </c>
      <c r="I295" s="2">
        <v>0</v>
      </c>
      <c r="J295" s="2">
        <v>14</v>
      </c>
      <c r="K295" t="s">
        <v>14</v>
      </c>
    </row>
    <row r="296" spans="1:11" x14ac:dyDescent="0.2">
      <c r="A296" t="str">
        <f t="shared" si="4"/>
        <v>Drought_Dry_a</v>
      </c>
      <c r="B296" s="2" t="s">
        <v>29</v>
      </c>
      <c r="C296" s="2" t="s">
        <v>23</v>
      </c>
      <c r="D296" s="2" t="s">
        <v>13</v>
      </c>
      <c r="E296">
        <v>3</v>
      </c>
      <c r="F296" s="2" t="s">
        <v>28</v>
      </c>
      <c r="G296" s="2">
        <v>60</v>
      </c>
      <c r="H296" s="2">
        <v>5</v>
      </c>
      <c r="I296" s="2">
        <v>0</v>
      </c>
      <c r="J296" s="2">
        <v>9</v>
      </c>
      <c r="K296" t="s">
        <v>14</v>
      </c>
    </row>
    <row r="297" spans="1:11" x14ac:dyDescent="0.2">
      <c r="A297" t="str">
        <f t="shared" si="4"/>
        <v>Drought_Dry_a</v>
      </c>
      <c r="B297" s="2" t="s">
        <v>29</v>
      </c>
      <c r="C297" s="2" t="s">
        <v>23</v>
      </c>
      <c r="D297" s="2" t="s">
        <v>13</v>
      </c>
      <c r="E297">
        <v>4</v>
      </c>
      <c r="F297" s="2" t="s">
        <v>28</v>
      </c>
      <c r="G297" s="2">
        <v>60</v>
      </c>
      <c r="H297" s="2">
        <v>5</v>
      </c>
      <c r="I297" s="2">
        <v>0</v>
      </c>
      <c r="J297" s="2">
        <v>10</v>
      </c>
      <c r="K297" t="s">
        <v>14</v>
      </c>
    </row>
    <row r="298" spans="1:11" x14ac:dyDescent="0.2">
      <c r="A298" t="str">
        <f t="shared" si="4"/>
        <v>Drought_Dry_b</v>
      </c>
      <c r="B298" s="2" t="s">
        <v>29</v>
      </c>
      <c r="C298" s="2" t="s">
        <v>23</v>
      </c>
      <c r="D298" s="2" t="s">
        <v>16</v>
      </c>
      <c r="E298">
        <v>1</v>
      </c>
      <c r="F298" s="2" t="s">
        <v>28</v>
      </c>
      <c r="G298" s="2">
        <v>60</v>
      </c>
      <c r="H298" s="2">
        <v>5</v>
      </c>
      <c r="I298" s="2">
        <v>0</v>
      </c>
      <c r="J298" s="2">
        <v>8</v>
      </c>
      <c r="K298" t="s">
        <v>14</v>
      </c>
    </row>
    <row r="299" spans="1:11" x14ac:dyDescent="0.2">
      <c r="A299" t="str">
        <f t="shared" si="4"/>
        <v>Drought_Dry_b</v>
      </c>
      <c r="B299" s="2" t="s">
        <v>29</v>
      </c>
      <c r="C299" s="2" t="s">
        <v>23</v>
      </c>
      <c r="D299" s="2" t="s">
        <v>16</v>
      </c>
      <c r="E299">
        <v>2</v>
      </c>
      <c r="F299" s="2" t="s">
        <v>28</v>
      </c>
      <c r="G299" s="2">
        <v>60</v>
      </c>
      <c r="H299" s="2">
        <v>5</v>
      </c>
      <c r="I299" s="2">
        <v>0</v>
      </c>
      <c r="J299" s="2">
        <v>11</v>
      </c>
      <c r="K299" t="s">
        <v>14</v>
      </c>
    </row>
    <row r="300" spans="1:11" x14ac:dyDescent="0.2">
      <c r="A300" t="str">
        <f t="shared" si="4"/>
        <v>Drought_Dry_b</v>
      </c>
      <c r="B300" s="2" t="s">
        <v>29</v>
      </c>
      <c r="C300" s="2" t="s">
        <v>23</v>
      </c>
      <c r="D300" s="2" t="s">
        <v>16</v>
      </c>
      <c r="E300">
        <v>3</v>
      </c>
      <c r="F300" s="2" t="s">
        <v>28</v>
      </c>
      <c r="G300" s="2">
        <v>60</v>
      </c>
      <c r="H300" s="2">
        <v>5</v>
      </c>
      <c r="I300" s="2">
        <v>0</v>
      </c>
      <c r="J300" s="2">
        <v>10</v>
      </c>
      <c r="K300" t="s">
        <v>14</v>
      </c>
    </row>
    <row r="301" spans="1:11" x14ac:dyDescent="0.2">
      <c r="A301" t="str">
        <f t="shared" si="4"/>
        <v>Drought_Dry_b</v>
      </c>
      <c r="B301" s="2" t="s">
        <v>29</v>
      </c>
      <c r="C301" s="2" t="s">
        <v>23</v>
      </c>
      <c r="D301" s="2" t="s">
        <v>16</v>
      </c>
      <c r="E301">
        <v>4</v>
      </c>
      <c r="F301" s="2" t="s">
        <v>28</v>
      </c>
      <c r="G301" s="2">
        <v>60</v>
      </c>
      <c r="H301" s="2">
        <v>5</v>
      </c>
      <c r="I301" s="2">
        <v>0</v>
      </c>
      <c r="J301" s="2">
        <v>8</v>
      </c>
      <c r="K301" t="s">
        <v>14</v>
      </c>
    </row>
    <row r="302" spans="1:11" x14ac:dyDescent="0.2">
      <c r="A302" t="str">
        <f t="shared" si="4"/>
        <v>Drought_Dry_c</v>
      </c>
      <c r="B302" s="2" t="s">
        <v>29</v>
      </c>
      <c r="C302" s="2" t="s">
        <v>23</v>
      </c>
      <c r="D302" s="2" t="s">
        <v>18</v>
      </c>
      <c r="E302">
        <v>1</v>
      </c>
      <c r="F302" s="2" t="s">
        <v>28</v>
      </c>
      <c r="G302" s="2">
        <v>60</v>
      </c>
      <c r="H302" s="2">
        <v>5</v>
      </c>
      <c r="I302" s="2">
        <v>0</v>
      </c>
      <c r="J302" s="2">
        <v>9</v>
      </c>
      <c r="K302" t="s">
        <v>14</v>
      </c>
    </row>
    <row r="303" spans="1:11" x14ac:dyDescent="0.2">
      <c r="A303" t="str">
        <f t="shared" si="4"/>
        <v>Drought_Dry_c</v>
      </c>
      <c r="B303" s="2" t="s">
        <v>29</v>
      </c>
      <c r="C303" s="2" t="s">
        <v>23</v>
      </c>
      <c r="D303" s="2" t="s">
        <v>18</v>
      </c>
      <c r="E303">
        <v>2</v>
      </c>
      <c r="F303" s="2" t="s">
        <v>28</v>
      </c>
      <c r="G303" s="2">
        <v>60</v>
      </c>
      <c r="H303" s="2">
        <v>5</v>
      </c>
      <c r="I303" s="2">
        <v>0</v>
      </c>
      <c r="J303" s="2">
        <v>5</v>
      </c>
      <c r="K303" t="s">
        <v>14</v>
      </c>
    </row>
    <row r="304" spans="1:11" x14ac:dyDescent="0.2">
      <c r="A304" t="str">
        <f t="shared" si="4"/>
        <v>Drought_Dry_c</v>
      </c>
      <c r="B304" s="2" t="s">
        <v>29</v>
      </c>
      <c r="C304" s="2" t="s">
        <v>23</v>
      </c>
      <c r="D304" s="2" t="s">
        <v>18</v>
      </c>
      <c r="E304">
        <v>3</v>
      </c>
      <c r="F304" s="2" t="s">
        <v>28</v>
      </c>
      <c r="G304" s="2">
        <v>60</v>
      </c>
      <c r="H304" s="2">
        <v>5</v>
      </c>
      <c r="I304" s="2">
        <v>0</v>
      </c>
      <c r="J304" s="2">
        <v>6</v>
      </c>
      <c r="K304" t="s">
        <v>14</v>
      </c>
    </row>
    <row r="305" spans="1:11" x14ac:dyDescent="0.2">
      <c r="A305" t="str">
        <f t="shared" si="4"/>
        <v>Drought_Dry_c</v>
      </c>
      <c r="B305" s="2" t="s">
        <v>29</v>
      </c>
      <c r="C305" s="2" t="s">
        <v>23</v>
      </c>
      <c r="D305" s="2" t="s">
        <v>18</v>
      </c>
      <c r="E305">
        <v>4</v>
      </c>
      <c r="F305" s="2" t="s">
        <v>28</v>
      </c>
      <c r="G305" s="2">
        <v>60</v>
      </c>
      <c r="H305" s="2">
        <v>5</v>
      </c>
      <c r="I305" s="2">
        <v>0</v>
      </c>
      <c r="J305" s="2">
        <v>7</v>
      </c>
      <c r="K305" t="s">
        <v>14</v>
      </c>
    </row>
    <row r="306" spans="1:11" x14ac:dyDescent="0.2">
      <c r="A306" t="str">
        <f t="shared" si="4"/>
        <v>Drought_Dry_d</v>
      </c>
      <c r="B306" s="2" t="s">
        <v>29</v>
      </c>
      <c r="C306" s="2" t="s">
        <v>23</v>
      </c>
      <c r="D306" s="2" t="s">
        <v>20</v>
      </c>
      <c r="E306">
        <v>1</v>
      </c>
      <c r="F306" s="2" t="s">
        <v>28</v>
      </c>
      <c r="G306" s="2">
        <v>60</v>
      </c>
      <c r="H306" s="2">
        <v>5</v>
      </c>
      <c r="I306" s="2">
        <v>0</v>
      </c>
      <c r="J306" s="2">
        <v>14</v>
      </c>
      <c r="K306" t="s">
        <v>14</v>
      </c>
    </row>
    <row r="307" spans="1:11" x14ac:dyDescent="0.2">
      <c r="A307" t="str">
        <f t="shared" si="4"/>
        <v>Drought_Dry_d</v>
      </c>
      <c r="B307" s="2" t="s">
        <v>29</v>
      </c>
      <c r="C307" s="2" t="s">
        <v>23</v>
      </c>
      <c r="D307" s="2" t="s">
        <v>20</v>
      </c>
      <c r="E307">
        <v>2</v>
      </c>
      <c r="F307" s="2" t="s">
        <v>28</v>
      </c>
      <c r="G307" s="2">
        <v>60</v>
      </c>
      <c r="H307" s="2">
        <v>5</v>
      </c>
      <c r="I307" s="2">
        <v>0</v>
      </c>
      <c r="J307" s="2">
        <v>9</v>
      </c>
      <c r="K307" t="s">
        <v>14</v>
      </c>
    </row>
    <row r="308" spans="1:11" x14ac:dyDescent="0.2">
      <c r="A308" t="str">
        <f t="shared" si="4"/>
        <v>Drought_Dry_d</v>
      </c>
      <c r="B308" s="2" t="s">
        <v>29</v>
      </c>
      <c r="C308" s="2" t="s">
        <v>23</v>
      </c>
      <c r="D308" s="2" t="s">
        <v>20</v>
      </c>
      <c r="E308">
        <v>3</v>
      </c>
      <c r="F308" s="2" t="s">
        <v>28</v>
      </c>
      <c r="G308" s="2">
        <v>60</v>
      </c>
      <c r="H308" s="2">
        <v>5</v>
      </c>
      <c r="I308" s="2">
        <v>0</v>
      </c>
      <c r="J308" s="2">
        <v>13</v>
      </c>
      <c r="K308" t="s">
        <v>14</v>
      </c>
    </row>
    <row r="309" spans="1:11" x14ac:dyDescent="0.2">
      <c r="A309" t="str">
        <f t="shared" si="4"/>
        <v>Drought_Dry_d</v>
      </c>
      <c r="B309" s="2" t="s">
        <v>29</v>
      </c>
      <c r="C309" s="2" t="s">
        <v>23</v>
      </c>
      <c r="D309" s="2" t="s">
        <v>20</v>
      </c>
      <c r="E309">
        <v>4</v>
      </c>
      <c r="F309" s="2" t="s">
        <v>28</v>
      </c>
      <c r="G309" s="2">
        <v>60</v>
      </c>
      <c r="H309" s="2">
        <v>5</v>
      </c>
      <c r="I309" s="2">
        <v>0</v>
      </c>
      <c r="J309" s="2">
        <v>15</v>
      </c>
      <c r="K309" t="s">
        <v>14</v>
      </c>
    </row>
    <row r="310" spans="1:11" x14ac:dyDescent="0.2">
      <c r="A310" t="str">
        <f t="shared" si="4"/>
        <v>Drought_Dry_e</v>
      </c>
      <c r="B310" s="2" t="s">
        <v>29</v>
      </c>
      <c r="C310" s="2" t="s">
        <v>23</v>
      </c>
      <c r="D310" s="2" t="s">
        <v>21</v>
      </c>
      <c r="E310">
        <v>1</v>
      </c>
      <c r="F310" s="2" t="s">
        <v>28</v>
      </c>
      <c r="G310" s="2">
        <v>60</v>
      </c>
      <c r="H310" s="2">
        <v>5</v>
      </c>
      <c r="I310" s="2">
        <v>0</v>
      </c>
      <c r="J310" s="2">
        <v>10</v>
      </c>
      <c r="K310" t="s">
        <v>14</v>
      </c>
    </row>
    <row r="311" spans="1:11" x14ac:dyDescent="0.2">
      <c r="A311" t="str">
        <f t="shared" si="4"/>
        <v>Drought_Dry_e</v>
      </c>
      <c r="B311" s="2" t="s">
        <v>29</v>
      </c>
      <c r="C311" s="2" t="s">
        <v>23</v>
      </c>
      <c r="D311" s="2" t="s">
        <v>21</v>
      </c>
      <c r="E311">
        <v>2</v>
      </c>
      <c r="F311" s="2" t="s">
        <v>28</v>
      </c>
      <c r="G311" s="2">
        <v>60</v>
      </c>
      <c r="H311" s="2">
        <v>5</v>
      </c>
      <c r="I311" s="2">
        <v>0</v>
      </c>
      <c r="J311" s="2">
        <v>15</v>
      </c>
      <c r="K311" t="s">
        <v>14</v>
      </c>
    </row>
    <row r="312" spans="1:11" x14ac:dyDescent="0.2">
      <c r="A312" t="str">
        <f t="shared" si="4"/>
        <v>Drought_Dry_e</v>
      </c>
      <c r="B312" s="2" t="s">
        <v>29</v>
      </c>
      <c r="C312" s="2" t="s">
        <v>23</v>
      </c>
      <c r="D312" s="2" t="s">
        <v>21</v>
      </c>
      <c r="E312">
        <v>3</v>
      </c>
      <c r="F312" s="2" t="s">
        <v>28</v>
      </c>
      <c r="G312" s="2">
        <v>60</v>
      </c>
      <c r="H312" s="2">
        <v>5</v>
      </c>
      <c r="I312" s="2">
        <v>0</v>
      </c>
      <c r="J312" s="2">
        <v>13</v>
      </c>
      <c r="K312" t="s">
        <v>14</v>
      </c>
    </row>
    <row r="313" spans="1:11" x14ac:dyDescent="0.2">
      <c r="A313" t="str">
        <f t="shared" si="4"/>
        <v>Drought_Dry_e</v>
      </c>
      <c r="B313" s="2" t="s">
        <v>29</v>
      </c>
      <c r="C313" s="2" t="s">
        <v>23</v>
      </c>
      <c r="D313" s="2" t="s">
        <v>21</v>
      </c>
      <c r="E313">
        <v>4</v>
      </c>
      <c r="F313" s="2" t="s">
        <v>28</v>
      </c>
      <c r="G313" s="2">
        <v>60</v>
      </c>
      <c r="H313" s="2">
        <v>5</v>
      </c>
      <c r="I313" s="2">
        <v>0</v>
      </c>
      <c r="J313" s="2">
        <v>15</v>
      </c>
      <c r="K313" t="s">
        <v>14</v>
      </c>
    </row>
    <row r="314" spans="1:11" x14ac:dyDescent="0.2">
      <c r="A314" t="str">
        <f t="shared" si="4"/>
        <v>Drought_Mixture_a</v>
      </c>
      <c r="B314" s="2" t="s">
        <v>29</v>
      </c>
      <c r="C314" s="2" t="s">
        <v>27</v>
      </c>
      <c r="D314" s="2" t="s">
        <v>13</v>
      </c>
      <c r="E314">
        <v>1</v>
      </c>
      <c r="F314" s="2" t="s">
        <v>28</v>
      </c>
      <c r="G314" s="2">
        <v>60</v>
      </c>
      <c r="H314" s="2">
        <v>5</v>
      </c>
      <c r="I314" s="2">
        <v>2</v>
      </c>
      <c r="J314" s="2">
        <v>0</v>
      </c>
      <c r="K314" t="s">
        <v>14</v>
      </c>
    </row>
    <row r="315" spans="1:11" x14ac:dyDescent="0.2">
      <c r="A315" t="str">
        <f t="shared" si="4"/>
        <v>Drought_Mixture_a</v>
      </c>
      <c r="B315" s="2" t="s">
        <v>29</v>
      </c>
      <c r="C315" s="2" t="s">
        <v>27</v>
      </c>
      <c r="D315" s="2" t="s">
        <v>13</v>
      </c>
      <c r="E315">
        <v>2</v>
      </c>
      <c r="F315" s="2" t="s">
        <v>28</v>
      </c>
      <c r="G315" s="2">
        <v>60</v>
      </c>
      <c r="H315" s="2">
        <v>5</v>
      </c>
      <c r="I315" s="2">
        <v>2</v>
      </c>
      <c r="J315" s="2">
        <v>0</v>
      </c>
      <c r="K315" t="s">
        <v>14</v>
      </c>
    </row>
    <row r="316" spans="1:11" x14ac:dyDescent="0.2">
      <c r="A316" t="str">
        <f t="shared" si="4"/>
        <v>Drought_Mixture_a</v>
      </c>
      <c r="B316" s="2" t="s">
        <v>29</v>
      </c>
      <c r="C316" s="2" t="s">
        <v>27</v>
      </c>
      <c r="D316" s="2" t="s">
        <v>13</v>
      </c>
      <c r="E316">
        <v>3</v>
      </c>
      <c r="F316" s="2" t="s">
        <v>28</v>
      </c>
      <c r="G316" s="2">
        <v>60</v>
      </c>
      <c r="H316" s="2">
        <v>5</v>
      </c>
      <c r="I316" s="2">
        <v>2</v>
      </c>
      <c r="J316" s="2">
        <v>2</v>
      </c>
      <c r="K316" t="s">
        <v>14</v>
      </c>
    </row>
    <row r="317" spans="1:11" x14ac:dyDescent="0.2">
      <c r="A317" t="str">
        <f t="shared" si="4"/>
        <v>Drought_Mixture_a</v>
      </c>
      <c r="B317" s="2" t="s">
        <v>29</v>
      </c>
      <c r="C317" s="2" t="s">
        <v>27</v>
      </c>
      <c r="D317" s="2" t="s">
        <v>13</v>
      </c>
      <c r="E317">
        <v>4</v>
      </c>
      <c r="F317" s="2" t="s">
        <v>28</v>
      </c>
      <c r="G317" s="2">
        <v>60</v>
      </c>
      <c r="H317" s="2">
        <v>5</v>
      </c>
      <c r="I317" s="2">
        <v>5</v>
      </c>
      <c r="J317" s="2">
        <v>0</v>
      </c>
      <c r="K317" t="s">
        <v>14</v>
      </c>
    </row>
    <row r="318" spans="1:11" x14ac:dyDescent="0.2">
      <c r="A318" t="str">
        <f t="shared" si="4"/>
        <v>Drought_Mixture_b</v>
      </c>
      <c r="B318" s="2" t="s">
        <v>29</v>
      </c>
      <c r="C318" s="2" t="s">
        <v>27</v>
      </c>
      <c r="D318" s="2" t="s">
        <v>16</v>
      </c>
      <c r="E318">
        <v>1</v>
      </c>
      <c r="F318" s="2" t="s">
        <v>28</v>
      </c>
      <c r="G318" s="2">
        <v>60</v>
      </c>
      <c r="H318" s="2">
        <v>5</v>
      </c>
      <c r="I318" s="2">
        <v>1</v>
      </c>
      <c r="J318" s="2">
        <v>2</v>
      </c>
      <c r="K318" t="s">
        <v>14</v>
      </c>
    </row>
    <row r="319" spans="1:11" x14ac:dyDescent="0.2">
      <c r="A319" t="str">
        <f t="shared" si="4"/>
        <v>Drought_Mixture_b</v>
      </c>
      <c r="B319" s="2" t="s">
        <v>29</v>
      </c>
      <c r="C319" s="2" t="s">
        <v>27</v>
      </c>
      <c r="D319" s="2" t="s">
        <v>16</v>
      </c>
      <c r="E319">
        <v>2</v>
      </c>
      <c r="F319" s="2" t="s">
        <v>28</v>
      </c>
      <c r="G319" s="2">
        <v>60</v>
      </c>
      <c r="H319" s="2">
        <v>5</v>
      </c>
      <c r="I319" s="2">
        <v>3</v>
      </c>
      <c r="J319" s="2">
        <v>4</v>
      </c>
      <c r="K319" t="s">
        <v>14</v>
      </c>
    </row>
    <row r="320" spans="1:11" x14ac:dyDescent="0.2">
      <c r="A320" t="str">
        <f t="shared" si="4"/>
        <v>Drought_Mixture_b</v>
      </c>
      <c r="B320" s="2" t="s">
        <v>29</v>
      </c>
      <c r="C320" s="2" t="s">
        <v>27</v>
      </c>
      <c r="D320" s="2" t="s">
        <v>16</v>
      </c>
      <c r="E320">
        <v>3</v>
      </c>
      <c r="F320" s="2" t="s">
        <v>28</v>
      </c>
      <c r="G320" s="2">
        <v>60</v>
      </c>
      <c r="H320" s="2">
        <v>5</v>
      </c>
      <c r="I320" s="2">
        <v>5</v>
      </c>
      <c r="J320" s="2">
        <v>1</v>
      </c>
      <c r="K320" t="s">
        <v>14</v>
      </c>
    </row>
    <row r="321" spans="1:11" x14ac:dyDescent="0.2">
      <c r="A321" t="str">
        <f t="shared" si="4"/>
        <v>Drought_Mixture_b</v>
      </c>
      <c r="B321" s="2" t="s">
        <v>29</v>
      </c>
      <c r="C321" s="2" t="s">
        <v>27</v>
      </c>
      <c r="D321" s="2" t="s">
        <v>16</v>
      </c>
      <c r="E321">
        <v>4</v>
      </c>
      <c r="F321" s="2" t="s">
        <v>28</v>
      </c>
      <c r="G321" s="2">
        <v>60</v>
      </c>
      <c r="H321" s="2">
        <v>5</v>
      </c>
      <c r="I321" s="2">
        <v>2</v>
      </c>
      <c r="J321" s="2">
        <v>2</v>
      </c>
      <c r="K321" t="s">
        <v>14</v>
      </c>
    </row>
    <row r="322" spans="1:11" x14ac:dyDescent="0.2">
      <c r="A322" t="str">
        <f t="shared" si="4"/>
        <v>Drought_Mixture_c</v>
      </c>
      <c r="B322" s="2" t="s">
        <v>29</v>
      </c>
      <c r="C322" s="2" t="s">
        <v>27</v>
      </c>
      <c r="D322" s="2" t="s">
        <v>18</v>
      </c>
      <c r="E322">
        <v>1</v>
      </c>
      <c r="F322" s="2" t="s">
        <v>28</v>
      </c>
      <c r="G322" s="2"/>
      <c r="H322" s="2"/>
      <c r="I322" s="2"/>
      <c r="J322" s="2"/>
      <c r="K322" t="s">
        <v>14</v>
      </c>
    </row>
    <row r="323" spans="1:11" x14ac:dyDescent="0.2">
      <c r="A323" t="str">
        <f t="shared" ref="A323:A386" si="5">_xlfn.CONCAT(B323,"_",C323,"_",D323)</f>
        <v>Drought_Mixture_c</v>
      </c>
      <c r="B323" s="2" t="s">
        <v>29</v>
      </c>
      <c r="C323" s="2" t="s">
        <v>27</v>
      </c>
      <c r="D323" s="2" t="s">
        <v>18</v>
      </c>
      <c r="E323">
        <v>2</v>
      </c>
      <c r="F323" s="2" t="s">
        <v>28</v>
      </c>
      <c r="G323" s="2">
        <v>60</v>
      </c>
      <c r="H323" s="2">
        <v>5</v>
      </c>
      <c r="I323" s="2">
        <v>0</v>
      </c>
      <c r="J323" s="2">
        <v>4</v>
      </c>
      <c r="K323" t="s">
        <v>14</v>
      </c>
    </row>
    <row r="324" spans="1:11" x14ac:dyDescent="0.2">
      <c r="A324" t="str">
        <f t="shared" si="5"/>
        <v>Drought_Mixture_c</v>
      </c>
      <c r="B324" s="2" t="s">
        <v>29</v>
      </c>
      <c r="C324" s="2" t="s">
        <v>27</v>
      </c>
      <c r="D324" s="2" t="s">
        <v>18</v>
      </c>
      <c r="E324">
        <v>3</v>
      </c>
      <c r="F324" s="2" t="s">
        <v>28</v>
      </c>
      <c r="G324" s="2">
        <v>60</v>
      </c>
      <c r="H324" s="2">
        <v>5</v>
      </c>
      <c r="I324" s="2">
        <v>2</v>
      </c>
      <c r="J324" s="2">
        <v>3</v>
      </c>
      <c r="K324" t="s">
        <v>14</v>
      </c>
    </row>
    <row r="325" spans="1:11" x14ac:dyDescent="0.2">
      <c r="A325" t="str">
        <f t="shared" si="5"/>
        <v>Drought_Mixture_c</v>
      </c>
      <c r="B325" s="2" t="s">
        <v>29</v>
      </c>
      <c r="C325" s="2" t="s">
        <v>27</v>
      </c>
      <c r="D325" s="2" t="s">
        <v>18</v>
      </c>
      <c r="E325">
        <v>4</v>
      </c>
      <c r="F325" s="2" t="s">
        <v>28</v>
      </c>
      <c r="G325" s="2">
        <v>60</v>
      </c>
      <c r="H325" s="2">
        <v>5</v>
      </c>
      <c r="I325" s="2">
        <v>1</v>
      </c>
      <c r="J325" s="2">
        <v>5</v>
      </c>
      <c r="K325" t="s">
        <v>14</v>
      </c>
    </row>
    <row r="326" spans="1:11" x14ac:dyDescent="0.2">
      <c r="A326" t="str">
        <f t="shared" si="5"/>
        <v>Drought_Mixture_d</v>
      </c>
      <c r="B326" s="2" t="s">
        <v>29</v>
      </c>
      <c r="C326" s="2" t="s">
        <v>27</v>
      </c>
      <c r="D326" s="2" t="s">
        <v>20</v>
      </c>
      <c r="E326">
        <v>1</v>
      </c>
      <c r="F326" s="2" t="s">
        <v>28</v>
      </c>
      <c r="G326" s="2">
        <v>60</v>
      </c>
      <c r="H326" s="2">
        <v>5</v>
      </c>
      <c r="I326" s="2">
        <v>2</v>
      </c>
      <c r="J326" s="2">
        <v>6</v>
      </c>
      <c r="K326" t="s">
        <v>14</v>
      </c>
    </row>
    <row r="327" spans="1:11" x14ac:dyDescent="0.2">
      <c r="A327" t="str">
        <f t="shared" si="5"/>
        <v>Drought_Mixture_d</v>
      </c>
      <c r="B327" s="2" t="s">
        <v>29</v>
      </c>
      <c r="C327" s="2" t="s">
        <v>27</v>
      </c>
      <c r="D327" s="2" t="s">
        <v>20</v>
      </c>
      <c r="E327">
        <v>2</v>
      </c>
      <c r="F327" s="2" t="s">
        <v>28</v>
      </c>
      <c r="G327" s="2">
        <v>60</v>
      </c>
      <c r="H327" s="2">
        <v>5</v>
      </c>
      <c r="I327" s="2">
        <v>3</v>
      </c>
      <c r="J327" s="2">
        <v>4</v>
      </c>
      <c r="K327" t="s">
        <v>14</v>
      </c>
    </row>
    <row r="328" spans="1:11" x14ac:dyDescent="0.2">
      <c r="A328" t="str">
        <f t="shared" si="5"/>
        <v>Drought_Mixture_d</v>
      </c>
      <c r="B328" s="2" t="s">
        <v>29</v>
      </c>
      <c r="C328" s="2" t="s">
        <v>27</v>
      </c>
      <c r="D328" s="2" t="s">
        <v>20</v>
      </c>
      <c r="E328">
        <v>3</v>
      </c>
      <c r="F328" s="2" t="s">
        <v>28</v>
      </c>
      <c r="G328" s="2">
        <v>60</v>
      </c>
      <c r="H328" s="2">
        <v>5</v>
      </c>
      <c r="I328" s="2">
        <v>4</v>
      </c>
      <c r="J328" s="2">
        <v>4</v>
      </c>
      <c r="K328" t="s">
        <v>14</v>
      </c>
    </row>
    <row r="329" spans="1:11" x14ac:dyDescent="0.2">
      <c r="A329" t="str">
        <f t="shared" si="5"/>
        <v>Drought_Mixture_d</v>
      </c>
      <c r="B329" s="2" t="s">
        <v>29</v>
      </c>
      <c r="C329" s="2" t="s">
        <v>27</v>
      </c>
      <c r="D329" s="2" t="s">
        <v>20</v>
      </c>
      <c r="E329">
        <v>4</v>
      </c>
      <c r="F329" s="2" t="s">
        <v>28</v>
      </c>
      <c r="G329" s="2">
        <v>60</v>
      </c>
      <c r="H329" s="2">
        <v>5</v>
      </c>
      <c r="I329" s="2">
        <v>4</v>
      </c>
      <c r="J329" s="2">
        <v>6</v>
      </c>
      <c r="K329" t="s">
        <v>14</v>
      </c>
    </row>
    <row r="330" spans="1:11" x14ac:dyDescent="0.2">
      <c r="A330" t="str">
        <f t="shared" si="5"/>
        <v>Drought_Mixture_e</v>
      </c>
      <c r="B330" s="2" t="s">
        <v>29</v>
      </c>
      <c r="C330" s="2" t="s">
        <v>27</v>
      </c>
      <c r="D330" s="2" t="s">
        <v>21</v>
      </c>
      <c r="E330">
        <v>1</v>
      </c>
      <c r="F330" s="2" t="s">
        <v>28</v>
      </c>
      <c r="G330" s="2">
        <v>60</v>
      </c>
      <c r="H330" s="2">
        <v>5</v>
      </c>
      <c r="I330" s="2">
        <v>4</v>
      </c>
      <c r="J330" s="2">
        <v>5</v>
      </c>
      <c r="K330" t="s">
        <v>14</v>
      </c>
    </row>
    <row r="331" spans="1:11" x14ac:dyDescent="0.2">
      <c r="A331" t="str">
        <f t="shared" si="5"/>
        <v>Drought_Mixture_e</v>
      </c>
      <c r="B331" s="2" t="s">
        <v>29</v>
      </c>
      <c r="C331" s="2" t="s">
        <v>27</v>
      </c>
      <c r="D331" s="2" t="s">
        <v>21</v>
      </c>
      <c r="E331">
        <v>2</v>
      </c>
      <c r="F331" s="2" t="s">
        <v>28</v>
      </c>
      <c r="G331" s="2">
        <v>60</v>
      </c>
      <c r="H331" s="2">
        <v>5</v>
      </c>
      <c r="I331" s="2">
        <v>3</v>
      </c>
      <c r="J331" s="2">
        <v>5</v>
      </c>
      <c r="K331" t="s">
        <v>14</v>
      </c>
    </row>
    <row r="332" spans="1:11" x14ac:dyDescent="0.2">
      <c r="A332" t="str">
        <f t="shared" si="5"/>
        <v>Drought_Mixture_e</v>
      </c>
      <c r="B332" s="2" t="s">
        <v>29</v>
      </c>
      <c r="C332" s="2" t="s">
        <v>27</v>
      </c>
      <c r="D332" s="2" t="s">
        <v>21</v>
      </c>
      <c r="E332">
        <v>3</v>
      </c>
      <c r="F332" s="2" t="s">
        <v>28</v>
      </c>
      <c r="G332" s="2">
        <v>60</v>
      </c>
      <c r="H332" s="2">
        <v>5</v>
      </c>
      <c r="I332" s="2">
        <v>2</v>
      </c>
      <c r="J332" s="2">
        <v>6</v>
      </c>
      <c r="K332" t="s">
        <v>14</v>
      </c>
    </row>
    <row r="333" spans="1:11" x14ac:dyDescent="0.2">
      <c r="A333" t="str">
        <f t="shared" si="5"/>
        <v>Drought_Mixture_e</v>
      </c>
      <c r="B333" s="2" t="s">
        <v>29</v>
      </c>
      <c r="C333" s="2" t="s">
        <v>27</v>
      </c>
      <c r="D333" s="2" t="s">
        <v>21</v>
      </c>
      <c r="E333">
        <v>4</v>
      </c>
      <c r="F333" s="2" t="s">
        <v>28</v>
      </c>
      <c r="G333" s="2">
        <v>60</v>
      </c>
      <c r="H333" s="2">
        <v>5</v>
      </c>
      <c r="I333" s="2">
        <v>0</v>
      </c>
      <c r="J333" s="2">
        <v>3</v>
      </c>
      <c r="K333" t="s">
        <v>14</v>
      </c>
    </row>
    <row r="334" spans="1:11" x14ac:dyDescent="0.2">
      <c r="A334" t="str">
        <f t="shared" si="5"/>
        <v>Drought_Mucoid_a</v>
      </c>
      <c r="B334" s="2" t="s">
        <v>29</v>
      </c>
      <c r="C334" s="2" t="s">
        <v>12</v>
      </c>
      <c r="D334" s="2" t="s">
        <v>13</v>
      </c>
      <c r="E334">
        <v>3</v>
      </c>
      <c r="F334" t="s">
        <v>30</v>
      </c>
      <c r="G334" s="2">
        <v>30</v>
      </c>
      <c r="H334" s="2">
        <v>4</v>
      </c>
      <c r="I334" s="2">
        <v>5</v>
      </c>
      <c r="J334" s="2">
        <v>0</v>
      </c>
      <c r="K334" t="s">
        <v>14</v>
      </c>
    </row>
    <row r="335" spans="1:11" x14ac:dyDescent="0.2">
      <c r="A335" t="str">
        <f t="shared" si="5"/>
        <v>Drought_Mucoid_a</v>
      </c>
      <c r="B335" s="2" t="s">
        <v>29</v>
      </c>
      <c r="C335" s="2" t="s">
        <v>12</v>
      </c>
      <c r="D335" s="2" t="s">
        <v>13</v>
      </c>
      <c r="E335">
        <v>4</v>
      </c>
      <c r="F335" t="s">
        <v>30</v>
      </c>
      <c r="G335" s="2">
        <v>30</v>
      </c>
      <c r="H335" s="2">
        <v>4</v>
      </c>
      <c r="I335" s="2">
        <v>15</v>
      </c>
      <c r="J335" s="2">
        <v>0</v>
      </c>
      <c r="K335" t="s">
        <v>14</v>
      </c>
    </row>
    <row r="336" spans="1:11" x14ac:dyDescent="0.2">
      <c r="A336" t="str">
        <f t="shared" si="5"/>
        <v>Drought_Mucoid_b</v>
      </c>
      <c r="B336" s="2" t="s">
        <v>29</v>
      </c>
      <c r="C336" s="2" t="s">
        <v>12</v>
      </c>
      <c r="D336" s="2" t="s">
        <v>16</v>
      </c>
      <c r="E336">
        <v>3</v>
      </c>
      <c r="F336" t="s">
        <v>30</v>
      </c>
      <c r="G336" s="2">
        <v>30</v>
      </c>
      <c r="H336" s="2">
        <v>4</v>
      </c>
      <c r="I336" s="2">
        <v>20</v>
      </c>
      <c r="J336" s="2">
        <v>0</v>
      </c>
      <c r="K336" t="s">
        <v>14</v>
      </c>
    </row>
    <row r="337" spans="1:11" x14ac:dyDescent="0.2">
      <c r="A337" t="str">
        <f t="shared" si="5"/>
        <v>Drought_Mucoid_b</v>
      </c>
      <c r="B337" s="2" t="s">
        <v>29</v>
      </c>
      <c r="C337" s="2" t="s">
        <v>12</v>
      </c>
      <c r="D337" s="2" t="s">
        <v>16</v>
      </c>
      <c r="E337">
        <v>4</v>
      </c>
      <c r="F337" t="s">
        <v>30</v>
      </c>
      <c r="G337" s="2">
        <v>30</v>
      </c>
      <c r="H337" s="2">
        <v>4</v>
      </c>
      <c r="I337" s="2">
        <v>26</v>
      </c>
      <c r="J337" s="2">
        <v>0</v>
      </c>
      <c r="K337" t="s">
        <v>14</v>
      </c>
    </row>
    <row r="338" spans="1:11" x14ac:dyDescent="0.2">
      <c r="A338" t="str">
        <f t="shared" si="5"/>
        <v>Drought_Mucoid_c</v>
      </c>
      <c r="B338" s="2" t="s">
        <v>29</v>
      </c>
      <c r="C338" s="2" t="s">
        <v>12</v>
      </c>
      <c r="D338" s="2" t="s">
        <v>18</v>
      </c>
      <c r="E338">
        <v>3</v>
      </c>
      <c r="F338" t="s">
        <v>30</v>
      </c>
      <c r="G338" s="2">
        <v>30</v>
      </c>
      <c r="H338" s="2">
        <v>4</v>
      </c>
      <c r="I338" s="2">
        <v>12</v>
      </c>
      <c r="J338" s="2">
        <v>0</v>
      </c>
      <c r="K338" t="s">
        <v>14</v>
      </c>
    </row>
    <row r="339" spans="1:11" x14ac:dyDescent="0.2">
      <c r="A339" t="str">
        <f t="shared" si="5"/>
        <v>Drought_Mucoid_c</v>
      </c>
      <c r="B339" s="2" t="s">
        <v>29</v>
      </c>
      <c r="C339" s="2" t="s">
        <v>12</v>
      </c>
      <c r="D339" s="2" t="s">
        <v>18</v>
      </c>
      <c r="E339">
        <v>4</v>
      </c>
      <c r="F339" t="s">
        <v>30</v>
      </c>
      <c r="G339" s="2">
        <v>30</v>
      </c>
      <c r="H339" s="2">
        <v>4</v>
      </c>
      <c r="I339" s="2">
        <v>11</v>
      </c>
      <c r="J339" s="2">
        <v>0</v>
      </c>
      <c r="K339" t="s">
        <v>14</v>
      </c>
    </row>
    <row r="340" spans="1:11" x14ac:dyDescent="0.2">
      <c r="A340" t="str">
        <f t="shared" si="5"/>
        <v>Drought_Mucoid_d</v>
      </c>
      <c r="B340" s="2" t="s">
        <v>29</v>
      </c>
      <c r="C340" s="2" t="s">
        <v>12</v>
      </c>
      <c r="D340" s="2" t="s">
        <v>20</v>
      </c>
      <c r="E340">
        <v>3</v>
      </c>
      <c r="F340" t="s">
        <v>30</v>
      </c>
      <c r="G340" s="2">
        <v>30</v>
      </c>
      <c r="H340" s="2">
        <v>4</v>
      </c>
      <c r="I340" s="2">
        <v>9</v>
      </c>
      <c r="J340" s="2">
        <v>1</v>
      </c>
      <c r="K340" t="s">
        <v>14</v>
      </c>
    </row>
    <row r="341" spans="1:11" x14ac:dyDescent="0.2">
      <c r="A341" t="str">
        <f t="shared" si="5"/>
        <v>Drought_Mucoid_d</v>
      </c>
      <c r="B341" s="2" t="s">
        <v>29</v>
      </c>
      <c r="C341" s="2" t="s">
        <v>12</v>
      </c>
      <c r="D341" s="2" t="s">
        <v>20</v>
      </c>
      <c r="E341">
        <v>4</v>
      </c>
      <c r="F341" t="s">
        <v>30</v>
      </c>
      <c r="G341" s="2">
        <v>30</v>
      </c>
      <c r="H341" s="2">
        <v>4</v>
      </c>
      <c r="I341" s="2">
        <v>14</v>
      </c>
      <c r="J341" s="2">
        <v>1</v>
      </c>
      <c r="K341" t="s">
        <v>14</v>
      </c>
    </row>
    <row r="342" spans="1:11" x14ac:dyDescent="0.2">
      <c r="A342" t="str">
        <f t="shared" si="5"/>
        <v>Drought_Mucoid_e</v>
      </c>
      <c r="B342" s="2" t="s">
        <v>29</v>
      </c>
      <c r="C342" s="2" t="s">
        <v>12</v>
      </c>
      <c r="D342" s="2" t="s">
        <v>21</v>
      </c>
      <c r="E342">
        <v>3</v>
      </c>
      <c r="F342" t="s">
        <v>30</v>
      </c>
      <c r="G342" s="2">
        <v>30</v>
      </c>
      <c r="H342" s="2">
        <v>4</v>
      </c>
      <c r="I342" s="2">
        <v>15</v>
      </c>
      <c r="J342" s="2">
        <v>0</v>
      </c>
      <c r="K342" t="s">
        <v>14</v>
      </c>
    </row>
    <row r="343" spans="1:11" x14ac:dyDescent="0.2">
      <c r="A343" t="str">
        <f t="shared" si="5"/>
        <v>Drought_Mucoid_e</v>
      </c>
      <c r="B343" s="2" t="s">
        <v>29</v>
      </c>
      <c r="C343" s="2" t="s">
        <v>12</v>
      </c>
      <c r="D343" s="2" t="s">
        <v>21</v>
      </c>
      <c r="E343">
        <v>4</v>
      </c>
      <c r="F343" t="s">
        <v>30</v>
      </c>
      <c r="G343" s="2">
        <v>30</v>
      </c>
      <c r="H343" s="2">
        <v>4</v>
      </c>
      <c r="I343" s="2">
        <v>12</v>
      </c>
      <c r="J343" s="2">
        <v>0</v>
      </c>
      <c r="K343" t="s">
        <v>14</v>
      </c>
    </row>
    <row r="344" spans="1:11" x14ac:dyDescent="0.2">
      <c r="A344" t="str">
        <f t="shared" si="5"/>
        <v>Drought_Dry_a</v>
      </c>
      <c r="B344" s="2" t="s">
        <v>29</v>
      </c>
      <c r="C344" s="2" t="s">
        <v>23</v>
      </c>
      <c r="D344" s="2" t="s">
        <v>13</v>
      </c>
      <c r="E344">
        <v>3</v>
      </c>
      <c r="F344" t="s">
        <v>30</v>
      </c>
      <c r="G344" s="2">
        <v>30</v>
      </c>
      <c r="H344" s="2">
        <v>4</v>
      </c>
      <c r="I344" s="2">
        <v>0</v>
      </c>
      <c r="J344" s="2">
        <v>41</v>
      </c>
      <c r="K344" t="s">
        <v>14</v>
      </c>
    </row>
    <row r="345" spans="1:11" x14ac:dyDescent="0.2">
      <c r="A345" t="str">
        <f t="shared" si="5"/>
        <v>Drought_Dry_a</v>
      </c>
      <c r="B345" s="2" t="s">
        <v>29</v>
      </c>
      <c r="C345" s="2" t="s">
        <v>23</v>
      </c>
      <c r="D345" s="2" t="s">
        <v>13</v>
      </c>
      <c r="E345">
        <v>4</v>
      </c>
      <c r="F345" t="s">
        <v>30</v>
      </c>
      <c r="G345" s="2">
        <v>30</v>
      </c>
      <c r="H345" s="2">
        <v>4</v>
      </c>
      <c r="I345" s="2">
        <v>0</v>
      </c>
      <c r="J345" s="2">
        <v>39</v>
      </c>
      <c r="K345" t="s">
        <v>14</v>
      </c>
    </row>
    <row r="346" spans="1:11" x14ac:dyDescent="0.2">
      <c r="A346" t="str">
        <f t="shared" si="5"/>
        <v>Drought_Dry_b</v>
      </c>
      <c r="B346" s="2" t="s">
        <v>29</v>
      </c>
      <c r="C346" s="2" t="s">
        <v>23</v>
      </c>
      <c r="D346" s="2" t="s">
        <v>16</v>
      </c>
      <c r="E346">
        <v>3</v>
      </c>
      <c r="F346" t="s">
        <v>30</v>
      </c>
      <c r="G346" s="2">
        <v>30</v>
      </c>
      <c r="H346" s="2">
        <v>4</v>
      </c>
      <c r="I346" s="2">
        <v>0</v>
      </c>
      <c r="J346" s="2">
        <v>42</v>
      </c>
      <c r="K346" t="s">
        <v>14</v>
      </c>
    </row>
    <row r="347" spans="1:11" x14ac:dyDescent="0.2">
      <c r="A347" t="str">
        <f t="shared" si="5"/>
        <v>Drought_Dry_b</v>
      </c>
      <c r="B347" s="2" t="s">
        <v>29</v>
      </c>
      <c r="C347" s="2" t="s">
        <v>23</v>
      </c>
      <c r="D347" s="2" t="s">
        <v>16</v>
      </c>
      <c r="E347">
        <v>4</v>
      </c>
      <c r="F347" t="s">
        <v>30</v>
      </c>
      <c r="G347" s="2">
        <v>30</v>
      </c>
      <c r="H347" s="2">
        <v>4</v>
      </c>
      <c r="I347" s="2">
        <v>0</v>
      </c>
      <c r="J347" s="2">
        <v>39</v>
      </c>
      <c r="K347" t="s">
        <v>14</v>
      </c>
    </row>
    <row r="348" spans="1:11" x14ac:dyDescent="0.2">
      <c r="A348" t="str">
        <f t="shared" si="5"/>
        <v>Drought_Dry_c</v>
      </c>
      <c r="B348" s="2" t="s">
        <v>29</v>
      </c>
      <c r="C348" s="2" t="s">
        <v>23</v>
      </c>
      <c r="D348" s="2" t="s">
        <v>18</v>
      </c>
      <c r="E348">
        <v>3</v>
      </c>
      <c r="F348" t="s">
        <v>30</v>
      </c>
      <c r="G348" s="2">
        <v>30</v>
      </c>
      <c r="H348" s="2">
        <v>4</v>
      </c>
      <c r="I348" s="2">
        <v>0</v>
      </c>
      <c r="J348" s="2">
        <v>37</v>
      </c>
      <c r="K348" t="s">
        <v>14</v>
      </c>
    </row>
    <row r="349" spans="1:11" x14ac:dyDescent="0.2">
      <c r="A349" t="str">
        <f t="shared" si="5"/>
        <v>Drought_Dry_c</v>
      </c>
      <c r="B349" s="2" t="s">
        <v>29</v>
      </c>
      <c r="C349" s="2" t="s">
        <v>23</v>
      </c>
      <c r="D349" s="2" t="s">
        <v>18</v>
      </c>
      <c r="E349">
        <v>4</v>
      </c>
      <c r="F349" t="s">
        <v>30</v>
      </c>
      <c r="G349" s="2">
        <v>30</v>
      </c>
      <c r="H349" s="2">
        <v>4</v>
      </c>
      <c r="I349" s="2">
        <v>0</v>
      </c>
      <c r="J349" s="2">
        <v>47</v>
      </c>
      <c r="K349" t="s">
        <v>14</v>
      </c>
    </row>
    <row r="350" spans="1:11" x14ac:dyDescent="0.2">
      <c r="A350" t="str">
        <f t="shared" si="5"/>
        <v>Drought_Dry_d</v>
      </c>
      <c r="B350" s="2" t="s">
        <v>29</v>
      </c>
      <c r="C350" s="2" t="s">
        <v>23</v>
      </c>
      <c r="D350" s="2" t="s">
        <v>20</v>
      </c>
      <c r="E350">
        <v>3</v>
      </c>
      <c r="F350" t="s">
        <v>30</v>
      </c>
      <c r="G350" s="2">
        <v>30</v>
      </c>
      <c r="H350" s="2">
        <v>4</v>
      </c>
      <c r="I350" s="2">
        <v>0</v>
      </c>
      <c r="J350" s="2">
        <v>49</v>
      </c>
      <c r="K350" t="s">
        <v>14</v>
      </c>
    </row>
    <row r="351" spans="1:11" x14ac:dyDescent="0.2">
      <c r="A351" t="str">
        <f t="shared" si="5"/>
        <v>Drought_Dry_d</v>
      </c>
      <c r="B351" s="2" t="s">
        <v>29</v>
      </c>
      <c r="C351" s="2" t="s">
        <v>23</v>
      </c>
      <c r="D351" s="2" t="s">
        <v>20</v>
      </c>
      <c r="E351">
        <v>4</v>
      </c>
      <c r="F351" t="s">
        <v>30</v>
      </c>
      <c r="G351" s="2">
        <v>30</v>
      </c>
      <c r="H351" s="2">
        <v>4</v>
      </c>
      <c r="I351" s="2">
        <v>0</v>
      </c>
      <c r="J351" s="2">
        <v>54</v>
      </c>
      <c r="K351" t="s">
        <v>14</v>
      </c>
    </row>
    <row r="352" spans="1:11" x14ac:dyDescent="0.2">
      <c r="A352" t="str">
        <f t="shared" si="5"/>
        <v>Drought_Dry_e</v>
      </c>
      <c r="B352" s="2" t="s">
        <v>29</v>
      </c>
      <c r="C352" s="2" t="s">
        <v>23</v>
      </c>
      <c r="D352" s="2" t="s">
        <v>21</v>
      </c>
      <c r="E352">
        <v>3</v>
      </c>
      <c r="F352" t="s">
        <v>30</v>
      </c>
      <c r="G352" s="2">
        <v>30</v>
      </c>
      <c r="H352" s="2">
        <v>4</v>
      </c>
      <c r="I352" s="2">
        <v>0</v>
      </c>
      <c r="J352" s="2">
        <v>73</v>
      </c>
      <c r="K352" t="s">
        <v>14</v>
      </c>
    </row>
    <row r="353" spans="1:11" x14ac:dyDescent="0.2">
      <c r="A353" t="str">
        <f t="shared" si="5"/>
        <v>Drought_Dry_e</v>
      </c>
      <c r="B353" s="2" t="s">
        <v>29</v>
      </c>
      <c r="C353" s="2" t="s">
        <v>23</v>
      </c>
      <c r="D353" s="2" t="s">
        <v>21</v>
      </c>
      <c r="E353">
        <v>4</v>
      </c>
      <c r="F353" t="s">
        <v>30</v>
      </c>
      <c r="G353" s="2">
        <v>30</v>
      </c>
      <c r="H353" s="2">
        <v>4</v>
      </c>
      <c r="I353" s="2">
        <v>0</v>
      </c>
      <c r="J353" s="2">
        <v>68</v>
      </c>
      <c r="K353" t="s">
        <v>14</v>
      </c>
    </row>
    <row r="354" spans="1:11" x14ac:dyDescent="0.2">
      <c r="A354" t="str">
        <f t="shared" si="5"/>
        <v>Drought_Mixture_a</v>
      </c>
      <c r="B354" s="2" t="s">
        <v>29</v>
      </c>
      <c r="C354" s="2" t="s">
        <v>27</v>
      </c>
      <c r="D354" s="2" t="s">
        <v>13</v>
      </c>
      <c r="E354">
        <v>3</v>
      </c>
      <c r="F354" t="s">
        <v>30</v>
      </c>
      <c r="G354" s="2">
        <v>30</v>
      </c>
      <c r="H354" s="2">
        <v>4</v>
      </c>
      <c r="I354" s="2">
        <v>14</v>
      </c>
      <c r="J354" s="2">
        <v>13</v>
      </c>
      <c r="K354" t="s">
        <v>14</v>
      </c>
    </row>
    <row r="355" spans="1:11" x14ac:dyDescent="0.2">
      <c r="A355" t="str">
        <f t="shared" si="5"/>
        <v>Drought_Mixture_a</v>
      </c>
      <c r="B355" s="2" t="s">
        <v>29</v>
      </c>
      <c r="C355" s="2" t="s">
        <v>27</v>
      </c>
      <c r="D355" s="2" t="s">
        <v>13</v>
      </c>
      <c r="E355">
        <v>4</v>
      </c>
      <c r="F355" t="s">
        <v>30</v>
      </c>
      <c r="G355" s="2">
        <v>30</v>
      </c>
      <c r="H355" s="2">
        <v>4</v>
      </c>
      <c r="I355" s="2">
        <v>10</v>
      </c>
      <c r="J355" s="2">
        <v>6</v>
      </c>
      <c r="K355" t="s">
        <v>14</v>
      </c>
    </row>
    <row r="356" spans="1:11" x14ac:dyDescent="0.2">
      <c r="A356" t="str">
        <f t="shared" si="5"/>
        <v>Drought_Mixture_b</v>
      </c>
      <c r="B356" s="2" t="s">
        <v>29</v>
      </c>
      <c r="C356" s="2" t="s">
        <v>27</v>
      </c>
      <c r="D356" s="2" t="s">
        <v>16</v>
      </c>
      <c r="E356">
        <v>3</v>
      </c>
      <c r="F356" t="s">
        <v>30</v>
      </c>
      <c r="G356" s="2">
        <v>30</v>
      </c>
      <c r="H356" s="2">
        <v>4</v>
      </c>
      <c r="I356" s="2">
        <v>6</v>
      </c>
      <c r="J356" s="2">
        <v>8</v>
      </c>
      <c r="K356" t="s">
        <v>14</v>
      </c>
    </row>
    <row r="357" spans="1:11" x14ac:dyDescent="0.2">
      <c r="A357" t="str">
        <f t="shared" si="5"/>
        <v>Drought_Mixture_b</v>
      </c>
      <c r="B357" s="2" t="s">
        <v>29</v>
      </c>
      <c r="C357" s="2" t="s">
        <v>27</v>
      </c>
      <c r="D357" s="2" t="s">
        <v>16</v>
      </c>
      <c r="E357">
        <v>4</v>
      </c>
      <c r="F357" t="s">
        <v>30</v>
      </c>
      <c r="G357" s="2">
        <v>30</v>
      </c>
      <c r="H357" s="2">
        <v>4</v>
      </c>
      <c r="I357" s="2">
        <v>10</v>
      </c>
      <c r="J357" s="2">
        <v>9</v>
      </c>
      <c r="K357" t="s">
        <v>14</v>
      </c>
    </row>
    <row r="358" spans="1:11" x14ac:dyDescent="0.2">
      <c r="A358" t="str">
        <f t="shared" si="5"/>
        <v>Drought_Mixture_d</v>
      </c>
      <c r="B358" s="2" t="s">
        <v>29</v>
      </c>
      <c r="C358" s="2" t="s">
        <v>27</v>
      </c>
      <c r="D358" s="2" t="s">
        <v>20</v>
      </c>
      <c r="E358">
        <v>3</v>
      </c>
      <c r="F358" t="s">
        <v>30</v>
      </c>
      <c r="G358" s="2">
        <v>30</v>
      </c>
      <c r="H358" s="2">
        <v>4</v>
      </c>
      <c r="I358" s="2">
        <v>10</v>
      </c>
      <c r="J358" s="2">
        <v>13</v>
      </c>
      <c r="K358" t="s">
        <v>14</v>
      </c>
    </row>
    <row r="359" spans="1:11" x14ac:dyDescent="0.2">
      <c r="A359" t="str">
        <f t="shared" si="5"/>
        <v>Drought_Mixture_d</v>
      </c>
      <c r="B359" s="2" t="s">
        <v>29</v>
      </c>
      <c r="C359" s="2" t="s">
        <v>27</v>
      </c>
      <c r="D359" s="2" t="s">
        <v>20</v>
      </c>
      <c r="E359">
        <v>4</v>
      </c>
      <c r="F359" t="s">
        <v>30</v>
      </c>
      <c r="G359" s="2">
        <v>30</v>
      </c>
      <c r="H359" s="2">
        <v>4</v>
      </c>
      <c r="I359" s="2">
        <v>12</v>
      </c>
      <c r="J359" s="2">
        <v>15</v>
      </c>
      <c r="K359" t="s">
        <v>14</v>
      </c>
    </row>
    <row r="360" spans="1:11" x14ac:dyDescent="0.2">
      <c r="A360" t="str">
        <f t="shared" si="5"/>
        <v>Drought_Mixture_e</v>
      </c>
      <c r="B360" s="2" t="s">
        <v>29</v>
      </c>
      <c r="C360" s="2" t="s">
        <v>27</v>
      </c>
      <c r="D360" s="2" t="s">
        <v>21</v>
      </c>
      <c r="E360">
        <v>3</v>
      </c>
      <c r="F360" t="s">
        <v>30</v>
      </c>
      <c r="G360" s="2">
        <v>30</v>
      </c>
      <c r="H360" s="2">
        <v>4</v>
      </c>
      <c r="I360" s="2">
        <v>18</v>
      </c>
      <c r="J360" s="2">
        <v>13</v>
      </c>
      <c r="K360" t="s">
        <v>14</v>
      </c>
    </row>
    <row r="361" spans="1:11" x14ac:dyDescent="0.2">
      <c r="A361" t="str">
        <f t="shared" si="5"/>
        <v>Drought_Mixture_e</v>
      </c>
      <c r="B361" s="2" t="s">
        <v>29</v>
      </c>
      <c r="C361" s="2" t="s">
        <v>27</v>
      </c>
      <c r="D361" s="2" t="s">
        <v>21</v>
      </c>
      <c r="E361">
        <v>4</v>
      </c>
      <c r="F361" t="s">
        <v>30</v>
      </c>
      <c r="G361" s="2">
        <v>30</v>
      </c>
      <c r="H361" s="2">
        <v>4</v>
      </c>
      <c r="I361" s="2">
        <v>14</v>
      </c>
      <c r="J361" s="2">
        <v>12</v>
      </c>
      <c r="K361" t="s">
        <v>14</v>
      </c>
    </row>
    <row r="362" spans="1:11" x14ac:dyDescent="0.2">
      <c r="A362" t="str">
        <f t="shared" si="5"/>
        <v>Drought_Dry_a</v>
      </c>
      <c r="B362" t="s">
        <v>29</v>
      </c>
      <c r="C362" s="2" t="s">
        <v>23</v>
      </c>
      <c r="D362" s="2" t="s">
        <v>13</v>
      </c>
      <c r="E362" s="2">
        <v>1</v>
      </c>
      <c r="F362" t="s">
        <v>31</v>
      </c>
      <c r="G362" s="2">
        <v>20</v>
      </c>
      <c r="H362" s="2">
        <v>4</v>
      </c>
      <c r="I362" s="2">
        <v>0</v>
      </c>
      <c r="J362" s="2">
        <v>36</v>
      </c>
      <c r="K362" t="s">
        <v>14</v>
      </c>
    </row>
    <row r="363" spans="1:11" x14ac:dyDescent="0.2">
      <c r="A363" t="str">
        <f t="shared" si="5"/>
        <v>Drought_Dry_a</v>
      </c>
      <c r="B363" t="s">
        <v>29</v>
      </c>
      <c r="C363" s="2" t="s">
        <v>23</v>
      </c>
      <c r="D363" s="2" t="s">
        <v>13</v>
      </c>
      <c r="E363" s="2">
        <v>2</v>
      </c>
      <c r="F363" t="s">
        <v>31</v>
      </c>
      <c r="G363" s="2">
        <v>20</v>
      </c>
      <c r="H363" s="2">
        <v>4</v>
      </c>
      <c r="I363" s="2">
        <v>0</v>
      </c>
      <c r="J363" s="2">
        <v>30</v>
      </c>
      <c r="K363" t="s">
        <v>14</v>
      </c>
    </row>
    <row r="364" spans="1:11" x14ac:dyDescent="0.2">
      <c r="A364" t="str">
        <f t="shared" si="5"/>
        <v>Drought_Dry_b</v>
      </c>
      <c r="B364" t="s">
        <v>29</v>
      </c>
      <c r="C364" s="2" t="s">
        <v>23</v>
      </c>
      <c r="D364" s="2" t="s">
        <v>16</v>
      </c>
      <c r="E364" s="2">
        <v>1</v>
      </c>
      <c r="F364" t="s">
        <v>31</v>
      </c>
      <c r="G364" s="2">
        <v>20</v>
      </c>
      <c r="H364" s="2">
        <v>4</v>
      </c>
      <c r="I364" s="2">
        <v>0</v>
      </c>
      <c r="J364" s="2">
        <v>22</v>
      </c>
      <c r="K364" t="s">
        <v>14</v>
      </c>
    </row>
    <row r="365" spans="1:11" x14ac:dyDescent="0.2">
      <c r="A365" t="str">
        <f t="shared" si="5"/>
        <v>Drought_Dry_b</v>
      </c>
      <c r="B365" t="s">
        <v>29</v>
      </c>
      <c r="C365" s="2" t="s">
        <v>23</v>
      </c>
      <c r="D365" s="2" t="s">
        <v>16</v>
      </c>
      <c r="E365" s="2">
        <v>2</v>
      </c>
      <c r="F365" t="s">
        <v>31</v>
      </c>
      <c r="G365" s="2">
        <v>20</v>
      </c>
      <c r="H365" s="2">
        <v>4</v>
      </c>
      <c r="I365" s="2">
        <v>0</v>
      </c>
      <c r="J365" s="2">
        <v>31</v>
      </c>
      <c r="K365" t="s">
        <v>14</v>
      </c>
    </row>
    <row r="366" spans="1:11" x14ac:dyDescent="0.2">
      <c r="A366" t="str">
        <f t="shared" si="5"/>
        <v>Drought_Dry_c</v>
      </c>
      <c r="B366" t="s">
        <v>29</v>
      </c>
      <c r="C366" s="2" t="s">
        <v>23</v>
      </c>
      <c r="D366" s="2" t="s">
        <v>18</v>
      </c>
      <c r="E366" s="2">
        <v>1</v>
      </c>
      <c r="F366" t="s">
        <v>31</v>
      </c>
      <c r="G366" s="2">
        <v>20</v>
      </c>
      <c r="H366" s="2">
        <v>4</v>
      </c>
      <c r="I366" s="2">
        <v>0</v>
      </c>
      <c r="J366" s="2">
        <v>38</v>
      </c>
      <c r="K366" t="s">
        <v>14</v>
      </c>
    </row>
    <row r="367" spans="1:11" x14ac:dyDescent="0.2">
      <c r="A367" t="str">
        <f t="shared" si="5"/>
        <v>Drought_Dry_c</v>
      </c>
      <c r="B367" t="s">
        <v>29</v>
      </c>
      <c r="C367" s="2" t="s">
        <v>23</v>
      </c>
      <c r="D367" s="2" t="s">
        <v>18</v>
      </c>
      <c r="E367" s="2">
        <v>2</v>
      </c>
      <c r="F367" t="s">
        <v>31</v>
      </c>
      <c r="G367" s="2">
        <v>20</v>
      </c>
      <c r="H367" s="2">
        <v>4</v>
      </c>
      <c r="I367" s="2">
        <v>0</v>
      </c>
      <c r="J367" s="2">
        <v>30</v>
      </c>
      <c r="K367" t="s">
        <v>14</v>
      </c>
    </row>
    <row r="368" spans="1:11" x14ac:dyDescent="0.2">
      <c r="A368" t="str">
        <f t="shared" si="5"/>
        <v>Drought_Dry_d</v>
      </c>
      <c r="B368" t="s">
        <v>29</v>
      </c>
      <c r="C368" s="2" t="s">
        <v>23</v>
      </c>
      <c r="D368" s="2" t="s">
        <v>20</v>
      </c>
      <c r="E368" s="2">
        <v>1</v>
      </c>
      <c r="F368" t="s">
        <v>31</v>
      </c>
      <c r="G368" s="2">
        <v>20</v>
      </c>
      <c r="H368" s="2">
        <v>4</v>
      </c>
      <c r="I368" s="2">
        <v>0</v>
      </c>
      <c r="J368" s="2">
        <v>44</v>
      </c>
      <c r="K368" t="s">
        <v>14</v>
      </c>
    </row>
    <row r="369" spans="1:11" x14ac:dyDescent="0.2">
      <c r="A369" t="str">
        <f t="shared" si="5"/>
        <v>Drought_Dry_d</v>
      </c>
      <c r="B369" t="s">
        <v>29</v>
      </c>
      <c r="C369" s="2" t="s">
        <v>23</v>
      </c>
      <c r="D369" s="2" t="s">
        <v>20</v>
      </c>
      <c r="E369" s="2">
        <v>2</v>
      </c>
      <c r="F369" t="s">
        <v>31</v>
      </c>
      <c r="G369" s="2">
        <v>20</v>
      </c>
      <c r="H369" s="2">
        <v>4</v>
      </c>
      <c r="I369" s="2">
        <v>0</v>
      </c>
      <c r="J369" s="2">
        <v>52</v>
      </c>
      <c r="K369" t="s">
        <v>14</v>
      </c>
    </row>
    <row r="370" spans="1:11" x14ac:dyDescent="0.2">
      <c r="A370" t="str">
        <f t="shared" si="5"/>
        <v>Drought_Dry_e</v>
      </c>
      <c r="B370" t="s">
        <v>29</v>
      </c>
      <c r="C370" s="2" t="s">
        <v>23</v>
      </c>
      <c r="D370" s="2" t="s">
        <v>21</v>
      </c>
      <c r="E370" s="2">
        <v>1</v>
      </c>
      <c r="F370" t="s">
        <v>31</v>
      </c>
      <c r="G370" s="2">
        <v>20</v>
      </c>
      <c r="H370" s="2">
        <v>4</v>
      </c>
      <c r="I370" s="2">
        <v>0</v>
      </c>
      <c r="J370" s="2">
        <v>36</v>
      </c>
      <c r="K370" t="s">
        <v>14</v>
      </c>
    </row>
    <row r="371" spans="1:11" x14ac:dyDescent="0.2">
      <c r="A371" t="str">
        <f t="shared" si="5"/>
        <v>Drought_Dry_e</v>
      </c>
      <c r="B371" t="s">
        <v>29</v>
      </c>
      <c r="C371" s="2" t="s">
        <v>23</v>
      </c>
      <c r="D371" s="2" t="s">
        <v>21</v>
      </c>
      <c r="E371" s="2">
        <v>2</v>
      </c>
      <c r="F371" t="s">
        <v>31</v>
      </c>
      <c r="G371" s="2">
        <v>20</v>
      </c>
      <c r="H371" s="2">
        <v>4</v>
      </c>
      <c r="I371" s="2">
        <v>0</v>
      </c>
      <c r="J371" s="2">
        <v>42</v>
      </c>
      <c r="K371" t="s">
        <v>14</v>
      </c>
    </row>
    <row r="372" spans="1:11" x14ac:dyDescent="0.2">
      <c r="A372" t="str">
        <f t="shared" si="5"/>
        <v>Drought_Dry_f</v>
      </c>
      <c r="B372" t="s">
        <v>29</v>
      </c>
      <c r="C372" s="2" t="s">
        <v>23</v>
      </c>
      <c r="D372" s="2" t="s">
        <v>32</v>
      </c>
      <c r="E372" s="2">
        <v>1</v>
      </c>
      <c r="F372" t="s">
        <v>31</v>
      </c>
      <c r="G372" s="2">
        <v>20</v>
      </c>
      <c r="H372" s="2">
        <v>4</v>
      </c>
      <c r="I372" s="2">
        <v>0</v>
      </c>
      <c r="J372" s="2">
        <v>65</v>
      </c>
      <c r="K372" t="s">
        <v>14</v>
      </c>
    </row>
    <row r="373" spans="1:11" x14ac:dyDescent="0.2">
      <c r="A373" t="str">
        <f t="shared" si="5"/>
        <v>Drought_Dry_f</v>
      </c>
      <c r="B373" t="s">
        <v>29</v>
      </c>
      <c r="C373" s="2" t="s">
        <v>23</v>
      </c>
      <c r="D373" s="2" t="s">
        <v>32</v>
      </c>
      <c r="E373" s="2">
        <v>2</v>
      </c>
      <c r="F373" t="s">
        <v>31</v>
      </c>
      <c r="G373" s="2">
        <v>20</v>
      </c>
      <c r="H373" s="2">
        <v>4</v>
      </c>
      <c r="I373" s="2">
        <v>0</v>
      </c>
      <c r="J373" s="2">
        <v>63</v>
      </c>
      <c r="K373" t="s">
        <v>14</v>
      </c>
    </row>
    <row r="374" spans="1:11" x14ac:dyDescent="0.2">
      <c r="A374" t="str">
        <f t="shared" si="5"/>
        <v>Drought_Mucoid_a</v>
      </c>
      <c r="B374" t="s">
        <v>29</v>
      </c>
      <c r="C374" s="2" t="s">
        <v>12</v>
      </c>
      <c r="D374" s="2" t="s">
        <v>13</v>
      </c>
      <c r="E374" s="2">
        <v>1</v>
      </c>
      <c r="F374" t="s">
        <v>31</v>
      </c>
      <c r="G374" s="2">
        <v>20</v>
      </c>
      <c r="H374" s="2">
        <v>4</v>
      </c>
      <c r="I374">
        <v>42</v>
      </c>
      <c r="J374">
        <v>0</v>
      </c>
      <c r="K374" t="s">
        <v>14</v>
      </c>
    </row>
    <row r="375" spans="1:11" x14ac:dyDescent="0.2">
      <c r="A375" t="str">
        <f t="shared" si="5"/>
        <v>Drought_Mucoid_a</v>
      </c>
      <c r="B375" t="s">
        <v>29</v>
      </c>
      <c r="C375" s="2" t="s">
        <v>12</v>
      </c>
      <c r="D375" s="2" t="s">
        <v>13</v>
      </c>
      <c r="E375" s="2">
        <v>2</v>
      </c>
      <c r="F375" t="s">
        <v>31</v>
      </c>
      <c r="G375" s="2">
        <v>20</v>
      </c>
      <c r="H375" s="2">
        <v>4</v>
      </c>
      <c r="I375">
        <v>41</v>
      </c>
      <c r="J375">
        <v>0</v>
      </c>
      <c r="K375" t="s">
        <v>14</v>
      </c>
    </row>
    <row r="376" spans="1:11" x14ac:dyDescent="0.2">
      <c r="A376" t="str">
        <f t="shared" si="5"/>
        <v>Drought_Mucoid_b</v>
      </c>
      <c r="B376" t="s">
        <v>29</v>
      </c>
      <c r="C376" s="2" t="s">
        <v>12</v>
      </c>
      <c r="D376" s="2" t="s">
        <v>16</v>
      </c>
      <c r="E376" s="2">
        <v>1</v>
      </c>
      <c r="F376" t="s">
        <v>31</v>
      </c>
      <c r="G376" s="2">
        <v>20</v>
      </c>
      <c r="H376" s="2">
        <v>4</v>
      </c>
      <c r="I376">
        <v>39</v>
      </c>
      <c r="J376">
        <v>1</v>
      </c>
      <c r="K376" t="s">
        <v>14</v>
      </c>
    </row>
    <row r="377" spans="1:11" x14ac:dyDescent="0.2">
      <c r="A377" t="str">
        <f t="shared" si="5"/>
        <v>Drought_Mucoid_b</v>
      </c>
      <c r="B377" t="s">
        <v>29</v>
      </c>
      <c r="C377" s="2" t="s">
        <v>12</v>
      </c>
      <c r="D377" s="2" t="s">
        <v>16</v>
      </c>
      <c r="E377" s="2">
        <v>2</v>
      </c>
      <c r="F377" t="s">
        <v>31</v>
      </c>
      <c r="G377" s="2">
        <v>20</v>
      </c>
      <c r="H377" s="2">
        <v>4</v>
      </c>
      <c r="I377">
        <v>47</v>
      </c>
      <c r="J377">
        <v>1</v>
      </c>
      <c r="K377" t="s">
        <v>14</v>
      </c>
    </row>
    <row r="378" spans="1:11" x14ac:dyDescent="0.2">
      <c r="A378" t="str">
        <f t="shared" si="5"/>
        <v>Drought_Mucoid_c</v>
      </c>
      <c r="B378" t="s">
        <v>29</v>
      </c>
      <c r="C378" s="2" t="s">
        <v>12</v>
      </c>
      <c r="D378" s="2" t="s">
        <v>18</v>
      </c>
      <c r="E378" s="2">
        <v>1</v>
      </c>
      <c r="F378" t="s">
        <v>31</v>
      </c>
      <c r="G378" s="2">
        <v>20</v>
      </c>
      <c r="H378" s="2">
        <v>4</v>
      </c>
      <c r="I378">
        <v>26</v>
      </c>
      <c r="J378">
        <v>0</v>
      </c>
      <c r="K378" t="s">
        <v>14</v>
      </c>
    </row>
    <row r="379" spans="1:11" x14ac:dyDescent="0.2">
      <c r="A379" t="str">
        <f t="shared" si="5"/>
        <v>Drought_Mucoid_c</v>
      </c>
      <c r="B379" t="s">
        <v>29</v>
      </c>
      <c r="C379" s="2" t="s">
        <v>12</v>
      </c>
      <c r="D379" s="2" t="s">
        <v>18</v>
      </c>
      <c r="E379" s="2">
        <v>2</v>
      </c>
      <c r="F379" t="s">
        <v>31</v>
      </c>
      <c r="G379" s="2">
        <v>20</v>
      </c>
      <c r="H379" s="2">
        <v>4</v>
      </c>
      <c r="I379">
        <v>36</v>
      </c>
      <c r="J379">
        <v>0</v>
      </c>
      <c r="K379" t="s">
        <v>14</v>
      </c>
    </row>
    <row r="380" spans="1:11" x14ac:dyDescent="0.2">
      <c r="A380" t="str">
        <f t="shared" si="5"/>
        <v>Drought_Mucoid_d</v>
      </c>
      <c r="B380" t="s">
        <v>29</v>
      </c>
      <c r="C380" s="2" t="s">
        <v>12</v>
      </c>
      <c r="D380" s="2" t="s">
        <v>20</v>
      </c>
      <c r="E380" s="2">
        <v>1</v>
      </c>
      <c r="F380" t="s">
        <v>31</v>
      </c>
      <c r="G380" s="2">
        <v>20</v>
      </c>
      <c r="H380" s="2">
        <v>4</v>
      </c>
      <c r="I380">
        <v>39</v>
      </c>
      <c r="J380">
        <v>1</v>
      </c>
      <c r="K380" t="s">
        <v>14</v>
      </c>
    </row>
    <row r="381" spans="1:11" x14ac:dyDescent="0.2">
      <c r="A381" t="str">
        <f t="shared" si="5"/>
        <v>Drought_Mucoid_d</v>
      </c>
      <c r="B381" t="s">
        <v>29</v>
      </c>
      <c r="C381" s="2" t="s">
        <v>12</v>
      </c>
      <c r="D381" s="2" t="s">
        <v>20</v>
      </c>
      <c r="E381" s="2">
        <v>2</v>
      </c>
      <c r="F381" t="s">
        <v>31</v>
      </c>
      <c r="G381" s="2">
        <v>20</v>
      </c>
      <c r="H381" s="2">
        <v>4</v>
      </c>
      <c r="I381">
        <v>53</v>
      </c>
      <c r="J381">
        <v>0</v>
      </c>
      <c r="K381" t="s">
        <v>14</v>
      </c>
    </row>
    <row r="382" spans="1:11" x14ac:dyDescent="0.2">
      <c r="A382" t="str">
        <f t="shared" si="5"/>
        <v>Drought_Mucoid_e</v>
      </c>
      <c r="B382" t="s">
        <v>29</v>
      </c>
      <c r="C382" s="2" t="s">
        <v>12</v>
      </c>
      <c r="D382" s="2" t="s">
        <v>21</v>
      </c>
      <c r="E382" s="2">
        <v>1</v>
      </c>
      <c r="F382" t="s">
        <v>31</v>
      </c>
      <c r="G382" s="2">
        <v>20</v>
      </c>
      <c r="H382" s="2">
        <v>4</v>
      </c>
      <c r="I382">
        <v>37</v>
      </c>
      <c r="J382">
        <v>0</v>
      </c>
      <c r="K382" t="s">
        <v>14</v>
      </c>
    </row>
    <row r="383" spans="1:11" x14ac:dyDescent="0.2">
      <c r="A383" t="str">
        <f t="shared" si="5"/>
        <v>Drought_Mucoid_e</v>
      </c>
      <c r="B383" t="s">
        <v>29</v>
      </c>
      <c r="C383" s="2" t="s">
        <v>12</v>
      </c>
      <c r="D383" s="2" t="s">
        <v>21</v>
      </c>
      <c r="E383" s="2">
        <v>2</v>
      </c>
      <c r="F383" t="s">
        <v>31</v>
      </c>
      <c r="G383" s="2">
        <v>20</v>
      </c>
      <c r="H383" s="2">
        <v>4</v>
      </c>
      <c r="I383">
        <v>40</v>
      </c>
      <c r="J383">
        <v>0</v>
      </c>
      <c r="K383" t="s">
        <v>14</v>
      </c>
    </row>
    <row r="384" spans="1:11" x14ac:dyDescent="0.2">
      <c r="A384" t="str">
        <f t="shared" si="5"/>
        <v>Drought_Mixture_a</v>
      </c>
      <c r="B384" t="s">
        <v>29</v>
      </c>
      <c r="C384" s="2" t="s">
        <v>27</v>
      </c>
      <c r="D384" s="2" t="s">
        <v>13</v>
      </c>
      <c r="E384" s="2">
        <v>1</v>
      </c>
      <c r="F384" t="s">
        <v>31</v>
      </c>
      <c r="G384" s="2">
        <v>20</v>
      </c>
      <c r="H384" s="2">
        <v>4</v>
      </c>
      <c r="I384">
        <v>7</v>
      </c>
      <c r="J384">
        <v>12</v>
      </c>
      <c r="K384" t="s">
        <v>14</v>
      </c>
    </row>
    <row r="385" spans="1:11" x14ac:dyDescent="0.2">
      <c r="A385" t="str">
        <f t="shared" si="5"/>
        <v>Drought_Mixture_a</v>
      </c>
      <c r="B385" t="s">
        <v>29</v>
      </c>
      <c r="C385" s="2" t="s">
        <v>27</v>
      </c>
      <c r="D385" s="2" t="s">
        <v>13</v>
      </c>
      <c r="E385" s="2">
        <v>2</v>
      </c>
      <c r="F385" t="s">
        <v>31</v>
      </c>
      <c r="G385" s="2">
        <v>20</v>
      </c>
      <c r="H385" s="2">
        <v>4</v>
      </c>
      <c r="I385">
        <v>5</v>
      </c>
      <c r="J385">
        <v>5</v>
      </c>
      <c r="K385" t="s">
        <v>14</v>
      </c>
    </row>
    <row r="386" spans="1:11" x14ac:dyDescent="0.2">
      <c r="A386" t="str">
        <f t="shared" si="5"/>
        <v>Drought_Mixture_b</v>
      </c>
      <c r="B386" t="s">
        <v>29</v>
      </c>
      <c r="C386" s="2" t="s">
        <v>27</v>
      </c>
      <c r="D386" s="2" t="s">
        <v>16</v>
      </c>
      <c r="E386" s="2">
        <v>1</v>
      </c>
      <c r="F386" t="s">
        <v>31</v>
      </c>
      <c r="G386" s="2">
        <v>20</v>
      </c>
      <c r="H386" s="2">
        <v>4</v>
      </c>
      <c r="I386">
        <v>7</v>
      </c>
      <c r="J386">
        <v>13</v>
      </c>
      <c r="K386" t="s">
        <v>14</v>
      </c>
    </row>
    <row r="387" spans="1:11" x14ac:dyDescent="0.2">
      <c r="A387" t="str">
        <f t="shared" ref="A387:A440" si="6">_xlfn.CONCAT(B387,"_",C387,"_",D387)</f>
        <v>Drought_Mixture_b</v>
      </c>
      <c r="B387" t="s">
        <v>29</v>
      </c>
      <c r="C387" s="2" t="s">
        <v>27</v>
      </c>
      <c r="D387" s="2" t="s">
        <v>16</v>
      </c>
      <c r="E387" s="2">
        <v>2</v>
      </c>
      <c r="F387" t="s">
        <v>31</v>
      </c>
      <c r="G387" s="2">
        <v>20</v>
      </c>
      <c r="H387" s="2">
        <v>4</v>
      </c>
      <c r="I387">
        <v>9</v>
      </c>
      <c r="J387">
        <v>9</v>
      </c>
      <c r="K387" t="s">
        <v>14</v>
      </c>
    </row>
    <row r="388" spans="1:11" x14ac:dyDescent="0.2">
      <c r="A388" t="str">
        <f t="shared" si="6"/>
        <v>Drought_Mixture_c</v>
      </c>
      <c r="B388" t="s">
        <v>29</v>
      </c>
      <c r="C388" s="2" t="s">
        <v>27</v>
      </c>
      <c r="D388" s="2" t="s">
        <v>18</v>
      </c>
      <c r="E388" s="2">
        <v>1</v>
      </c>
      <c r="F388" t="s">
        <v>31</v>
      </c>
      <c r="G388" s="2">
        <v>20</v>
      </c>
      <c r="H388" s="2">
        <v>4</v>
      </c>
      <c r="I388">
        <v>4</v>
      </c>
      <c r="J388">
        <v>13</v>
      </c>
      <c r="K388" t="s">
        <v>14</v>
      </c>
    </row>
    <row r="389" spans="1:11" x14ac:dyDescent="0.2">
      <c r="A389" t="str">
        <f t="shared" si="6"/>
        <v>Drought_Mixture_c</v>
      </c>
      <c r="B389" t="s">
        <v>29</v>
      </c>
      <c r="C389" s="2" t="s">
        <v>27</v>
      </c>
      <c r="D389" s="2" t="s">
        <v>18</v>
      </c>
      <c r="E389" s="2">
        <v>2</v>
      </c>
      <c r="F389" t="s">
        <v>31</v>
      </c>
      <c r="G389" s="2">
        <v>20</v>
      </c>
      <c r="H389" s="2">
        <v>4</v>
      </c>
      <c r="I389">
        <v>5</v>
      </c>
      <c r="J389">
        <v>12</v>
      </c>
      <c r="K389" t="s">
        <v>14</v>
      </c>
    </row>
    <row r="390" spans="1:11" x14ac:dyDescent="0.2">
      <c r="A390" t="str">
        <f t="shared" si="6"/>
        <v>Drought_Mixture_d</v>
      </c>
      <c r="B390" t="s">
        <v>29</v>
      </c>
      <c r="C390" s="2" t="s">
        <v>27</v>
      </c>
      <c r="D390" s="2" t="s">
        <v>20</v>
      </c>
      <c r="E390" s="2">
        <v>1</v>
      </c>
      <c r="F390" t="s">
        <v>31</v>
      </c>
      <c r="G390" s="2">
        <v>20</v>
      </c>
      <c r="H390" s="2">
        <v>4</v>
      </c>
      <c r="I390">
        <v>12</v>
      </c>
      <c r="J390">
        <v>12</v>
      </c>
      <c r="K390" t="s">
        <v>14</v>
      </c>
    </row>
    <row r="391" spans="1:11" x14ac:dyDescent="0.2">
      <c r="A391" t="str">
        <f t="shared" si="6"/>
        <v>Drought_Mixture_d</v>
      </c>
      <c r="B391" t="s">
        <v>29</v>
      </c>
      <c r="C391" s="2" t="s">
        <v>27</v>
      </c>
      <c r="D391" s="2" t="s">
        <v>20</v>
      </c>
      <c r="E391" s="2">
        <v>2</v>
      </c>
      <c r="F391" t="s">
        <v>31</v>
      </c>
      <c r="G391" s="2">
        <v>20</v>
      </c>
      <c r="H391" s="2">
        <v>4</v>
      </c>
      <c r="I391">
        <v>12</v>
      </c>
      <c r="J391">
        <v>10</v>
      </c>
      <c r="K391" t="s">
        <v>14</v>
      </c>
    </row>
    <row r="392" spans="1:11" x14ac:dyDescent="0.2">
      <c r="A392" t="str">
        <f t="shared" si="6"/>
        <v>Drought_Mixture_e</v>
      </c>
      <c r="B392" t="s">
        <v>29</v>
      </c>
      <c r="C392" s="2" t="s">
        <v>27</v>
      </c>
      <c r="D392" s="2" t="s">
        <v>21</v>
      </c>
      <c r="E392" s="2">
        <v>1</v>
      </c>
      <c r="F392" t="s">
        <v>31</v>
      </c>
      <c r="G392" s="2">
        <v>20</v>
      </c>
      <c r="H392" s="2">
        <v>4</v>
      </c>
      <c r="I392">
        <v>13</v>
      </c>
      <c r="J392">
        <v>8</v>
      </c>
      <c r="K392" t="s">
        <v>14</v>
      </c>
    </row>
    <row r="393" spans="1:11" x14ac:dyDescent="0.2">
      <c r="A393" t="str">
        <f t="shared" si="6"/>
        <v>Drought_Mixture_e</v>
      </c>
      <c r="B393" t="s">
        <v>29</v>
      </c>
      <c r="C393" s="2" t="s">
        <v>27</v>
      </c>
      <c r="D393" s="2" t="s">
        <v>21</v>
      </c>
      <c r="E393" s="2">
        <v>2</v>
      </c>
      <c r="F393" t="s">
        <v>31</v>
      </c>
      <c r="G393" s="2">
        <v>20</v>
      </c>
      <c r="H393" s="2">
        <v>4</v>
      </c>
      <c r="I393">
        <v>9</v>
      </c>
      <c r="J393">
        <v>4</v>
      </c>
      <c r="K393" t="s">
        <v>14</v>
      </c>
    </row>
    <row r="394" spans="1:11" x14ac:dyDescent="0.2">
      <c r="A394" t="str">
        <f t="shared" si="6"/>
        <v>Drought_Mucoid_s</v>
      </c>
      <c r="B394" t="s">
        <v>29</v>
      </c>
      <c r="C394" t="s">
        <v>12</v>
      </c>
      <c r="D394" t="s">
        <v>33</v>
      </c>
      <c r="E394">
        <v>1</v>
      </c>
      <c r="F394" t="s">
        <v>31</v>
      </c>
      <c r="G394" s="2">
        <v>20</v>
      </c>
      <c r="H394" s="2">
        <v>4</v>
      </c>
      <c r="I394">
        <v>47</v>
      </c>
      <c r="J394">
        <v>0</v>
      </c>
      <c r="K394" t="s">
        <v>14</v>
      </c>
    </row>
    <row r="395" spans="1:11" x14ac:dyDescent="0.2">
      <c r="A395" t="str">
        <f t="shared" si="6"/>
        <v>Drought_Mucoid_s</v>
      </c>
      <c r="B395" t="s">
        <v>29</v>
      </c>
      <c r="C395" t="s">
        <v>12</v>
      </c>
      <c r="D395" t="s">
        <v>33</v>
      </c>
      <c r="E395">
        <v>2</v>
      </c>
      <c r="F395" t="s">
        <v>31</v>
      </c>
      <c r="G395" s="2">
        <v>20</v>
      </c>
      <c r="H395" s="2">
        <v>4</v>
      </c>
      <c r="I395">
        <v>51</v>
      </c>
      <c r="J395">
        <v>0</v>
      </c>
      <c r="K395" t="s">
        <v>14</v>
      </c>
    </row>
    <row r="396" spans="1:11" x14ac:dyDescent="0.2">
      <c r="A396" t="str">
        <f t="shared" si="6"/>
        <v>Initial_Mucoid_a</v>
      </c>
      <c r="B396" t="s">
        <v>11</v>
      </c>
      <c r="C396" t="s">
        <v>12</v>
      </c>
      <c r="D396" t="s">
        <v>13</v>
      </c>
      <c r="E396">
        <v>1</v>
      </c>
      <c r="F396">
        <v>0</v>
      </c>
      <c r="G396">
        <v>20</v>
      </c>
      <c r="H396">
        <v>5</v>
      </c>
      <c r="I396">
        <v>9</v>
      </c>
      <c r="J396">
        <v>0</v>
      </c>
      <c r="K396" t="s">
        <v>14</v>
      </c>
    </row>
    <row r="397" spans="1:11" x14ac:dyDescent="0.2">
      <c r="A397" t="str">
        <f t="shared" si="6"/>
        <v>Initial_Mucoid_a</v>
      </c>
      <c r="B397" t="s">
        <v>11</v>
      </c>
      <c r="C397" t="s">
        <v>12</v>
      </c>
      <c r="D397" t="s">
        <v>13</v>
      </c>
      <c r="E397">
        <v>2</v>
      </c>
      <c r="F397">
        <v>0</v>
      </c>
      <c r="G397">
        <v>20</v>
      </c>
      <c r="H397">
        <v>5</v>
      </c>
      <c r="I397">
        <v>10</v>
      </c>
      <c r="J397">
        <v>0</v>
      </c>
      <c r="K397" t="s">
        <v>14</v>
      </c>
    </row>
    <row r="398" spans="1:11" x14ac:dyDescent="0.2">
      <c r="A398" t="str">
        <f t="shared" si="6"/>
        <v>Initial_Mucoid_a</v>
      </c>
      <c r="B398" t="s">
        <v>11</v>
      </c>
      <c r="C398" t="s">
        <v>12</v>
      </c>
      <c r="D398" t="s">
        <v>13</v>
      </c>
      <c r="E398">
        <v>3</v>
      </c>
      <c r="F398">
        <v>0</v>
      </c>
      <c r="G398">
        <v>20</v>
      </c>
      <c r="H398">
        <v>5</v>
      </c>
      <c r="I398">
        <v>4</v>
      </c>
      <c r="J398">
        <v>0</v>
      </c>
      <c r="K398" t="s">
        <v>14</v>
      </c>
    </row>
    <row r="399" spans="1:11" x14ac:dyDescent="0.2">
      <c r="A399" t="str">
        <f t="shared" si="6"/>
        <v>Initial_Mucoid_a</v>
      </c>
      <c r="B399" t="s">
        <v>11</v>
      </c>
      <c r="C399" t="s">
        <v>12</v>
      </c>
      <c r="D399" t="s">
        <v>13</v>
      </c>
      <c r="E399">
        <v>4</v>
      </c>
      <c r="F399">
        <v>0</v>
      </c>
      <c r="G399">
        <v>20</v>
      </c>
      <c r="H399">
        <v>5</v>
      </c>
      <c r="I399">
        <v>5</v>
      </c>
      <c r="J399">
        <v>0</v>
      </c>
      <c r="K399" t="s">
        <v>14</v>
      </c>
    </row>
    <row r="400" spans="1:11" x14ac:dyDescent="0.2">
      <c r="A400" t="str">
        <f t="shared" si="6"/>
        <v>Initial_Mucoid_b</v>
      </c>
      <c r="B400" t="s">
        <v>11</v>
      </c>
      <c r="C400" t="s">
        <v>12</v>
      </c>
      <c r="D400" t="s">
        <v>16</v>
      </c>
      <c r="E400">
        <v>1</v>
      </c>
      <c r="F400">
        <v>0</v>
      </c>
      <c r="G400">
        <v>20</v>
      </c>
      <c r="H400">
        <v>5</v>
      </c>
      <c r="I400">
        <v>18</v>
      </c>
      <c r="J400">
        <v>0</v>
      </c>
      <c r="K400" t="s">
        <v>14</v>
      </c>
    </row>
    <row r="401" spans="1:11" x14ac:dyDescent="0.2">
      <c r="A401" t="str">
        <f t="shared" si="6"/>
        <v>Initial_Mucoid_b</v>
      </c>
      <c r="B401" t="s">
        <v>11</v>
      </c>
      <c r="C401" t="s">
        <v>12</v>
      </c>
      <c r="D401" t="s">
        <v>16</v>
      </c>
      <c r="E401">
        <v>2</v>
      </c>
      <c r="F401">
        <v>0</v>
      </c>
      <c r="G401">
        <v>20</v>
      </c>
      <c r="H401">
        <v>5</v>
      </c>
      <c r="I401">
        <v>16</v>
      </c>
      <c r="J401">
        <v>0</v>
      </c>
      <c r="K401" t="s">
        <v>14</v>
      </c>
    </row>
    <row r="402" spans="1:11" x14ac:dyDescent="0.2">
      <c r="A402" t="str">
        <f t="shared" si="6"/>
        <v>Initial_Mucoid_b</v>
      </c>
      <c r="B402" t="s">
        <v>11</v>
      </c>
      <c r="C402" t="s">
        <v>12</v>
      </c>
      <c r="D402" t="s">
        <v>16</v>
      </c>
      <c r="E402">
        <v>3</v>
      </c>
      <c r="F402">
        <v>0</v>
      </c>
      <c r="G402">
        <v>20</v>
      </c>
      <c r="H402">
        <v>5</v>
      </c>
      <c r="I402">
        <v>13</v>
      </c>
      <c r="J402">
        <v>0</v>
      </c>
      <c r="K402" t="s">
        <v>14</v>
      </c>
    </row>
    <row r="403" spans="1:11" x14ac:dyDescent="0.2">
      <c r="A403" t="str">
        <f t="shared" si="6"/>
        <v>Initial_Mucoid_b</v>
      </c>
      <c r="B403" t="s">
        <v>11</v>
      </c>
      <c r="C403" t="s">
        <v>12</v>
      </c>
      <c r="D403" t="s">
        <v>16</v>
      </c>
      <c r="E403">
        <v>4</v>
      </c>
      <c r="F403">
        <v>0</v>
      </c>
      <c r="G403">
        <v>20</v>
      </c>
      <c r="H403">
        <v>5</v>
      </c>
      <c r="I403">
        <v>13</v>
      </c>
      <c r="J403">
        <v>0</v>
      </c>
      <c r="K403" t="s">
        <v>14</v>
      </c>
    </row>
    <row r="404" spans="1:11" x14ac:dyDescent="0.2">
      <c r="A404" t="str">
        <f t="shared" si="6"/>
        <v>Initial_Mucoid_c</v>
      </c>
      <c r="B404" t="s">
        <v>11</v>
      </c>
      <c r="C404" t="s">
        <v>12</v>
      </c>
      <c r="D404" t="s">
        <v>18</v>
      </c>
      <c r="E404">
        <v>1</v>
      </c>
      <c r="F404">
        <v>0</v>
      </c>
      <c r="G404">
        <v>20</v>
      </c>
      <c r="H404">
        <v>5</v>
      </c>
      <c r="I404">
        <v>19</v>
      </c>
      <c r="J404">
        <v>0</v>
      </c>
      <c r="K404" t="s">
        <v>14</v>
      </c>
    </row>
    <row r="405" spans="1:11" x14ac:dyDescent="0.2">
      <c r="A405" t="str">
        <f t="shared" si="6"/>
        <v>Initial_Mucoid_c</v>
      </c>
      <c r="B405" t="s">
        <v>11</v>
      </c>
      <c r="C405" t="s">
        <v>12</v>
      </c>
      <c r="D405" t="s">
        <v>18</v>
      </c>
      <c r="E405">
        <v>2</v>
      </c>
      <c r="F405">
        <v>0</v>
      </c>
      <c r="G405">
        <v>20</v>
      </c>
      <c r="H405">
        <v>5</v>
      </c>
      <c r="I405">
        <v>18</v>
      </c>
      <c r="J405">
        <v>0</v>
      </c>
      <c r="K405" t="s">
        <v>14</v>
      </c>
    </row>
    <row r="406" spans="1:11" x14ac:dyDescent="0.2">
      <c r="A406" t="str">
        <f t="shared" si="6"/>
        <v>Initial_Mucoid_c</v>
      </c>
      <c r="B406" t="s">
        <v>11</v>
      </c>
      <c r="C406" t="s">
        <v>12</v>
      </c>
      <c r="D406" t="s">
        <v>18</v>
      </c>
      <c r="E406">
        <v>3</v>
      </c>
      <c r="F406">
        <v>0</v>
      </c>
      <c r="G406">
        <v>20</v>
      </c>
      <c r="H406">
        <v>5</v>
      </c>
      <c r="I406">
        <v>8</v>
      </c>
      <c r="J406">
        <v>0</v>
      </c>
      <c r="K406" t="s">
        <v>14</v>
      </c>
    </row>
    <row r="407" spans="1:11" x14ac:dyDescent="0.2">
      <c r="A407" t="str">
        <f t="shared" si="6"/>
        <v>Initial_Mucoid_c</v>
      </c>
      <c r="B407" t="s">
        <v>11</v>
      </c>
      <c r="C407" t="s">
        <v>12</v>
      </c>
      <c r="D407" t="s">
        <v>18</v>
      </c>
      <c r="E407">
        <v>4</v>
      </c>
      <c r="F407">
        <v>0</v>
      </c>
      <c r="G407">
        <v>20</v>
      </c>
      <c r="H407">
        <v>5</v>
      </c>
      <c r="I407">
        <v>16</v>
      </c>
      <c r="J407">
        <v>0</v>
      </c>
      <c r="K407" t="s">
        <v>14</v>
      </c>
    </row>
    <row r="408" spans="1:11" x14ac:dyDescent="0.2">
      <c r="A408" t="str">
        <f t="shared" si="6"/>
        <v>Initial_Mucoid_d</v>
      </c>
      <c r="B408" t="s">
        <v>11</v>
      </c>
      <c r="C408" t="s">
        <v>12</v>
      </c>
      <c r="D408" t="s">
        <v>20</v>
      </c>
      <c r="E408">
        <v>1</v>
      </c>
      <c r="F408">
        <v>0</v>
      </c>
      <c r="G408">
        <v>20</v>
      </c>
      <c r="H408">
        <v>5</v>
      </c>
      <c r="I408">
        <v>6</v>
      </c>
      <c r="J408">
        <v>0</v>
      </c>
      <c r="K408" t="s">
        <v>14</v>
      </c>
    </row>
    <row r="409" spans="1:11" x14ac:dyDescent="0.2">
      <c r="A409" t="str">
        <f t="shared" si="6"/>
        <v>Initial_Mucoid_d</v>
      </c>
      <c r="B409" t="s">
        <v>11</v>
      </c>
      <c r="C409" t="s">
        <v>12</v>
      </c>
      <c r="D409" t="s">
        <v>20</v>
      </c>
      <c r="E409">
        <v>2</v>
      </c>
      <c r="F409">
        <v>0</v>
      </c>
      <c r="G409">
        <v>20</v>
      </c>
      <c r="H409">
        <v>5</v>
      </c>
      <c r="I409">
        <v>6</v>
      </c>
      <c r="J409">
        <v>0</v>
      </c>
      <c r="K409" t="s">
        <v>14</v>
      </c>
    </row>
    <row r="410" spans="1:11" x14ac:dyDescent="0.2">
      <c r="A410" t="str">
        <f t="shared" si="6"/>
        <v>Initial_Mucoid_d</v>
      </c>
      <c r="B410" t="s">
        <v>11</v>
      </c>
      <c r="C410" t="s">
        <v>12</v>
      </c>
      <c r="D410" t="s">
        <v>20</v>
      </c>
      <c r="E410">
        <v>3</v>
      </c>
      <c r="F410">
        <v>0</v>
      </c>
      <c r="G410">
        <v>20</v>
      </c>
      <c r="H410">
        <v>5</v>
      </c>
      <c r="I410">
        <v>9</v>
      </c>
      <c r="J410">
        <v>0</v>
      </c>
      <c r="K410" t="s">
        <v>14</v>
      </c>
    </row>
    <row r="411" spans="1:11" x14ac:dyDescent="0.2">
      <c r="A411" t="str">
        <f t="shared" si="6"/>
        <v>Initial_Mucoid_d</v>
      </c>
      <c r="B411" t="s">
        <v>11</v>
      </c>
      <c r="C411" t="s">
        <v>12</v>
      </c>
      <c r="D411" t="s">
        <v>20</v>
      </c>
      <c r="E411">
        <v>4</v>
      </c>
      <c r="F411">
        <v>0</v>
      </c>
      <c r="G411">
        <v>20</v>
      </c>
      <c r="H411">
        <v>5</v>
      </c>
      <c r="I411">
        <v>15</v>
      </c>
      <c r="J411">
        <v>0</v>
      </c>
      <c r="K411" t="s">
        <v>14</v>
      </c>
    </row>
    <row r="412" spans="1:11" x14ac:dyDescent="0.2">
      <c r="A412" t="str">
        <f t="shared" si="6"/>
        <v>Initial_Mucoid_e</v>
      </c>
      <c r="B412" t="s">
        <v>11</v>
      </c>
      <c r="C412" t="s">
        <v>12</v>
      </c>
      <c r="D412" t="s">
        <v>21</v>
      </c>
      <c r="E412">
        <v>1</v>
      </c>
      <c r="F412">
        <v>0</v>
      </c>
      <c r="G412">
        <v>20</v>
      </c>
      <c r="H412">
        <v>5</v>
      </c>
      <c r="I412">
        <v>14</v>
      </c>
      <c r="J412">
        <v>0</v>
      </c>
      <c r="K412" t="s">
        <v>14</v>
      </c>
    </row>
    <row r="413" spans="1:11" x14ac:dyDescent="0.2">
      <c r="A413" t="str">
        <f t="shared" si="6"/>
        <v>Initial_Mucoid_e</v>
      </c>
      <c r="B413" t="s">
        <v>11</v>
      </c>
      <c r="C413" t="s">
        <v>12</v>
      </c>
      <c r="D413" t="s">
        <v>21</v>
      </c>
      <c r="E413">
        <v>2</v>
      </c>
      <c r="F413">
        <v>0</v>
      </c>
      <c r="G413">
        <v>20</v>
      </c>
      <c r="H413">
        <v>5</v>
      </c>
      <c r="I413">
        <v>16</v>
      </c>
      <c r="J413">
        <v>0</v>
      </c>
      <c r="K413" t="s">
        <v>14</v>
      </c>
    </row>
    <row r="414" spans="1:11" x14ac:dyDescent="0.2">
      <c r="A414" t="str">
        <f t="shared" si="6"/>
        <v>Initial_Mucoid_e</v>
      </c>
      <c r="B414" t="s">
        <v>11</v>
      </c>
      <c r="C414" t="s">
        <v>12</v>
      </c>
      <c r="D414" t="s">
        <v>21</v>
      </c>
      <c r="E414">
        <v>3</v>
      </c>
      <c r="F414">
        <v>0</v>
      </c>
      <c r="G414">
        <v>20</v>
      </c>
      <c r="H414">
        <v>5</v>
      </c>
      <c r="I414">
        <v>19</v>
      </c>
      <c r="J414">
        <v>0</v>
      </c>
      <c r="K414" t="s">
        <v>14</v>
      </c>
    </row>
    <row r="415" spans="1:11" x14ac:dyDescent="0.2">
      <c r="A415" t="str">
        <f t="shared" si="6"/>
        <v>Initial_Mucoid_e</v>
      </c>
      <c r="B415" t="s">
        <v>11</v>
      </c>
      <c r="C415" t="s">
        <v>12</v>
      </c>
      <c r="D415" t="s">
        <v>21</v>
      </c>
      <c r="E415">
        <v>4</v>
      </c>
      <c r="F415">
        <v>0</v>
      </c>
      <c r="G415">
        <v>20</v>
      </c>
      <c r="H415">
        <v>5</v>
      </c>
      <c r="I415">
        <v>9</v>
      </c>
      <c r="J415">
        <v>0</v>
      </c>
      <c r="K415" t="s">
        <v>14</v>
      </c>
    </row>
    <row r="416" spans="1:11" x14ac:dyDescent="0.2">
      <c r="A416" t="str">
        <f t="shared" si="6"/>
        <v>Initial_Dry_a</v>
      </c>
      <c r="B416" t="s">
        <v>11</v>
      </c>
      <c r="C416" t="s">
        <v>23</v>
      </c>
      <c r="D416" t="s">
        <v>13</v>
      </c>
      <c r="E416">
        <v>1</v>
      </c>
      <c r="F416">
        <v>0</v>
      </c>
      <c r="G416">
        <v>20</v>
      </c>
      <c r="H416">
        <v>5</v>
      </c>
      <c r="I416">
        <v>0</v>
      </c>
      <c r="J416">
        <v>19</v>
      </c>
      <c r="K416" t="s">
        <v>14</v>
      </c>
    </row>
    <row r="417" spans="1:11" x14ac:dyDescent="0.2">
      <c r="A417" t="str">
        <f t="shared" si="6"/>
        <v>Initial_Dry_a</v>
      </c>
      <c r="B417" t="s">
        <v>11</v>
      </c>
      <c r="C417" t="s">
        <v>23</v>
      </c>
      <c r="D417" t="s">
        <v>13</v>
      </c>
      <c r="E417">
        <v>2</v>
      </c>
      <c r="F417">
        <v>0</v>
      </c>
      <c r="G417">
        <v>20</v>
      </c>
      <c r="H417">
        <v>5</v>
      </c>
      <c r="I417">
        <v>0</v>
      </c>
      <c r="J417">
        <v>20</v>
      </c>
      <c r="K417" t="s">
        <v>14</v>
      </c>
    </row>
    <row r="418" spans="1:11" x14ac:dyDescent="0.2">
      <c r="A418" t="str">
        <f t="shared" si="6"/>
        <v>Initial_Dry_a</v>
      </c>
      <c r="B418" t="s">
        <v>11</v>
      </c>
      <c r="C418" t="s">
        <v>23</v>
      </c>
      <c r="D418" t="s">
        <v>13</v>
      </c>
      <c r="E418">
        <v>3</v>
      </c>
      <c r="F418">
        <v>0</v>
      </c>
      <c r="G418">
        <v>20</v>
      </c>
      <c r="H418">
        <v>5</v>
      </c>
      <c r="I418">
        <v>0</v>
      </c>
      <c r="J418">
        <v>15</v>
      </c>
      <c r="K418" t="s">
        <v>14</v>
      </c>
    </row>
    <row r="419" spans="1:11" x14ac:dyDescent="0.2">
      <c r="A419" t="str">
        <f t="shared" si="6"/>
        <v>Initial_Dry_a</v>
      </c>
      <c r="B419" t="s">
        <v>11</v>
      </c>
      <c r="C419" t="s">
        <v>23</v>
      </c>
      <c r="D419" t="s">
        <v>13</v>
      </c>
      <c r="E419">
        <v>4</v>
      </c>
      <c r="F419">
        <v>0</v>
      </c>
      <c r="G419">
        <v>20</v>
      </c>
      <c r="H419">
        <v>5</v>
      </c>
      <c r="I419">
        <v>0</v>
      </c>
      <c r="J419">
        <v>24</v>
      </c>
      <c r="K419" t="s">
        <v>14</v>
      </c>
    </row>
    <row r="420" spans="1:11" x14ac:dyDescent="0.2">
      <c r="A420" t="str">
        <f t="shared" si="6"/>
        <v>Initial_Dry_b</v>
      </c>
      <c r="B420" t="s">
        <v>11</v>
      </c>
      <c r="C420" t="s">
        <v>23</v>
      </c>
      <c r="D420" t="s">
        <v>16</v>
      </c>
      <c r="E420">
        <v>1</v>
      </c>
      <c r="F420">
        <v>0</v>
      </c>
      <c r="G420">
        <v>20</v>
      </c>
      <c r="H420">
        <v>5</v>
      </c>
      <c r="I420">
        <v>0</v>
      </c>
      <c r="J420">
        <v>21</v>
      </c>
      <c r="K420" t="s">
        <v>14</v>
      </c>
    </row>
    <row r="421" spans="1:11" x14ac:dyDescent="0.2">
      <c r="A421" t="str">
        <f t="shared" si="6"/>
        <v>Initial_Dry_b</v>
      </c>
      <c r="B421" t="s">
        <v>11</v>
      </c>
      <c r="C421" t="s">
        <v>23</v>
      </c>
      <c r="D421" t="s">
        <v>16</v>
      </c>
      <c r="E421">
        <v>2</v>
      </c>
      <c r="F421">
        <v>0</v>
      </c>
      <c r="G421">
        <v>20</v>
      </c>
      <c r="H421">
        <v>5</v>
      </c>
      <c r="I421">
        <v>0</v>
      </c>
      <c r="J421">
        <v>22</v>
      </c>
      <c r="K421" t="s">
        <v>14</v>
      </c>
    </row>
    <row r="422" spans="1:11" x14ac:dyDescent="0.2">
      <c r="A422" t="str">
        <f t="shared" si="6"/>
        <v>Initial_Dry_b</v>
      </c>
      <c r="B422" t="s">
        <v>11</v>
      </c>
      <c r="C422" t="s">
        <v>23</v>
      </c>
      <c r="D422" t="s">
        <v>16</v>
      </c>
      <c r="E422">
        <v>3</v>
      </c>
      <c r="F422">
        <v>0</v>
      </c>
      <c r="G422">
        <v>20</v>
      </c>
      <c r="H422">
        <v>5</v>
      </c>
      <c r="I422">
        <v>0</v>
      </c>
      <c r="J422">
        <v>16</v>
      </c>
      <c r="K422" t="s">
        <v>14</v>
      </c>
    </row>
    <row r="423" spans="1:11" x14ac:dyDescent="0.2">
      <c r="A423" t="str">
        <f t="shared" si="6"/>
        <v>Initial_Dry_b</v>
      </c>
      <c r="B423" t="s">
        <v>11</v>
      </c>
      <c r="C423" t="s">
        <v>23</v>
      </c>
      <c r="D423" t="s">
        <v>16</v>
      </c>
      <c r="E423">
        <v>4</v>
      </c>
      <c r="F423">
        <v>0</v>
      </c>
      <c r="G423">
        <v>20</v>
      </c>
      <c r="H423">
        <v>5</v>
      </c>
      <c r="I423">
        <v>0</v>
      </c>
      <c r="J423">
        <v>19</v>
      </c>
      <c r="K423" t="s">
        <v>14</v>
      </c>
    </row>
    <row r="424" spans="1:11" x14ac:dyDescent="0.2">
      <c r="A424" t="str">
        <f t="shared" si="6"/>
        <v>Initial_Dry_c</v>
      </c>
      <c r="B424" t="s">
        <v>11</v>
      </c>
      <c r="C424" t="s">
        <v>23</v>
      </c>
      <c r="D424" t="s">
        <v>18</v>
      </c>
      <c r="E424">
        <v>1</v>
      </c>
      <c r="F424">
        <v>0</v>
      </c>
      <c r="G424">
        <v>20</v>
      </c>
      <c r="H424">
        <v>5</v>
      </c>
      <c r="I424">
        <v>0</v>
      </c>
      <c r="J424">
        <v>20</v>
      </c>
      <c r="K424" t="s">
        <v>14</v>
      </c>
    </row>
    <row r="425" spans="1:11" x14ac:dyDescent="0.2">
      <c r="A425" t="str">
        <f t="shared" si="6"/>
        <v>Initial_Dry_c</v>
      </c>
      <c r="B425" t="s">
        <v>11</v>
      </c>
      <c r="C425" t="s">
        <v>23</v>
      </c>
      <c r="D425" t="s">
        <v>18</v>
      </c>
      <c r="E425">
        <v>2</v>
      </c>
      <c r="F425">
        <v>0</v>
      </c>
      <c r="G425">
        <v>20</v>
      </c>
      <c r="H425">
        <v>5</v>
      </c>
      <c r="I425">
        <v>0</v>
      </c>
      <c r="J425">
        <v>23</v>
      </c>
      <c r="K425" t="s">
        <v>14</v>
      </c>
    </row>
    <row r="426" spans="1:11" x14ac:dyDescent="0.2">
      <c r="A426" t="str">
        <f t="shared" si="6"/>
        <v>Initial_Dry_c</v>
      </c>
      <c r="B426" t="s">
        <v>11</v>
      </c>
      <c r="C426" t="s">
        <v>23</v>
      </c>
      <c r="D426" t="s">
        <v>18</v>
      </c>
      <c r="E426">
        <v>3</v>
      </c>
      <c r="F426">
        <v>0</v>
      </c>
      <c r="G426">
        <v>20</v>
      </c>
      <c r="H426">
        <v>5</v>
      </c>
      <c r="I426">
        <v>0</v>
      </c>
      <c r="J426">
        <v>20</v>
      </c>
      <c r="K426" t="s">
        <v>14</v>
      </c>
    </row>
    <row r="427" spans="1:11" x14ac:dyDescent="0.2">
      <c r="A427" t="str">
        <f t="shared" si="6"/>
        <v>Initial_Dry_c</v>
      </c>
      <c r="B427" t="s">
        <v>11</v>
      </c>
      <c r="C427" t="s">
        <v>23</v>
      </c>
      <c r="D427" t="s">
        <v>18</v>
      </c>
      <c r="E427">
        <v>4</v>
      </c>
      <c r="F427">
        <v>0</v>
      </c>
      <c r="G427">
        <v>20</v>
      </c>
      <c r="H427">
        <v>5</v>
      </c>
      <c r="I427">
        <v>0</v>
      </c>
      <c r="J427">
        <v>17</v>
      </c>
      <c r="K427" t="s">
        <v>14</v>
      </c>
    </row>
    <row r="428" spans="1:11" x14ac:dyDescent="0.2">
      <c r="A428" t="str">
        <f t="shared" si="6"/>
        <v>Initial_Dry_d</v>
      </c>
      <c r="B428" t="s">
        <v>11</v>
      </c>
      <c r="C428" t="s">
        <v>23</v>
      </c>
      <c r="D428" t="s">
        <v>20</v>
      </c>
      <c r="E428">
        <v>1</v>
      </c>
      <c r="F428">
        <v>0</v>
      </c>
      <c r="G428">
        <v>20</v>
      </c>
      <c r="H428">
        <v>5</v>
      </c>
      <c r="I428">
        <v>0</v>
      </c>
      <c r="J428">
        <v>14</v>
      </c>
      <c r="K428" t="s">
        <v>14</v>
      </c>
    </row>
    <row r="429" spans="1:11" x14ac:dyDescent="0.2">
      <c r="A429" t="str">
        <f t="shared" si="6"/>
        <v>Initial_Dry_d</v>
      </c>
      <c r="B429" t="s">
        <v>11</v>
      </c>
      <c r="C429" t="s">
        <v>23</v>
      </c>
      <c r="D429" t="s">
        <v>20</v>
      </c>
      <c r="E429">
        <v>2</v>
      </c>
      <c r="F429">
        <v>0</v>
      </c>
      <c r="G429">
        <v>20</v>
      </c>
      <c r="H429">
        <v>5</v>
      </c>
      <c r="I429">
        <v>0</v>
      </c>
      <c r="J429">
        <v>17</v>
      </c>
      <c r="K429" t="s">
        <v>14</v>
      </c>
    </row>
    <row r="430" spans="1:11" x14ac:dyDescent="0.2">
      <c r="A430" t="str">
        <f t="shared" si="6"/>
        <v>Initial_Dry_d</v>
      </c>
      <c r="B430" t="s">
        <v>11</v>
      </c>
      <c r="C430" t="s">
        <v>23</v>
      </c>
      <c r="D430" t="s">
        <v>20</v>
      </c>
      <c r="E430">
        <v>3</v>
      </c>
      <c r="F430">
        <v>0</v>
      </c>
      <c r="G430">
        <v>20</v>
      </c>
      <c r="H430">
        <v>5</v>
      </c>
      <c r="I430">
        <v>0</v>
      </c>
      <c r="J430">
        <v>24</v>
      </c>
      <c r="K430" t="s">
        <v>14</v>
      </c>
    </row>
    <row r="431" spans="1:11" x14ac:dyDescent="0.2">
      <c r="A431" t="str">
        <f t="shared" si="6"/>
        <v>Initial_Dry_d</v>
      </c>
      <c r="B431" t="s">
        <v>11</v>
      </c>
      <c r="C431" t="s">
        <v>23</v>
      </c>
      <c r="D431" t="s">
        <v>20</v>
      </c>
      <c r="E431">
        <v>4</v>
      </c>
      <c r="F431">
        <v>0</v>
      </c>
      <c r="G431">
        <v>20</v>
      </c>
      <c r="H431">
        <v>5</v>
      </c>
      <c r="I431">
        <v>0</v>
      </c>
      <c r="J431">
        <v>17</v>
      </c>
      <c r="K431" t="s">
        <v>14</v>
      </c>
    </row>
    <row r="432" spans="1:11" x14ac:dyDescent="0.2">
      <c r="A432" t="str">
        <f t="shared" si="6"/>
        <v>Initial_Dry_e</v>
      </c>
      <c r="B432" t="s">
        <v>11</v>
      </c>
      <c r="C432" t="s">
        <v>23</v>
      </c>
      <c r="D432" t="s">
        <v>21</v>
      </c>
      <c r="E432">
        <v>1</v>
      </c>
      <c r="F432">
        <v>0</v>
      </c>
      <c r="G432">
        <v>20</v>
      </c>
      <c r="H432">
        <v>5</v>
      </c>
      <c r="I432">
        <v>0</v>
      </c>
      <c r="J432">
        <v>14</v>
      </c>
      <c r="K432" t="s">
        <v>14</v>
      </c>
    </row>
    <row r="433" spans="1:11" x14ac:dyDescent="0.2">
      <c r="A433" t="str">
        <f t="shared" si="6"/>
        <v>Initial_Dry_e</v>
      </c>
      <c r="B433" t="s">
        <v>11</v>
      </c>
      <c r="C433" t="s">
        <v>23</v>
      </c>
      <c r="D433" t="s">
        <v>21</v>
      </c>
      <c r="E433">
        <v>2</v>
      </c>
      <c r="F433">
        <v>0</v>
      </c>
      <c r="G433">
        <v>20</v>
      </c>
      <c r="H433">
        <v>5</v>
      </c>
      <c r="I433">
        <v>0</v>
      </c>
      <c r="J433">
        <v>18</v>
      </c>
      <c r="K433" t="s">
        <v>14</v>
      </c>
    </row>
    <row r="434" spans="1:11" x14ac:dyDescent="0.2">
      <c r="A434" t="str">
        <f t="shared" si="6"/>
        <v>Initial_Dry_e</v>
      </c>
      <c r="B434" t="s">
        <v>11</v>
      </c>
      <c r="C434" t="s">
        <v>23</v>
      </c>
      <c r="D434" t="s">
        <v>21</v>
      </c>
      <c r="E434">
        <v>3</v>
      </c>
      <c r="F434">
        <v>0</v>
      </c>
      <c r="G434">
        <v>20</v>
      </c>
      <c r="H434">
        <v>5</v>
      </c>
      <c r="I434">
        <v>0</v>
      </c>
      <c r="J434">
        <v>19</v>
      </c>
      <c r="K434" t="s">
        <v>14</v>
      </c>
    </row>
    <row r="435" spans="1:11" x14ac:dyDescent="0.2">
      <c r="A435" t="str">
        <f t="shared" si="6"/>
        <v>Initial_Dry_e</v>
      </c>
      <c r="B435" t="s">
        <v>11</v>
      </c>
      <c r="C435" t="s">
        <v>23</v>
      </c>
      <c r="D435" t="s">
        <v>21</v>
      </c>
      <c r="E435">
        <v>4</v>
      </c>
      <c r="F435">
        <v>0</v>
      </c>
      <c r="G435">
        <v>20</v>
      </c>
      <c r="H435">
        <v>5</v>
      </c>
      <c r="I435">
        <v>0</v>
      </c>
      <c r="J435">
        <v>16</v>
      </c>
      <c r="K435" t="s">
        <v>14</v>
      </c>
    </row>
    <row r="436" spans="1:11" x14ac:dyDescent="0.2">
      <c r="A436" t="str">
        <f t="shared" si="6"/>
        <v>Initial_Mixture_a</v>
      </c>
      <c r="B436" t="s">
        <v>11</v>
      </c>
      <c r="C436" t="s">
        <v>27</v>
      </c>
      <c r="D436" t="s">
        <v>13</v>
      </c>
      <c r="E436">
        <v>1</v>
      </c>
      <c r="F436">
        <v>0</v>
      </c>
      <c r="G436">
        <v>100</v>
      </c>
      <c r="H436">
        <v>4</v>
      </c>
      <c r="I436">
        <v>46</v>
      </c>
      <c r="J436">
        <v>49</v>
      </c>
      <c r="K436" t="s">
        <v>14</v>
      </c>
    </row>
    <row r="437" spans="1:11" x14ac:dyDescent="0.2">
      <c r="A437" t="str">
        <f t="shared" si="6"/>
        <v>Initial_Mixture_b</v>
      </c>
      <c r="B437" t="s">
        <v>11</v>
      </c>
      <c r="C437" t="s">
        <v>27</v>
      </c>
      <c r="D437" t="s">
        <v>16</v>
      </c>
      <c r="E437">
        <v>2</v>
      </c>
      <c r="F437">
        <v>0</v>
      </c>
      <c r="G437">
        <v>100</v>
      </c>
      <c r="H437">
        <v>4</v>
      </c>
      <c r="I437">
        <v>51</v>
      </c>
      <c r="J437">
        <v>42</v>
      </c>
      <c r="K437" t="s">
        <v>14</v>
      </c>
    </row>
    <row r="438" spans="1:11" x14ac:dyDescent="0.2">
      <c r="A438" t="str">
        <f t="shared" si="6"/>
        <v>Initial_Mixture_c</v>
      </c>
      <c r="B438" t="s">
        <v>11</v>
      </c>
      <c r="C438" t="s">
        <v>27</v>
      </c>
      <c r="D438" t="s">
        <v>18</v>
      </c>
      <c r="E438">
        <v>3</v>
      </c>
      <c r="F438">
        <v>0</v>
      </c>
      <c r="G438">
        <v>100</v>
      </c>
      <c r="H438">
        <v>4</v>
      </c>
      <c r="I438">
        <v>61</v>
      </c>
      <c r="J438">
        <v>64</v>
      </c>
      <c r="K438" t="s">
        <v>14</v>
      </c>
    </row>
    <row r="439" spans="1:11" x14ac:dyDescent="0.2">
      <c r="A439" t="str">
        <f t="shared" si="6"/>
        <v>Initial_Mixture_d</v>
      </c>
      <c r="B439" t="s">
        <v>11</v>
      </c>
      <c r="C439" t="s">
        <v>27</v>
      </c>
      <c r="D439" t="s">
        <v>20</v>
      </c>
      <c r="E439">
        <v>4</v>
      </c>
      <c r="F439">
        <v>0</v>
      </c>
      <c r="G439">
        <v>100</v>
      </c>
      <c r="H439">
        <v>4</v>
      </c>
      <c r="I439">
        <v>44</v>
      </c>
      <c r="J439">
        <v>41</v>
      </c>
      <c r="K439" t="s">
        <v>14</v>
      </c>
    </row>
    <row r="440" spans="1:11" x14ac:dyDescent="0.2">
      <c r="A440" t="str">
        <f t="shared" si="6"/>
        <v>Initial_Mixture_e</v>
      </c>
      <c r="B440" t="s">
        <v>11</v>
      </c>
      <c r="C440" t="s">
        <v>27</v>
      </c>
      <c r="D440" t="s">
        <v>21</v>
      </c>
      <c r="E440">
        <v>5</v>
      </c>
      <c r="F440">
        <v>0</v>
      </c>
      <c r="G440">
        <v>100</v>
      </c>
      <c r="H440">
        <v>4</v>
      </c>
      <c r="I440">
        <v>54</v>
      </c>
      <c r="J440">
        <v>59</v>
      </c>
      <c r="K440" t="s">
        <v>14</v>
      </c>
    </row>
    <row r="441" spans="1:11" x14ac:dyDescent="0.2">
      <c r="A441" t="str">
        <f t="shared" ref="A441:A504" si="7">_xlfn.CONCAT(B441,"_",C441,"_",D441)</f>
        <v>22 °C_Mucoid_a</v>
      </c>
      <c r="B441" s="2" t="s">
        <v>45</v>
      </c>
      <c r="C441" s="2" t="s">
        <v>12</v>
      </c>
      <c r="D441" s="2" t="s">
        <v>13</v>
      </c>
      <c r="E441">
        <v>1</v>
      </c>
      <c r="F441" t="s">
        <v>40</v>
      </c>
      <c r="G441">
        <v>10</v>
      </c>
      <c r="H441">
        <v>4</v>
      </c>
      <c r="I441">
        <v>22</v>
      </c>
      <c r="J441">
        <v>1</v>
      </c>
      <c r="K441" t="s">
        <v>34</v>
      </c>
    </row>
    <row r="442" spans="1:11" x14ac:dyDescent="0.2">
      <c r="A442" t="str">
        <f t="shared" si="7"/>
        <v>22 °C_Mucoid_a</v>
      </c>
      <c r="B442" s="2" t="s">
        <v>45</v>
      </c>
      <c r="C442" s="2" t="s">
        <v>12</v>
      </c>
      <c r="D442" s="2" t="s">
        <v>13</v>
      </c>
      <c r="E442">
        <v>2</v>
      </c>
      <c r="F442" t="s">
        <v>40</v>
      </c>
      <c r="G442">
        <v>10</v>
      </c>
      <c r="H442">
        <v>4</v>
      </c>
      <c r="I442">
        <v>23</v>
      </c>
      <c r="J442">
        <v>0</v>
      </c>
      <c r="K442" t="s">
        <v>34</v>
      </c>
    </row>
    <row r="443" spans="1:11" x14ac:dyDescent="0.2">
      <c r="A443" t="str">
        <f t="shared" si="7"/>
        <v>22 °C_Mucoid_b</v>
      </c>
      <c r="B443" s="2" t="s">
        <v>45</v>
      </c>
      <c r="C443" s="2" t="s">
        <v>12</v>
      </c>
      <c r="D443" s="2" t="s">
        <v>16</v>
      </c>
      <c r="E443">
        <v>1</v>
      </c>
      <c r="F443" t="s">
        <v>40</v>
      </c>
      <c r="G443">
        <v>10</v>
      </c>
      <c r="H443">
        <v>4</v>
      </c>
      <c r="I443">
        <v>5</v>
      </c>
      <c r="J443">
        <v>0</v>
      </c>
      <c r="K443" t="s">
        <v>34</v>
      </c>
    </row>
    <row r="444" spans="1:11" x14ac:dyDescent="0.2">
      <c r="A444" t="str">
        <f t="shared" si="7"/>
        <v>22 °C_Mucoid_b</v>
      </c>
      <c r="B444" s="2" t="s">
        <v>45</v>
      </c>
      <c r="C444" s="2" t="s">
        <v>12</v>
      </c>
      <c r="D444" s="2" t="s">
        <v>16</v>
      </c>
      <c r="E444">
        <v>2</v>
      </c>
      <c r="F444" t="s">
        <v>40</v>
      </c>
      <c r="G444">
        <v>10</v>
      </c>
      <c r="H444">
        <v>4</v>
      </c>
      <c r="I444">
        <v>6</v>
      </c>
      <c r="J444">
        <v>0</v>
      </c>
      <c r="K444" t="s">
        <v>34</v>
      </c>
    </row>
    <row r="445" spans="1:11" x14ac:dyDescent="0.2">
      <c r="A445" t="str">
        <f t="shared" si="7"/>
        <v>22 °C_Mucoid_c</v>
      </c>
      <c r="B445" s="2" t="s">
        <v>45</v>
      </c>
      <c r="C445" s="2" t="s">
        <v>12</v>
      </c>
      <c r="D445" s="2" t="s">
        <v>18</v>
      </c>
      <c r="E445">
        <v>1</v>
      </c>
      <c r="F445" t="s">
        <v>40</v>
      </c>
      <c r="G445">
        <v>10</v>
      </c>
      <c r="H445">
        <v>4</v>
      </c>
      <c r="I445">
        <v>19</v>
      </c>
      <c r="J445">
        <v>0</v>
      </c>
      <c r="K445" t="s">
        <v>34</v>
      </c>
    </row>
    <row r="446" spans="1:11" x14ac:dyDescent="0.2">
      <c r="A446" t="str">
        <f t="shared" si="7"/>
        <v>22 °C_Mucoid_c</v>
      </c>
      <c r="B446" s="2" t="s">
        <v>45</v>
      </c>
      <c r="C446" s="2" t="s">
        <v>12</v>
      </c>
      <c r="D446" s="2" t="s">
        <v>18</v>
      </c>
      <c r="E446">
        <v>2</v>
      </c>
      <c r="F446" t="s">
        <v>40</v>
      </c>
      <c r="G446">
        <v>10</v>
      </c>
      <c r="H446">
        <v>4</v>
      </c>
      <c r="I446">
        <v>12</v>
      </c>
      <c r="J446">
        <v>0</v>
      </c>
      <c r="K446" t="s">
        <v>34</v>
      </c>
    </row>
    <row r="447" spans="1:11" x14ac:dyDescent="0.2">
      <c r="A447" t="str">
        <f t="shared" si="7"/>
        <v>22 °C_Mucoid_d</v>
      </c>
      <c r="B447" s="2" t="s">
        <v>45</v>
      </c>
      <c r="C447" s="2" t="s">
        <v>12</v>
      </c>
      <c r="D447" s="2" t="s">
        <v>20</v>
      </c>
      <c r="E447">
        <v>1</v>
      </c>
      <c r="F447" t="s">
        <v>40</v>
      </c>
      <c r="G447">
        <v>10</v>
      </c>
      <c r="H447">
        <v>4</v>
      </c>
      <c r="I447">
        <v>21</v>
      </c>
      <c r="J447">
        <v>0</v>
      </c>
      <c r="K447" t="s">
        <v>34</v>
      </c>
    </row>
    <row r="448" spans="1:11" x14ac:dyDescent="0.2">
      <c r="A448" t="str">
        <f t="shared" si="7"/>
        <v>22 °C_Mucoid_d</v>
      </c>
      <c r="B448" s="2" t="s">
        <v>45</v>
      </c>
      <c r="C448" s="2" t="s">
        <v>12</v>
      </c>
      <c r="D448" s="2" t="s">
        <v>20</v>
      </c>
      <c r="E448">
        <v>2</v>
      </c>
      <c r="F448" t="s">
        <v>40</v>
      </c>
      <c r="G448">
        <v>10</v>
      </c>
      <c r="H448">
        <v>4</v>
      </c>
      <c r="I448">
        <v>22</v>
      </c>
      <c r="J448">
        <v>0</v>
      </c>
      <c r="K448" t="s">
        <v>34</v>
      </c>
    </row>
    <row r="449" spans="1:11" x14ac:dyDescent="0.2">
      <c r="A449" t="str">
        <f t="shared" si="7"/>
        <v>22 °C_Mucoid_e</v>
      </c>
      <c r="B449" s="2" t="s">
        <v>45</v>
      </c>
      <c r="C449" s="2" t="s">
        <v>12</v>
      </c>
      <c r="D449" s="2" t="s">
        <v>21</v>
      </c>
      <c r="E449">
        <v>1</v>
      </c>
      <c r="F449" t="s">
        <v>40</v>
      </c>
      <c r="G449">
        <v>10</v>
      </c>
      <c r="H449">
        <v>4</v>
      </c>
      <c r="I449">
        <v>14</v>
      </c>
      <c r="J449">
        <v>0</v>
      </c>
      <c r="K449" t="s">
        <v>34</v>
      </c>
    </row>
    <row r="450" spans="1:11" x14ac:dyDescent="0.2">
      <c r="A450" t="str">
        <f t="shared" si="7"/>
        <v>22 °C_Mucoid_e</v>
      </c>
      <c r="B450" s="2" t="s">
        <v>45</v>
      </c>
      <c r="C450" s="2" t="s">
        <v>12</v>
      </c>
      <c r="D450" s="2" t="s">
        <v>21</v>
      </c>
      <c r="E450">
        <v>2</v>
      </c>
      <c r="F450" t="s">
        <v>40</v>
      </c>
      <c r="G450">
        <v>10</v>
      </c>
      <c r="H450">
        <v>4</v>
      </c>
      <c r="I450">
        <v>10</v>
      </c>
      <c r="J450">
        <v>0</v>
      </c>
      <c r="K450" t="s">
        <v>34</v>
      </c>
    </row>
    <row r="451" spans="1:11" x14ac:dyDescent="0.2">
      <c r="A451" t="str">
        <f t="shared" si="7"/>
        <v>22 °C_Dry_a</v>
      </c>
      <c r="B451" s="2" t="s">
        <v>45</v>
      </c>
      <c r="C451" s="2" t="s">
        <v>23</v>
      </c>
      <c r="D451" s="2" t="s">
        <v>13</v>
      </c>
      <c r="E451">
        <v>1</v>
      </c>
      <c r="F451" t="s">
        <v>40</v>
      </c>
      <c r="G451">
        <v>10</v>
      </c>
      <c r="H451">
        <v>4</v>
      </c>
      <c r="I451">
        <v>0</v>
      </c>
      <c r="J451">
        <v>7</v>
      </c>
      <c r="K451" t="s">
        <v>34</v>
      </c>
    </row>
    <row r="452" spans="1:11" x14ac:dyDescent="0.2">
      <c r="A452" t="str">
        <f t="shared" si="7"/>
        <v>22 °C_Dry_a</v>
      </c>
      <c r="B452" s="2" t="s">
        <v>45</v>
      </c>
      <c r="C452" s="2" t="s">
        <v>23</v>
      </c>
      <c r="D452" s="2" t="s">
        <v>13</v>
      </c>
      <c r="E452">
        <v>2</v>
      </c>
      <c r="F452" t="s">
        <v>40</v>
      </c>
      <c r="G452">
        <v>10</v>
      </c>
      <c r="H452">
        <v>4</v>
      </c>
      <c r="I452">
        <v>0</v>
      </c>
      <c r="J452">
        <v>9</v>
      </c>
      <c r="K452" t="s">
        <v>34</v>
      </c>
    </row>
    <row r="453" spans="1:11" x14ac:dyDescent="0.2">
      <c r="A453" t="str">
        <f t="shared" si="7"/>
        <v>22 °C_Dry_b</v>
      </c>
      <c r="B453" s="2" t="s">
        <v>45</v>
      </c>
      <c r="C453" s="2" t="s">
        <v>23</v>
      </c>
      <c r="D453" s="2" t="s">
        <v>16</v>
      </c>
      <c r="E453">
        <v>1</v>
      </c>
      <c r="F453" t="s">
        <v>40</v>
      </c>
      <c r="G453">
        <v>10</v>
      </c>
      <c r="H453">
        <v>4</v>
      </c>
      <c r="I453">
        <v>0</v>
      </c>
      <c r="J453">
        <v>16</v>
      </c>
      <c r="K453" t="s">
        <v>34</v>
      </c>
    </row>
    <row r="454" spans="1:11" x14ac:dyDescent="0.2">
      <c r="A454" t="str">
        <f t="shared" si="7"/>
        <v>22 °C_Dry_b</v>
      </c>
      <c r="B454" s="2" t="s">
        <v>45</v>
      </c>
      <c r="C454" s="2" t="s">
        <v>23</v>
      </c>
      <c r="D454" s="2" t="s">
        <v>16</v>
      </c>
      <c r="E454">
        <v>2</v>
      </c>
      <c r="F454" t="s">
        <v>40</v>
      </c>
      <c r="G454">
        <v>10</v>
      </c>
      <c r="H454">
        <v>4</v>
      </c>
      <c r="I454">
        <v>0</v>
      </c>
      <c r="J454">
        <v>21</v>
      </c>
      <c r="K454" t="s">
        <v>34</v>
      </c>
    </row>
    <row r="455" spans="1:11" x14ac:dyDescent="0.2">
      <c r="A455" t="str">
        <f t="shared" si="7"/>
        <v>22 °C_Dry_c</v>
      </c>
      <c r="B455" s="2" t="s">
        <v>45</v>
      </c>
      <c r="C455" s="2" t="s">
        <v>23</v>
      </c>
      <c r="D455" s="2" t="s">
        <v>18</v>
      </c>
      <c r="E455">
        <v>1</v>
      </c>
      <c r="F455" t="s">
        <v>40</v>
      </c>
      <c r="G455">
        <v>10</v>
      </c>
      <c r="H455">
        <v>4</v>
      </c>
      <c r="I455">
        <v>0</v>
      </c>
      <c r="J455">
        <v>9</v>
      </c>
      <c r="K455" t="s">
        <v>34</v>
      </c>
    </row>
    <row r="456" spans="1:11" x14ac:dyDescent="0.2">
      <c r="A456" t="str">
        <f t="shared" si="7"/>
        <v>22 °C_Dry_c</v>
      </c>
      <c r="B456" s="2" t="s">
        <v>45</v>
      </c>
      <c r="C456" s="2" t="s">
        <v>23</v>
      </c>
      <c r="D456" s="2" t="s">
        <v>18</v>
      </c>
      <c r="E456">
        <v>2</v>
      </c>
      <c r="F456" t="s">
        <v>40</v>
      </c>
      <c r="G456">
        <v>10</v>
      </c>
      <c r="H456">
        <v>4</v>
      </c>
      <c r="I456">
        <v>0</v>
      </c>
      <c r="J456">
        <v>11</v>
      </c>
      <c r="K456" t="s">
        <v>34</v>
      </c>
    </row>
    <row r="457" spans="1:11" x14ac:dyDescent="0.2">
      <c r="A457" t="str">
        <f t="shared" si="7"/>
        <v>22 °C_Dry_d</v>
      </c>
      <c r="B457" s="2" t="s">
        <v>45</v>
      </c>
      <c r="C457" s="2" t="s">
        <v>23</v>
      </c>
      <c r="D457" s="2" t="s">
        <v>20</v>
      </c>
      <c r="E457">
        <v>1</v>
      </c>
      <c r="F457" t="s">
        <v>40</v>
      </c>
      <c r="G457">
        <v>10</v>
      </c>
      <c r="H457">
        <v>4</v>
      </c>
      <c r="I457">
        <v>0</v>
      </c>
      <c r="J457">
        <v>6</v>
      </c>
      <c r="K457" t="s">
        <v>34</v>
      </c>
    </row>
    <row r="458" spans="1:11" x14ac:dyDescent="0.2">
      <c r="A458" t="str">
        <f t="shared" si="7"/>
        <v>22 °C_Dry_d</v>
      </c>
      <c r="B458" s="2" t="s">
        <v>45</v>
      </c>
      <c r="C458" s="2" t="s">
        <v>23</v>
      </c>
      <c r="D458" s="2" t="s">
        <v>20</v>
      </c>
      <c r="E458">
        <v>2</v>
      </c>
      <c r="F458" t="s">
        <v>40</v>
      </c>
      <c r="G458">
        <v>10</v>
      </c>
      <c r="H458">
        <v>4</v>
      </c>
      <c r="I458">
        <v>0</v>
      </c>
      <c r="J458">
        <v>8</v>
      </c>
      <c r="K458" t="s">
        <v>34</v>
      </c>
    </row>
    <row r="459" spans="1:11" x14ac:dyDescent="0.2">
      <c r="A459" t="str">
        <f t="shared" si="7"/>
        <v>22 °C_Dry_e</v>
      </c>
      <c r="B459" s="2" t="s">
        <v>45</v>
      </c>
      <c r="C459" s="2" t="s">
        <v>23</v>
      </c>
      <c r="D459" s="2" t="s">
        <v>21</v>
      </c>
      <c r="E459">
        <v>1</v>
      </c>
      <c r="F459" t="s">
        <v>40</v>
      </c>
      <c r="G459">
        <v>10</v>
      </c>
      <c r="H459">
        <v>4</v>
      </c>
      <c r="I459">
        <v>0</v>
      </c>
      <c r="J459">
        <v>5</v>
      </c>
      <c r="K459" t="s">
        <v>34</v>
      </c>
    </row>
    <row r="460" spans="1:11" x14ac:dyDescent="0.2">
      <c r="A460" t="str">
        <f t="shared" si="7"/>
        <v>22 °C_Dry_e</v>
      </c>
      <c r="B460" s="2" t="s">
        <v>45</v>
      </c>
      <c r="C460" s="2" t="s">
        <v>23</v>
      </c>
      <c r="D460" s="2" t="s">
        <v>21</v>
      </c>
      <c r="E460">
        <v>2</v>
      </c>
      <c r="F460" t="s">
        <v>40</v>
      </c>
      <c r="G460">
        <v>10</v>
      </c>
      <c r="H460">
        <v>4</v>
      </c>
      <c r="I460">
        <v>0</v>
      </c>
      <c r="J460">
        <v>3</v>
      </c>
      <c r="K460" t="s">
        <v>34</v>
      </c>
    </row>
    <row r="461" spans="1:11" x14ac:dyDescent="0.2">
      <c r="A461" t="str">
        <f t="shared" si="7"/>
        <v>22 °C_Mixture_a</v>
      </c>
      <c r="B461" s="2" t="s">
        <v>45</v>
      </c>
      <c r="C461" s="2" t="s">
        <v>27</v>
      </c>
      <c r="D461" s="2" t="s">
        <v>13</v>
      </c>
      <c r="E461">
        <v>1</v>
      </c>
      <c r="F461" t="s">
        <v>40</v>
      </c>
      <c r="G461">
        <v>10</v>
      </c>
      <c r="H461">
        <v>4</v>
      </c>
      <c r="I461">
        <v>1</v>
      </c>
      <c r="J461">
        <v>3</v>
      </c>
      <c r="K461" t="s">
        <v>34</v>
      </c>
    </row>
    <row r="462" spans="1:11" x14ac:dyDescent="0.2">
      <c r="A462" t="str">
        <f t="shared" si="7"/>
        <v>22 °C_Mixture_a</v>
      </c>
      <c r="B462" s="2" t="s">
        <v>45</v>
      </c>
      <c r="C462" s="2" t="s">
        <v>27</v>
      </c>
      <c r="D462" s="2" t="s">
        <v>13</v>
      </c>
      <c r="E462">
        <v>2</v>
      </c>
      <c r="F462" t="s">
        <v>40</v>
      </c>
      <c r="G462">
        <v>10</v>
      </c>
      <c r="H462">
        <v>4</v>
      </c>
      <c r="I462">
        <v>3</v>
      </c>
      <c r="J462">
        <v>2</v>
      </c>
      <c r="K462" t="s">
        <v>34</v>
      </c>
    </row>
    <row r="463" spans="1:11" x14ac:dyDescent="0.2">
      <c r="A463" t="str">
        <f t="shared" si="7"/>
        <v>22 °C_Mixture_b</v>
      </c>
      <c r="B463" s="2" t="s">
        <v>45</v>
      </c>
      <c r="C463" s="2" t="s">
        <v>27</v>
      </c>
      <c r="D463" s="2" t="s">
        <v>16</v>
      </c>
      <c r="E463">
        <v>1</v>
      </c>
      <c r="F463" t="s">
        <v>40</v>
      </c>
      <c r="G463">
        <v>10</v>
      </c>
      <c r="H463">
        <v>4</v>
      </c>
      <c r="I463">
        <v>3</v>
      </c>
      <c r="J463">
        <v>2</v>
      </c>
      <c r="K463" t="s">
        <v>34</v>
      </c>
    </row>
    <row r="464" spans="1:11" x14ac:dyDescent="0.2">
      <c r="A464" t="str">
        <f t="shared" si="7"/>
        <v>22 °C_Mixture_b</v>
      </c>
      <c r="B464" s="2" t="s">
        <v>45</v>
      </c>
      <c r="C464" s="2" t="s">
        <v>27</v>
      </c>
      <c r="D464" s="2" t="s">
        <v>16</v>
      </c>
      <c r="E464">
        <v>2</v>
      </c>
      <c r="F464" t="s">
        <v>40</v>
      </c>
      <c r="G464">
        <v>10</v>
      </c>
      <c r="H464">
        <v>4</v>
      </c>
      <c r="I464">
        <v>2</v>
      </c>
      <c r="J464">
        <v>2</v>
      </c>
      <c r="K464" t="s">
        <v>34</v>
      </c>
    </row>
    <row r="465" spans="1:11" x14ac:dyDescent="0.2">
      <c r="A465" t="str">
        <f t="shared" si="7"/>
        <v>22 °C_Mixture_c</v>
      </c>
      <c r="B465" s="2" t="s">
        <v>45</v>
      </c>
      <c r="C465" s="2" t="s">
        <v>27</v>
      </c>
      <c r="D465" s="2" t="s">
        <v>18</v>
      </c>
      <c r="E465">
        <v>1</v>
      </c>
      <c r="F465" t="s">
        <v>40</v>
      </c>
      <c r="G465">
        <v>10</v>
      </c>
      <c r="H465">
        <v>4</v>
      </c>
      <c r="I465">
        <v>11</v>
      </c>
      <c r="J465">
        <v>7</v>
      </c>
      <c r="K465" t="s">
        <v>34</v>
      </c>
    </row>
    <row r="466" spans="1:11" x14ac:dyDescent="0.2">
      <c r="A466" t="str">
        <f t="shared" si="7"/>
        <v>22 °C_Mixture_c</v>
      </c>
      <c r="B466" s="2" t="s">
        <v>45</v>
      </c>
      <c r="C466" s="2" t="s">
        <v>27</v>
      </c>
      <c r="D466" s="2" t="s">
        <v>18</v>
      </c>
      <c r="E466">
        <v>2</v>
      </c>
      <c r="F466" t="s">
        <v>40</v>
      </c>
      <c r="G466">
        <v>10</v>
      </c>
      <c r="H466">
        <v>4</v>
      </c>
      <c r="I466">
        <v>6</v>
      </c>
      <c r="J466">
        <v>7</v>
      </c>
      <c r="K466" t="s">
        <v>34</v>
      </c>
    </row>
    <row r="467" spans="1:11" x14ac:dyDescent="0.2">
      <c r="A467" t="str">
        <f t="shared" si="7"/>
        <v>22 °C_Mixture_d</v>
      </c>
      <c r="B467" s="2" t="s">
        <v>45</v>
      </c>
      <c r="C467" s="2" t="s">
        <v>27</v>
      </c>
      <c r="D467" s="2" t="s">
        <v>20</v>
      </c>
      <c r="F467" t="s">
        <v>40</v>
      </c>
      <c r="G467">
        <v>10</v>
      </c>
      <c r="H467">
        <v>4</v>
      </c>
      <c r="I467">
        <v>5</v>
      </c>
      <c r="J467">
        <v>6</v>
      </c>
      <c r="K467" t="s">
        <v>34</v>
      </c>
    </row>
    <row r="468" spans="1:11" x14ac:dyDescent="0.2">
      <c r="A468" t="str">
        <f t="shared" si="7"/>
        <v>22 °C_Mixture_d</v>
      </c>
      <c r="B468" s="2" t="s">
        <v>45</v>
      </c>
      <c r="C468" s="2" t="s">
        <v>27</v>
      </c>
      <c r="D468" s="2" t="s">
        <v>20</v>
      </c>
      <c r="F468" t="s">
        <v>40</v>
      </c>
      <c r="G468">
        <v>10</v>
      </c>
      <c r="H468">
        <v>4</v>
      </c>
      <c r="I468">
        <v>4</v>
      </c>
      <c r="J468">
        <v>6</v>
      </c>
      <c r="K468" t="s">
        <v>34</v>
      </c>
    </row>
    <row r="469" spans="1:11" x14ac:dyDescent="0.2">
      <c r="A469" t="str">
        <f t="shared" si="7"/>
        <v>22 °C_Mixture_e</v>
      </c>
      <c r="B469" s="2" t="s">
        <v>45</v>
      </c>
      <c r="C469" s="2" t="s">
        <v>27</v>
      </c>
      <c r="D469" s="2" t="s">
        <v>21</v>
      </c>
      <c r="F469" t="s">
        <v>40</v>
      </c>
      <c r="G469">
        <v>10</v>
      </c>
      <c r="H469">
        <v>4</v>
      </c>
      <c r="I469">
        <v>4</v>
      </c>
      <c r="J469">
        <v>8</v>
      </c>
      <c r="K469" t="s">
        <v>34</v>
      </c>
    </row>
    <row r="470" spans="1:11" x14ac:dyDescent="0.2">
      <c r="A470" t="str">
        <f t="shared" si="7"/>
        <v>22 °C_Mixture_e</v>
      </c>
      <c r="B470" s="2" t="s">
        <v>45</v>
      </c>
      <c r="C470" s="2" t="s">
        <v>27</v>
      </c>
      <c r="D470" s="2" t="s">
        <v>21</v>
      </c>
      <c r="F470" t="s">
        <v>40</v>
      </c>
      <c r="G470">
        <v>10</v>
      </c>
      <c r="H470">
        <v>4</v>
      </c>
      <c r="I470">
        <v>2</v>
      </c>
      <c r="J470">
        <v>5</v>
      </c>
      <c r="K470" t="s">
        <v>34</v>
      </c>
    </row>
    <row r="471" spans="1:11" x14ac:dyDescent="0.2">
      <c r="A471" t="str">
        <f t="shared" si="7"/>
        <v>22 °C_Mucoid_a</v>
      </c>
      <c r="B471" s="2" t="s">
        <v>45</v>
      </c>
      <c r="C471" s="2" t="s">
        <v>12</v>
      </c>
      <c r="D471" s="2" t="s">
        <v>13</v>
      </c>
      <c r="E471">
        <v>1</v>
      </c>
      <c r="F471" t="s">
        <v>42</v>
      </c>
      <c r="G471" s="2">
        <v>10</v>
      </c>
      <c r="H471" s="2">
        <v>4</v>
      </c>
      <c r="I471" s="2">
        <v>15</v>
      </c>
      <c r="J471" s="2">
        <v>0</v>
      </c>
      <c r="K471" t="s">
        <v>34</v>
      </c>
    </row>
    <row r="472" spans="1:11" x14ac:dyDescent="0.2">
      <c r="A472" t="str">
        <f t="shared" si="7"/>
        <v>22 °C_Mucoid_a</v>
      </c>
      <c r="B472" s="2" t="s">
        <v>45</v>
      </c>
      <c r="C472" s="2" t="s">
        <v>12</v>
      </c>
      <c r="D472" s="2" t="s">
        <v>13</v>
      </c>
      <c r="E472">
        <v>2</v>
      </c>
      <c r="F472" t="s">
        <v>42</v>
      </c>
      <c r="G472" s="2">
        <v>10</v>
      </c>
      <c r="H472" s="2">
        <v>4</v>
      </c>
      <c r="I472" s="2">
        <v>16</v>
      </c>
      <c r="J472" s="2">
        <v>0</v>
      </c>
      <c r="K472" t="s">
        <v>34</v>
      </c>
    </row>
    <row r="473" spans="1:11" x14ac:dyDescent="0.2">
      <c r="A473" t="str">
        <f t="shared" si="7"/>
        <v>22 °C_Mucoid_b</v>
      </c>
      <c r="B473" s="2" t="s">
        <v>45</v>
      </c>
      <c r="C473" s="2" t="s">
        <v>12</v>
      </c>
      <c r="D473" s="2" t="s">
        <v>16</v>
      </c>
      <c r="E473">
        <v>1</v>
      </c>
      <c r="F473" t="s">
        <v>42</v>
      </c>
      <c r="G473" s="2">
        <v>10</v>
      </c>
      <c r="H473" s="2">
        <v>4</v>
      </c>
      <c r="I473" s="2">
        <v>27</v>
      </c>
      <c r="J473" s="2">
        <v>1</v>
      </c>
      <c r="K473" t="s">
        <v>34</v>
      </c>
    </row>
    <row r="474" spans="1:11" x14ac:dyDescent="0.2">
      <c r="A474" t="str">
        <f t="shared" si="7"/>
        <v>22 °C_Mucoid_b</v>
      </c>
      <c r="B474" s="2" t="s">
        <v>45</v>
      </c>
      <c r="C474" s="2" t="s">
        <v>12</v>
      </c>
      <c r="D474" s="2" t="s">
        <v>16</v>
      </c>
      <c r="E474">
        <v>2</v>
      </c>
      <c r="F474" t="s">
        <v>42</v>
      </c>
      <c r="G474" s="2">
        <v>10</v>
      </c>
      <c r="H474" s="2">
        <v>4</v>
      </c>
      <c r="I474" s="2">
        <v>23</v>
      </c>
      <c r="J474" s="2">
        <v>0</v>
      </c>
      <c r="K474" t="s">
        <v>34</v>
      </c>
    </row>
    <row r="475" spans="1:11" x14ac:dyDescent="0.2">
      <c r="A475" t="str">
        <f t="shared" si="7"/>
        <v>22 °C_Mucoid_c</v>
      </c>
      <c r="B475" s="2" t="s">
        <v>45</v>
      </c>
      <c r="C475" s="2" t="s">
        <v>12</v>
      </c>
      <c r="D475" s="2" t="s">
        <v>18</v>
      </c>
      <c r="E475">
        <v>1</v>
      </c>
      <c r="F475" t="s">
        <v>42</v>
      </c>
      <c r="G475" s="2">
        <v>10</v>
      </c>
      <c r="H475" s="2">
        <v>4</v>
      </c>
      <c r="I475" s="2">
        <v>54</v>
      </c>
      <c r="J475" s="2">
        <v>0</v>
      </c>
      <c r="K475" t="s">
        <v>34</v>
      </c>
    </row>
    <row r="476" spans="1:11" x14ac:dyDescent="0.2">
      <c r="A476" t="str">
        <f t="shared" si="7"/>
        <v>22 °C_Mucoid_c</v>
      </c>
      <c r="B476" s="2" t="s">
        <v>45</v>
      </c>
      <c r="C476" s="2" t="s">
        <v>12</v>
      </c>
      <c r="D476" s="2" t="s">
        <v>18</v>
      </c>
      <c r="E476">
        <v>2</v>
      </c>
      <c r="F476" t="s">
        <v>42</v>
      </c>
      <c r="G476" s="2">
        <v>10</v>
      </c>
      <c r="H476" s="2">
        <v>4</v>
      </c>
      <c r="I476" s="2">
        <v>46</v>
      </c>
      <c r="J476" s="2">
        <v>0</v>
      </c>
      <c r="K476" t="s">
        <v>34</v>
      </c>
    </row>
    <row r="477" spans="1:11" x14ac:dyDescent="0.2">
      <c r="A477" t="str">
        <f t="shared" si="7"/>
        <v>22 °C_Mucoid_d</v>
      </c>
      <c r="B477" s="2" t="s">
        <v>45</v>
      </c>
      <c r="C477" s="2" t="s">
        <v>12</v>
      </c>
      <c r="D477" s="2" t="s">
        <v>20</v>
      </c>
      <c r="E477">
        <v>1</v>
      </c>
      <c r="F477" t="s">
        <v>42</v>
      </c>
      <c r="G477" s="2">
        <v>10</v>
      </c>
      <c r="H477" s="2">
        <v>4</v>
      </c>
      <c r="I477" s="2">
        <v>12</v>
      </c>
      <c r="J477" s="2">
        <v>0</v>
      </c>
      <c r="K477" t="s">
        <v>34</v>
      </c>
    </row>
    <row r="478" spans="1:11" x14ac:dyDescent="0.2">
      <c r="A478" t="str">
        <f t="shared" si="7"/>
        <v>22 °C_Mucoid_d</v>
      </c>
      <c r="B478" s="2" t="s">
        <v>45</v>
      </c>
      <c r="C478" s="2" t="s">
        <v>12</v>
      </c>
      <c r="D478" s="2" t="s">
        <v>20</v>
      </c>
      <c r="E478">
        <v>2</v>
      </c>
      <c r="F478" t="s">
        <v>42</v>
      </c>
      <c r="G478" s="2">
        <v>10</v>
      </c>
      <c r="H478" s="2">
        <v>4</v>
      </c>
      <c r="I478" s="2">
        <v>3</v>
      </c>
      <c r="J478" s="2">
        <v>0</v>
      </c>
      <c r="K478" t="s">
        <v>34</v>
      </c>
    </row>
    <row r="479" spans="1:11" x14ac:dyDescent="0.2">
      <c r="A479" t="str">
        <f t="shared" si="7"/>
        <v>22 °C_Mucoid_e</v>
      </c>
      <c r="B479" s="2" t="s">
        <v>45</v>
      </c>
      <c r="C479" s="2" t="s">
        <v>12</v>
      </c>
      <c r="D479" s="2" t="s">
        <v>21</v>
      </c>
      <c r="E479">
        <v>1</v>
      </c>
      <c r="F479" t="s">
        <v>42</v>
      </c>
      <c r="G479" s="2">
        <v>10</v>
      </c>
      <c r="H479" s="2">
        <v>4</v>
      </c>
      <c r="I479" s="2">
        <v>21</v>
      </c>
      <c r="J479" s="2">
        <v>0</v>
      </c>
      <c r="K479" t="s">
        <v>34</v>
      </c>
    </row>
    <row r="480" spans="1:11" x14ac:dyDescent="0.2">
      <c r="A480" t="str">
        <f t="shared" si="7"/>
        <v>22 °C_Mucoid_e</v>
      </c>
      <c r="B480" s="2" t="s">
        <v>45</v>
      </c>
      <c r="C480" s="2" t="s">
        <v>12</v>
      </c>
      <c r="D480" s="2" t="s">
        <v>21</v>
      </c>
      <c r="E480">
        <v>2</v>
      </c>
      <c r="F480" t="s">
        <v>42</v>
      </c>
      <c r="G480" s="2">
        <v>10</v>
      </c>
      <c r="H480" s="2">
        <v>4</v>
      </c>
      <c r="I480" s="2">
        <v>15</v>
      </c>
      <c r="J480" s="2">
        <v>0</v>
      </c>
      <c r="K480" t="s">
        <v>34</v>
      </c>
    </row>
    <row r="481" spans="1:11" x14ac:dyDescent="0.2">
      <c r="A481" t="str">
        <f t="shared" si="7"/>
        <v>22 °C_Dry_a</v>
      </c>
      <c r="B481" s="2" t="s">
        <v>45</v>
      </c>
      <c r="C481" s="2" t="s">
        <v>23</v>
      </c>
      <c r="D481" s="2" t="s">
        <v>13</v>
      </c>
      <c r="E481">
        <v>1</v>
      </c>
      <c r="F481" t="s">
        <v>42</v>
      </c>
      <c r="G481" s="2">
        <v>10</v>
      </c>
      <c r="H481" s="2">
        <v>4</v>
      </c>
      <c r="I481" s="2">
        <v>0</v>
      </c>
      <c r="J481">
        <v>19</v>
      </c>
      <c r="K481" t="s">
        <v>34</v>
      </c>
    </row>
    <row r="482" spans="1:11" x14ac:dyDescent="0.2">
      <c r="A482" t="str">
        <f t="shared" si="7"/>
        <v>22 °C_Dry_a</v>
      </c>
      <c r="B482" s="2" t="s">
        <v>45</v>
      </c>
      <c r="C482" s="2" t="s">
        <v>23</v>
      </c>
      <c r="D482" s="2" t="s">
        <v>13</v>
      </c>
      <c r="E482">
        <v>2</v>
      </c>
      <c r="F482" t="s">
        <v>42</v>
      </c>
      <c r="G482" s="2">
        <v>10</v>
      </c>
      <c r="H482" s="2">
        <v>4</v>
      </c>
      <c r="I482" s="2">
        <v>0</v>
      </c>
      <c r="J482">
        <v>16</v>
      </c>
      <c r="K482" t="s">
        <v>34</v>
      </c>
    </row>
    <row r="483" spans="1:11" x14ac:dyDescent="0.2">
      <c r="A483" t="str">
        <f t="shared" si="7"/>
        <v>22 °C_Dry_b</v>
      </c>
      <c r="B483" s="2" t="s">
        <v>45</v>
      </c>
      <c r="C483" s="2" t="s">
        <v>23</v>
      </c>
      <c r="D483" s="2" t="s">
        <v>16</v>
      </c>
      <c r="E483">
        <v>1</v>
      </c>
      <c r="F483" t="s">
        <v>42</v>
      </c>
      <c r="G483" s="2">
        <v>10</v>
      </c>
      <c r="H483" s="2">
        <v>4</v>
      </c>
      <c r="I483" s="2">
        <v>0</v>
      </c>
      <c r="J483">
        <v>21</v>
      </c>
      <c r="K483" t="s">
        <v>34</v>
      </c>
    </row>
    <row r="484" spans="1:11" x14ac:dyDescent="0.2">
      <c r="A484" t="str">
        <f t="shared" si="7"/>
        <v>22 °C_Dry_b</v>
      </c>
      <c r="B484" s="2" t="s">
        <v>45</v>
      </c>
      <c r="C484" s="2" t="s">
        <v>23</v>
      </c>
      <c r="D484" s="2" t="s">
        <v>16</v>
      </c>
      <c r="E484">
        <v>2</v>
      </c>
      <c r="F484" t="s">
        <v>42</v>
      </c>
      <c r="G484" s="2">
        <v>10</v>
      </c>
      <c r="H484" s="2">
        <v>4</v>
      </c>
      <c r="I484" s="2">
        <v>0</v>
      </c>
      <c r="J484">
        <v>23</v>
      </c>
      <c r="K484" t="s">
        <v>34</v>
      </c>
    </row>
    <row r="485" spans="1:11" x14ac:dyDescent="0.2">
      <c r="A485" t="str">
        <f t="shared" si="7"/>
        <v>22 °C_Dry_c</v>
      </c>
      <c r="B485" s="2" t="s">
        <v>45</v>
      </c>
      <c r="C485" s="2" t="s">
        <v>23</v>
      </c>
      <c r="D485" s="2" t="s">
        <v>18</v>
      </c>
      <c r="E485">
        <v>1</v>
      </c>
      <c r="F485" t="s">
        <v>42</v>
      </c>
      <c r="G485" s="2">
        <v>10</v>
      </c>
      <c r="H485" s="2">
        <v>4</v>
      </c>
      <c r="I485" s="2">
        <v>0</v>
      </c>
      <c r="J485">
        <v>19</v>
      </c>
      <c r="K485" t="s">
        <v>34</v>
      </c>
    </row>
    <row r="486" spans="1:11" x14ac:dyDescent="0.2">
      <c r="A486" t="str">
        <f t="shared" si="7"/>
        <v>22 °C_Dry_c</v>
      </c>
      <c r="B486" s="2" t="s">
        <v>45</v>
      </c>
      <c r="C486" s="2" t="s">
        <v>23</v>
      </c>
      <c r="D486" s="2" t="s">
        <v>18</v>
      </c>
      <c r="E486">
        <v>2</v>
      </c>
      <c r="F486" t="s">
        <v>42</v>
      </c>
      <c r="G486" s="2">
        <v>10</v>
      </c>
      <c r="H486" s="2">
        <v>4</v>
      </c>
      <c r="I486" s="2">
        <v>0</v>
      </c>
      <c r="J486">
        <v>21</v>
      </c>
      <c r="K486" t="s">
        <v>34</v>
      </c>
    </row>
    <row r="487" spans="1:11" x14ac:dyDescent="0.2">
      <c r="A487" t="str">
        <f t="shared" si="7"/>
        <v>22 °C_Dry_d</v>
      </c>
      <c r="B487" s="2" t="s">
        <v>45</v>
      </c>
      <c r="C487" s="2" t="s">
        <v>23</v>
      </c>
      <c r="D487" s="2" t="s">
        <v>20</v>
      </c>
      <c r="E487">
        <v>1</v>
      </c>
      <c r="F487" t="s">
        <v>42</v>
      </c>
      <c r="G487" s="2">
        <v>10</v>
      </c>
      <c r="H487" s="2">
        <v>4</v>
      </c>
      <c r="I487" s="2">
        <v>0</v>
      </c>
      <c r="J487">
        <v>19</v>
      </c>
      <c r="K487" t="s">
        <v>34</v>
      </c>
    </row>
    <row r="488" spans="1:11" x14ac:dyDescent="0.2">
      <c r="A488" t="str">
        <f t="shared" si="7"/>
        <v>22 °C_Dry_d</v>
      </c>
      <c r="B488" s="2" t="s">
        <v>45</v>
      </c>
      <c r="C488" s="2" t="s">
        <v>23</v>
      </c>
      <c r="D488" s="2" t="s">
        <v>20</v>
      </c>
      <c r="E488">
        <v>2</v>
      </c>
      <c r="F488" t="s">
        <v>42</v>
      </c>
      <c r="G488" s="2">
        <v>10</v>
      </c>
      <c r="H488" s="2">
        <v>4</v>
      </c>
      <c r="I488" s="2">
        <v>0</v>
      </c>
      <c r="J488">
        <v>29</v>
      </c>
      <c r="K488" t="s">
        <v>34</v>
      </c>
    </row>
    <row r="489" spans="1:11" x14ac:dyDescent="0.2">
      <c r="A489" t="str">
        <f t="shared" si="7"/>
        <v>22 °C_Dry_e</v>
      </c>
      <c r="B489" s="2" t="s">
        <v>45</v>
      </c>
      <c r="C489" s="2" t="s">
        <v>23</v>
      </c>
      <c r="D489" s="2" t="s">
        <v>21</v>
      </c>
      <c r="E489">
        <v>1</v>
      </c>
      <c r="F489" t="s">
        <v>42</v>
      </c>
      <c r="G489" s="2">
        <v>10</v>
      </c>
      <c r="H489" s="2">
        <v>4</v>
      </c>
      <c r="I489" s="2">
        <v>0</v>
      </c>
      <c r="J489">
        <v>46</v>
      </c>
      <c r="K489" t="s">
        <v>34</v>
      </c>
    </row>
    <row r="490" spans="1:11" x14ac:dyDescent="0.2">
      <c r="A490" t="str">
        <f t="shared" si="7"/>
        <v>22 °C_Dry_e</v>
      </c>
      <c r="B490" s="2" t="s">
        <v>45</v>
      </c>
      <c r="C490" s="2" t="s">
        <v>23</v>
      </c>
      <c r="D490" s="2" t="s">
        <v>21</v>
      </c>
      <c r="E490">
        <v>2</v>
      </c>
      <c r="F490" t="s">
        <v>42</v>
      </c>
      <c r="G490" s="2">
        <v>10</v>
      </c>
      <c r="H490" s="2">
        <v>4</v>
      </c>
      <c r="I490" s="2">
        <v>0</v>
      </c>
      <c r="J490">
        <v>35</v>
      </c>
      <c r="K490" t="s">
        <v>34</v>
      </c>
    </row>
    <row r="491" spans="1:11" x14ac:dyDescent="0.2">
      <c r="A491" t="str">
        <f t="shared" si="7"/>
        <v>22 °C_Mixture_a</v>
      </c>
      <c r="B491" s="2" t="s">
        <v>45</v>
      </c>
      <c r="C491" s="2" t="s">
        <v>27</v>
      </c>
      <c r="D491" s="2" t="s">
        <v>13</v>
      </c>
      <c r="E491">
        <v>1</v>
      </c>
      <c r="F491" t="s">
        <v>42</v>
      </c>
      <c r="G491" s="2">
        <v>10</v>
      </c>
      <c r="H491" s="2">
        <v>4</v>
      </c>
      <c r="I491">
        <v>16</v>
      </c>
      <c r="J491">
        <v>32</v>
      </c>
      <c r="K491" t="s">
        <v>34</v>
      </c>
    </row>
    <row r="492" spans="1:11" x14ac:dyDescent="0.2">
      <c r="A492" t="str">
        <f t="shared" si="7"/>
        <v>22 °C_Mixture_a</v>
      </c>
      <c r="B492" s="2" t="s">
        <v>45</v>
      </c>
      <c r="C492" s="2" t="s">
        <v>27</v>
      </c>
      <c r="D492" s="2" t="s">
        <v>13</v>
      </c>
      <c r="E492">
        <v>2</v>
      </c>
      <c r="F492" t="s">
        <v>42</v>
      </c>
      <c r="G492" s="2">
        <v>10</v>
      </c>
      <c r="H492" s="2">
        <v>4</v>
      </c>
      <c r="I492">
        <v>14</v>
      </c>
      <c r="J492">
        <v>45</v>
      </c>
      <c r="K492" t="s">
        <v>34</v>
      </c>
    </row>
    <row r="493" spans="1:11" x14ac:dyDescent="0.2">
      <c r="A493" t="str">
        <f t="shared" si="7"/>
        <v>22 °C_Mixture_b</v>
      </c>
      <c r="B493" s="2" t="s">
        <v>45</v>
      </c>
      <c r="C493" s="2" t="s">
        <v>27</v>
      </c>
      <c r="D493" s="2" t="s">
        <v>16</v>
      </c>
      <c r="E493">
        <v>1</v>
      </c>
      <c r="F493" t="s">
        <v>42</v>
      </c>
      <c r="G493" s="2">
        <v>10</v>
      </c>
      <c r="H493" s="2">
        <v>4</v>
      </c>
      <c r="I493">
        <v>10</v>
      </c>
      <c r="J493">
        <v>18</v>
      </c>
      <c r="K493" t="s">
        <v>34</v>
      </c>
    </row>
    <row r="494" spans="1:11" x14ac:dyDescent="0.2">
      <c r="A494" t="str">
        <f t="shared" si="7"/>
        <v>22 °C_Mixture_b</v>
      </c>
      <c r="B494" s="2" t="s">
        <v>45</v>
      </c>
      <c r="C494" s="2" t="s">
        <v>27</v>
      </c>
      <c r="D494" s="2" t="s">
        <v>16</v>
      </c>
      <c r="E494">
        <v>2</v>
      </c>
      <c r="F494" t="s">
        <v>42</v>
      </c>
      <c r="G494" s="2">
        <v>10</v>
      </c>
      <c r="H494" s="2">
        <v>4</v>
      </c>
      <c r="I494">
        <v>7</v>
      </c>
      <c r="J494">
        <v>18</v>
      </c>
      <c r="K494" t="s">
        <v>34</v>
      </c>
    </row>
    <row r="495" spans="1:11" x14ac:dyDescent="0.2">
      <c r="A495" t="str">
        <f t="shared" si="7"/>
        <v>22 °C_Mixture_c</v>
      </c>
      <c r="B495" s="2" t="s">
        <v>45</v>
      </c>
      <c r="C495" s="2" t="s">
        <v>27</v>
      </c>
      <c r="D495" s="2" t="s">
        <v>18</v>
      </c>
      <c r="E495">
        <v>1</v>
      </c>
      <c r="F495" t="s">
        <v>42</v>
      </c>
      <c r="G495" s="2">
        <v>10</v>
      </c>
      <c r="H495" s="2">
        <v>4</v>
      </c>
      <c r="I495">
        <v>14</v>
      </c>
      <c r="J495">
        <v>34</v>
      </c>
      <c r="K495" t="s">
        <v>34</v>
      </c>
    </row>
    <row r="496" spans="1:11" x14ac:dyDescent="0.2">
      <c r="A496" t="str">
        <f t="shared" si="7"/>
        <v>22 °C_Mixture_c</v>
      </c>
      <c r="B496" s="2" t="s">
        <v>45</v>
      </c>
      <c r="C496" s="2" t="s">
        <v>27</v>
      </c>
      <c r="D496" s="2" t="s">
        <v>18</v>
      </c>
      <c r="E496">
        <v>2</v>
      </c>
      <c r="F496" t="s">
        <v>42</v>
      </c>
      <c r="G496" s="2">
        <v>10</v>
      </c>
      <c r="H496" s="2">
        <v>4</v>
      </c>
      <c r="I496">
        <v>26</v>
      </c>
      <c r="J496">
        <v>55</v>
      </c>
      <c r="K496" t="s">
        <v>34</v>
      </c>
    </row>
    <row r="497" spans="1:11" x14ac:dyDescent="0.2">
      <c r="A497" t="str">
        <f t="shared" si="7"/>
        <v>22 °C_Mixture_d</v>
      </c>
      <c r="B497" s="2" t="s">
        <v>45</v>
      </c>
      <c r="C497" s="2" t="s">
        <v>27</v>
      </c>
      <c r="D497" s="2" t="s">
        <v>20</v>
      </c>
      <c r="F497" t="s">
        <v>42</v>
      </c>
      <c r="G497" s="2">
        <v>10</v>
      </c>
      <c r="H497" s="2">
        <v>4</v>
      </c>
      <c r="I497">
        <v>17</v>
      </c>
      <c r="J497">
        <v>26</v>
      </c>
      <c r="K497" t="s">
        <v>34</v>
      </c>
    </row>
    <row r="498" spans="1:11" x14ac:dyDescent="0.2">
      <c r="A498" t="str">
        <f t="shared" si="7"/>
        <v>22 °C_Mixture_d</v>
      </c>
      <c r="B498" s="2" t="s">
        <v>45</v>
      </c>
      <c r="C498" s="2" t="s">
        <v>27</v>
      </c>
      <c r="D498" s="2" t="s">
        <v>20</v>
      </c>
      <c r="F498" t="s">
        <v>42</v>
      </c>
      <c r="G498" s="2">
        <v>10</v>
      </c>
      <c r="H498" s="2">
        <v>4</v>
      </c>
      <c r="I498">
        <v>19</v>
      </c>
      <c r="J498">
        <v>32</v>
      </c>
      <c r="K498" t="s">
        <v>34</v>
      </c>
    </row>
    <row r="499" spans="1:11" x14ac:dyDescent="0.2">
      <c r="A499" t="str">
        <f t="shared" si="7"/>
        <v>22 °C_Mixture_e</v>
      </c>
      <c r="B499" s="2" t="s">
        <v>45</v>
      </c>
      <c r="C499" s="2" t="s">
        <v>27</v>
      </c>
      <c r="D499" s="2" t="s">
        <v>21</v>
      </c>
      <c r="F499" t="s">
        <v>42</v>
      </c>
      <c r="G499" s="2">
        <v>10</v>
      </c>
      <c r="H499" s="2">
        <v>4</v>
      </c>
      <c r="I499">
        <v>13</v>
      </c>
      <c r="J499">
        <v>22</v>
      </c>
      <c r="K499" t="s">
        <v>34</v>
      </c>
    </row>
    <row r="500" spans="1:11" x14ac:dyDescent="0.2">
      <c r="A500" t="str">
        <f t="shared" si="7"/>
        <v>22 °C_Mixture_e</v>
      </c>
      <c r="B500" s="2" t="s">
        <v>45</v>
      </c>
      <c r="C500" s="2" t="s">
        <v>27</v>
      </c>
      <c r="D500" s="2" t="s">
        <v>21</v>
      </c>
      <c r="F500" t="s">
        <v>42</v>
      </c>
      <c r="G500" s="2">
        <v>10</v>
      </c>
      <c r="H500" s="2">
        <v>4</v>
      </c>
      <c r="I500">
        <v>13</v>
      </c>
      <c r="J500">
        <v>24</v>
      </c>
      <c r="K500" t="s">
        <v>34</v>
      </c>
    </row>
    <row r="501" spans="1:11" x14ac:dyDescent="0.2">
      <c r="A501" t="str">
        <f t="shared" si="7"/>
        <v>22 °C_Mucoid_a</v>
      </c>
      <c r="B501" s="2" t="s">
        <v>45</v>
      </c>
      <c r="C501" s="2" t="s">
        <v>12</v>
      </c>
      <c r="D501" s="2" t="s">
        <v>13</v>
      </c>
      <c r="F501" t="s">
        <v>43</v>
      </c>
      <c r="G501">
        <v>10</v>
      </c>
      <c r="H501">
        <v>4</v>
      </c>
      <c r="I501">
        <v>120</v>
      </c>
      <c r="J501">
        <v>0</v>
      </c>
      <c r="K501" t="s">
        <v>34</v>
      </c>
    </row>
    <row r="502" spans="1:11" x14ac:dyDescent="0.2">
      <c r="A502" t="str">
        <f t="shared" si="7"/>
        <v>22 °C_Mucoid_a</v>
      </c>
      <c r="B502" s="2" t="s">
        <v>45</v>
      </c>
      <c r="C502" s="2" t="s">
        <v>12</v>
      </c>
      <c r="D502" s="2" t="s">
        <v>13</v>
      </c>
      <c r="F502" t="s">
        <v>43</v>
      </c>
      <c r="G502">
        <v>10</v>
      </c>
      <c r="H502">
        <v>4</v>
      </c>
      <c r="I502">
        <v>116</v>
      </c>
      <c r="J502">
        <v>0</v>
      </c>
      <c r="K502" t="s">
        <v>34</v>
      </c>
    </row>
    <row r="503" spans="1:11" x14ac:dyDescent="0.2">
      <c r="A503" t="str">
        <f t="shared" si="7"/>
        <v>22 °C_Mucoid_b</v>
      </c>
      <c r="B503" s="2" t="s">
        <v>45</v>
      </c>
      <c r="C503" s="2" t="s">
        <v>12</v>
      </c>
      <c r="D503" s="2" t="s">
        <v>16</v>
      </c>
      <c r="F503" t="s">
        <v>43</v>
      </c>
      <c r="G503">
        <v>10</v>
      </c>
      <c r="H503">
        <v>4</v>
      </c>
      <c r="I503">
        <v>87</v>
      </c>
      <c r="J503">
        <v>0</v>
      </c>
      <c r="K503" t="s">
        <v>34</v>
      </c>
    </row>
    <row r="504" spans="1:11" x14ac:dyDescent="0.2">
      <c r="A504" t="str">
        <f t="shared" si="7"/>
        <v>22 °C_Mucoid_b</v>
      </c>
      <c r="B504" s="2" t="s">
        <v>45</v>
      </c>
      <c r="C504" s="2" t="s">
        <v>12</v>
      </c>
      <c r="D504" s="2" t="s">
        <v>16</v>
      </c>
      <c r="F504" t="s">
        <v>43</v>
      </c>
      <c r="G504">
        <v>10</v>
      </c>
      <c r="H504">
        <v>4</v>
      </c>
      <c r="I504">
        <v>129</v>
      </c>
      <c r="J504">
        <v>0</v>
      </c>
      <c r="K504" t="s">
        <v>34</v>
      </c>
    </row>
    <row r="505" spans="1:11" x14ac:dyDescent="0.2">
      <c r="A505" t="str">
        <f t="shared" ref="A505:A568" si="8">_xlfn.CONCAT(B505,"_",C505,"_",D505)</f>
        <v>22 °C_Mucoid_c</v>
      </c>
      <c r="B505" s="2" t="s">
        <v>45</v>
      </c>
      <c r="C505" s="2" t="s">
        <v>12</v>
      </c>
      <c r="D505" s="2" t="s">
        <v>18</v>
      </c>
      <c r="F505" t="s">
        <v>43</v>
      </c>
      <c r="G505">
        <v>10</v>
      </c>
      <c r="H505">
        <v>4</v>
      </c>
      <c r="I505">
        <v>57</v>
      </c>
      <c r="J505">
        <v>0</v>
      </c>
      <c r="K505" t="s">
        <v>34</v>
      </c>
    </row>
    <row r="506" spans="1:11" x14ac:dyDescent="0.2">
      <c r="A506" t="str">
        <f t="shared" si="8"/>
        <v>22 °C_Mucoid_c</v>
      </c>
      <c r="B506" s="2" t="s">
        <v>45</v>
      </c>
      <c r="C506" s="2" t="s">
        <v>12</v>
      </c>
      <c r="D506" s="2" t="s">
        <v>18</v>
      </c>
      <c r="F506" t="s">
        <v>43</v>
      </c>
      <c r="G506">
        <v>10</v>
      </c>
      <c r="H506">
        <v>4</v>
      </c>
      <c r="I506">
        <v>57</v>
      </c>
      <c r="J506">
        <v>0</v>
      </c>
      <c r="K506" t="s">
        <v>34</v>
      </c>
    </row>
    <row r="507" spans="1:11" x14ac:dyDescent="0.2">
      <c r="A507" t="str">
        <f t="shared" si="8"/>
        <v>22 °C_Mucoid_d</v>
      </c>
      <c r="B507" s="2" t="s">
        <v>45</v>
      </c>
      <c r="C507" s="2" t="s">
        <v>12</v>
      </c>
      <c r="D507" s="2" t="s">
        <v>20</v>
      </c>
      <c r="F507" t="s">
        <v>43</v>
      </c>
      <c r="G507">
        <v>10</v>
      </c>
      <c r="H507">
        <v>4</v>
      </c>
      <c r="I507">
        <v>94</v>
      </c>
      <c r="J507">
        <v>1</v>
      </c>
      <c r="K507" t="s">
        <v>34</v>
      </c>
    </row>
    <row r="508" spans="1:11" x14ac:dyDescent="0.2">
      <c r="A508" t="str">
        <f t="shared" si="8"/>
        <v>22 °C_Mucoid_d</v>
      </c>
      <c r="B508" s="2" t="s">
        <v>45</v>
      </c>
      <c r="C508" s="2" t="s">
        <v>12</v>
      </c>
      <c r="D508" s="2" t="s">
        <v>20</v>
      </c>
      <c r="F508" t="s">
        <v>43</v>
      </c>
      <c r="G508">
        <v>10</v>
      </c>
      <c r="H508">
        <v>4</v>
      </c>
      <c r="I508">
        <v>73</v>
      </c>
      <c r="J508">
        <v>1</v>
      </c>
      <c r="K508" t="s">
        <v>34</v>
      </c>
    </row>
    <row r="509" spans="1:11" x14ac:dyDescent="0.2">
      <c r="A509" t="str">
        <f t="shared" si="8"/>
        <v>22 °C_Mucoid_e</v>
      </c>
      <c r="B509" s="2" t="s">
        <v>45</v>
      </c>
      <c r="C509" s="2" t="s">
        <v>12</v>
      </c>
      <c r="D509" s="2" t="s">
        <v>21</v>
      </c>
      <c r="F509" t="s">
        <v>43</v>
      </c>
      <c r="G509">
        <v>10</v>
      </c>
      <c r="H509">
        <v>4</v>
      </c>
      <c r="I509">
        <v>69</v>
      </c>
      <c r="J509">
        <v>1</v>
      </c>
      <c r="K509" t="s">
        <v>34</v>
      </c>
    </row>
    <row r="510" spans="1:11" x14ac:dyDescent="0.2">
      <c r="A510" t="str">
        <f t="shared" si="8"/>
        <v>22 °C_Mucoid_e</v>
      </c>
      <c r="B510" s="2" t="s">
        <v>45</v>
      </c>
      <c r="C510" s="2" t="s">
        <v>12</v>
      </c>
      <c r="D510" s="2" t="s">
        <v>21</v>
      </c>
      <c r="F510" t="s">
        <v>43</v>
      </c>
      <c r="G510">
        <v>10</v>
      </c>
      <c r="H510">
        <v>4</v>
      </c>
      <c r="I510">
        <v>89</v>
      </c>
      <c r="J510">
        <v>1</v>
      </c>
      <c r="K510" t="s">
        <v>34</v>
      </c>
    </row>
    <row r="511" spans="1:11" x14ac:dyDescent="0.2">
      <c r="A511" t="str">
        <f t="shared" si="8"/>
        <v>22 °C_Dry_a</v>
      </c>
      <c r="B511" s="2" t="s">
        <v>45</v>
      </c>
      <c r="C511" s="2" t="s">
        <v>23</v>
      </c>
      <c r="D511" s="2" t="s">
        <v>13</v>
      </c>
      <c r="F511" t="s">
        <v>43</v>
      </c>
      <c r="G511">
        <v>10</v>
      </c>
      <c r="H511">
        <v>4</v>
      </c>
      <c r="I511">
        <v>0</v>
      </c>
      <c r="J511">
        <v>37</v>
      </c>
      <c r="K511" t="s">
        <v>34</v>
      </c>
    </row>
    <row r="512" spans="1:11" x14ac:dyDescent="0.2">
      <c r="A512" t="str">
        <f t="shared" si="8"/>
        <v>22 °C_Dry_a</v>
      </c>
      <c r="B512" s="2" t="s">
        <v>45</v>
      </c>
      <c r="C512" s="2" t="s">
        <v>23</v>
      </c>
      <c r="D512" s="2" t="s">
        <v>13</v>
      </c>
      <c r="F512" t="s">
        <v>43</v>
      </c>
      <c r="G512">
        <v>10</v>
      </c>
      <c r="H512">
        <v>4</v>
      </c>
      <c r="I512">
        <v>0</v>
      </c>
      <c r="J512">
        <v>26</v>
      </c>
      <c r="K512" t="s">
        <v>34</v>
      </c>
    </row>
    <row r="513" spans="1:11" x14ac:dyDescent="0.2">
      <c r="A513" t="str">
        <f t="shared" si="8"/>
        <v>22 °C_Dry_b</v>
      </c>
      <c r="B513" s="2" t="s">
        <v>45</v>
      </c>
      <c r="C513" s="2" t="s">
        <v>23</v>
      </c>
      <c r="D513" s="2" t="s">
        <v>16</v>
      </c>
      <c r="F513" t="s">
        <v>43</v>
      </c>
      <c r="G513">
        <v>10</v>
      </c>
      <c r="H513">
        <v>4</v>
      </c>
      <c r="I513">
        <v>0</v>
      </c>
      <c r="J513">
        <v>73</v>
      </c>
      <c r="K513" t="s">
        <v>34</v>
      </c>
    </row>
    <row r="514" spans="1:11" x14ac:dyDescent="0.2">
      <c r="A514" t="str">
        <f t="shared" si="8"/>
        <v>22 °C_Dry_b</v>
      </c>
      <c r="B514" s="2" t="s">
        <v>45</v>
      </c>
      <c r="C514" s="2" t="s">
        <v>23</v>
      </c>
      <c r="D514" s="2" t="s">
        <v>16</v>
      </c>
      <c r="F514" t="s">
        <v>43</v>
      </c>
      <c r="G514">
        <v>10</v>
      </c>
      <c r="H514">
        <v>4</v>
      </c>
      <c r="I514">
        <v>0</v>
      </c>
      <c r="J514">
        <v>65</v>
      </c>
      <c r="K514" t="s">
        <v>34</v>
      </c>
    </row>
    <row r="515" spans="1:11" x14ac:dyDescent="0.2">
      <c r="A515" t="str">
        <f t="shared" si="8"/>
        <v>22 °C_Dry_c</v>
      </c>
      <c r="B515" s="2" t="s">
        <v>45</v>
      </c>
      <c r="C515" s="2" t="s">
        <v>23</v>
      </c>
      <c r="D515" s="2" t="s">
        <v>18</v>
      </c>
      <c r="F515" t="s">
        <v>43</v>
      </c>
      <c r="G515">
        <v>10</v>
      </c>
      <c r="H515">
        <v>4</v>
      </c>
      <c r="I515">
        <v>0</v>
      </c>
      <c r="J515">
        <v>49</v>
      </c>
      <c r="K515" t="s">
        <v>34</v>
      </c>
    </row>
    <row r="516" spans="1:11" x14ac:dyDescent="0.2">
      <c r="A516" t="str">
        <f t="shared" si="8"/>
        <v>22 °C_Dry_c</v>
      </c>
      <c r="B516" s="2" t="s">
        <v>45</v>
      </c>
      <c r="C516" s="2" t="s">
        <v>23</v>
      </c>
      <c r="D516" s="2" t="s">
        <v>18</v>
      </c>
      <c r="F516" t="s">
        <v>43</v>
      </c>
      <c r="G516">
        <v>10</v>
      </c>
      <c r="H516">
        <v>4</v>
      </c>
      <c r="I516">
        <v>0</v>
      </c>
      <c r="J516">
        <v>57</v>
      </c>
      <c r="K516" t="s">
        <v>34</v>
      </c>
    </row>
    <row r="517" spans="1:11" x14ac:dyDescent="0.2">
      <c r="A517" t="str">
        <f t="shared" si="8"/>
        <v>22 °C_Dry_d</v>
      </c>
      <c r="B517" s="2" t="s">
        <v>45</v>
      </c>
      <c r="C517" s="2" t="s">
        <v>23</v>
      </c>
      <c r="D517" s="2" t="s">
        <v>20</v>
      </c>
      <c r="F517" t="s">
        <v>43</v>
      </c>
      <c r="G517">
        <v>10</v>
      </c>
      <c r="H517">
        <v>4</v>
      </c>
      <c r="I517">
        <v>0</v>
      </c>
      <c r="J517">
        <v>127</v>
      </c>
      <c r="K517" t="s">
        <v>34</v>
      </c>
    </row>
    <row r="518" spans="1:11" x14ac:dyDescent="0.2">
      <c r="A518" t="str">
        <f t="shared" si="8"/>
        <v>22 °C_Dry_d</v>
      </c>
      <c r="B518" s="2" t="s">
        <v>45</v>
      </c>
      <c r="C518" s="2" t="s">
        <v>23</v>
      </c>
      <c r="D518" s="2" t="s">
        <v>20</v>
      </c>
      <c r="F518" t="s">
        <v>43</v>
      </c>
      <c r="G518">
        <v>10</v>
      </c>
      <c r="H518">
        <v>4</v>
      </c>
      <c r="I518">
        <v>0</v>
      </c>
      <c r="J518">
        <v>111</v>
      </c>
      <c r="K518" t="s">
        <v>34</v>
      </c>
    </row>
    <row r="519" spans="1:11" x14ac:dyDescent="0.2">
      <c r="A519" t="str">
        <f t="shared" si="8"/>
        <v>22 °C_Dry_e</v>
      </c>
      <c r="B519" s="2" t="s">
        <v>45</v>
      </c>
      <c r="C519" s="2" t="s">
        <v>23</v>
      </c>
      <c r="D519" s="2" t="s">
        <v>21</v>
      </c>
      <c r="F519" t="s">
        <v>43</v>
      </c>
      <c r="G519">
        <v>10</v>
      </c>
      <c r="H519">
        <v>4</v>
      </c>
      <c r="I519">
        <v>0</v>
      </c>
      <c r="J519">
        <v>94</v>
      </c>
      <c r="K519" t="s">
        <v>34</v>
      </c>
    </row>
    <row r="520" spans="1:11" x14ac:dyDescent="0.2">
      <c r="A520" t="str">
        <f t="shared" si="8"/>
        <v>22 °C_Dry_e</v>
      </c>
      <c r="B520" s="2" t="s">
        <v>45</v>
      </c>
      <c r="C520" s="2" t="s">
        <v>23</v>
      </c>
      <c r="D520" s="2" t="s">
        <v>21</v>
      </c>
      <c r="F520" t="s">
        <v>43</v>
      </c>
      <c r="G520">
        <v>10</v>
      </c>
      <c r="H520">
        <v>4</v>
      </c>
      <c r="I520">
        <v>0</v>
      </c>
      <c r="J520">
        <v>118</v>
      </c>
      <c r="K520" t="s">
        <v>34</v>
      </c>
    </row>
    <row r="521" spans="1:11" x14ac:dyDescent="0.2">
      <c r="A521" t="str">
        <f t="shared" si="8"/>
        <v>22 °C_Mixture_a</v>
      </c>
      <c r="B521" s="2" t="s">
        <v>45</v>
      </c>
      <c r="C521" s="2" t="s">
        <v>27</v>
      </c>
      <c r="D521" s="2" t="s">
        <v>13</v>
      </c>
      <c r="F521" t="s">
        <v>43</v>
      </c>
      <c r="G521">
        <v>10</v>
      </c>
      <c r="H521">
        <v>4</v>
      </c>
      <c r="I521">
        <v>7</v>
      </c>
      <c r="J521">
        <v>16</v>
      </c>
      <c r="K521" t="s">
        <v>34</v>
      </c>
    </row>
    <row r="522" spans="1:11" x14ac:dyDescent="0.2">
      <c r="A522" t="str">
        <f t="shared" si="8"/>
        <v>22 °C_Mixture_a</v>
      </c>
      <c r="B522" s="2" t="s">
        <v>45</v>
      </c>
      <c r="C522" s="2" t="s">
        <v>27</v>
      </c>
      <c r="D522" s="2" t="s">
        <v>13</v>
      </c>
      <c r="F522" t="s">
        <v>43</v>
      </c>
      <c r="G522">
        <v>10</v>
      </c>
      <c r="H522">
        <v>4</v>
      </c>
      <c r="I522">
        <v>21</v>
      </c>
      <c r="J522">
        <v>45</v>
      </c>
      <c r="K522" t="s">
        <v>34</v>
      </c>
    </row>
    <row r="523" spans="1:11" x14ac:dyDescent="0.2">
      <c r="A523" t="str">
        <f t="shared" si="8"/>
        <v>22 °C_Mixture_b</v>
      </c>
      <c r="B523" s="2" t="s">
        <v>45</v>
      </c>
      <c r="C523" s="2" t="s">
        <v>27</v>
      </c>
      <c r="D523" s="2" t="s">
        <v>16</v>
      </c>
      <c r="F523" t="s">
        <v>43</v>
      </c>
      <c r="G523">
        <v>10</v>
      </c>
      <c r="H523">
        <v>4</v>
      </c>
      <c r="I523">
        <v>27</v>
      </c>
      <c r="J523">
        <v>75</v>
      </c>
      <c r="K523" t="s">
        <v>34</v>
      </c>
    </row>
    <row r="524" spans="1:11" x14ac:dyDescent="0.2">
      <c r="A524" t="str">
        <f t="shared" si="8"/>
        <v>22 °C_Mixture_b</v>
      </c>
      <c r="B524" s="2" t="s">
        <v>45</v>
      </c>
      <c r="C524" s="2" t="s">
        <v>27</v>
      </c>
      <c r="D524" s="2" t="s">
        <v>16</v>
      </c>
      <c r="F524" t="s">
        <v>43</v>
      </c>
      <c r="G524">
        <v>10</v>
      </c>
      <c r="H524">
        <v>4</v>
      </c>
      <c r="I524">
        <v>9</v>
      </c>
      <c r="J524">
        <v>51</v>
      </c>
      <c r="K524" t="s">
        <v>34</v>
      </c>
    </row>
    <row r="525" spans="1:11" x14ac:dyDescent="0.2">
      <c r="A525" t="str">
        <f t="shared" si="8"/>
        <v>22 °C_Mixture_c</v>
      </c>
      <c r="B525" s="2" t="s">
        <v>45</v>
      </c>
      <c r="C525" s="2" t="s">
        <v>27</v>
      </c>
      <c r="D525" s="2" t="s">
        <v>18</v>
      </c>
      <c r="F525" t="s">
        <v>43</v>
      </c>
      <c r="G525">
        <v>10</v>
      </c>
      <c r="H525">
        <v>4</v>
      </c>
      <c r="I525">
        <v>24</v>
      </c>
      <c r="J525">
        <v>54</v>
      </c>
      <c r="K525" t="s">
        <v>34</v>
      </c>
    </row>
    <row r="526" spans="1:11" x14ac:dyDescent="0.2">
      <c r="A526" t="str">
        <f t="shared" si="8"/>
        <v>22 °C_Mixture_c</v>
      </c>
      <c r="B526" s="2" t="s">
        <v>45</v>
      </c>
      <c r="C526" s="2" t="s">
        <v>27</v>
      </c>
      <c r="D526" s="2" t="s">
        <v>18</v>
      </c>
      <c r="F526" t="s">
        <v>43</v>
      </c>
      <c r="G526">
        <v>10</v>
      </c>
      <c r="H526">
        <v>4</v>
      </c>
      <c r="I526">
        <v>30</v>
      </c>
      <c r="J526">
        <v>45</v>
      </c>
      <c r="K526" t="s">
        <v>34</v>
      </c>
    </row>
    <row r="527" spans="1:11" x14ac:dyDescent="0.2">
      <c r="A527" t="str">
        <f t="shared" si="8"/>
        <v>22 °C_Mixture_d</v>
      </c>
      <c r="B527" s="2" t="s">
        <v>45</v>
      </c>
      <c r="C527" s="2" t="s">
        <v>27</v>
      </c>
      <c r="D527" s="2" t="s">
        <v>20</v>
      </c>
      <c r="F527" t="s">
        <v>43</v>
      </c>
      <c r="G527">
        <v>10</v>
      </c>
      <c r="H527">
        <v>4</v>
      </c>
      <c r="I527">
        <v>18</v>
      </c>
      <c r="J527">
        <v>31</v>
      </c>
      <c r="K527" t="s">
        <v>34</v>
      </c>
    </row>
    <row r="528" spans="1:11" x14ac:dyDescent="0.2">
      <c r="A528" t="str">
        <f t="shared" si="8"/>
        <v>22 °C_Mixture_d</v>
      </c>
      <c r="B528" s="2" t="s">
        <v>45</v>
      </c>
      <c r="C528" s="2" t="s">
        <v>27</v>
      </c>
      <c r="D528" s="2" t="s">
        <v>20</v>
      </c>
      <c r="F528" t="s">
        <v>43</v>
      </c>
      <c r="G528">
        <v>10</v>
      </c>
      <c r="H528">
        <v>4</v>
      </c>
      <c r="I528">
        <v>24</v>
      </c>
      <c r="J528">
        <v>41</v>
      </c>
      <c r="K528" t="s">
        <v>34</v>
      </c>
    </row>
    <row r="529" spans="1:11" x14ac:dyDescent="0.2">
      <c r="A529" t="str">
        <f t="shared" si="8"/>
        <v>22 °C_Mixture_e</v>
      </c>
      <c r="B529" s="2" t="s">
        <v>45</v>
      </c>
      <c r="C529" s="2" t="s">
        <v>27</v>
      </c>
      <c r="D529" s="2" t="s">
        <v>21</v>
      </c>
      <c r="F529" t="s">
        <v>43</v>
      </c>
      <c r="G529">
        <v>10</v>
      </c>
      <c r="H529">
        <v>4</v>
      </c>
      <c r="I529">
        <v>26</v>
      </c>
      <c r="J529">
        <v>31</v>
      </c>
      <c r="K529" t="s">
        <v>34</v>
      </c>
    </row>
    <row r="530" spans="1:11" x14ac:dyDescent="0.2">
      <c r="A530" t="str">
        <f t="shared" si="8"/>
        <v>22 °C_Mixture_e</v>
      </c>
      <c r="B530" s="2" t="s">
        <v>45</v>
      </c>
      <c r="C530" s="2" t="s">
        <v>27</v>
      </c>
      <c r="D530" s="2" t="s">
        <v>21</v>
      </c>
      <c r="F530" t="s">
        <v>43</v>
      </c>
      <c r="G530">
        <v>10</v>
      </c>
      <c r="H530">
        <v>4</v>
      </c>
      <c r="I530">
        <v>16</v>
      </c>
      <c r="J530">
        <v>26</v>
      </c>
      <c r="K530" t="s">
        <v>34</v>
      </c>
    </row>
    <row r="531" spans="1:11" x14ac:dyDescent="0.2">
      <c r="A531" t="str">
        <f t="shared" si="8"/>
        <v>22 °C_Mucoid_a</v>
      </c>
      <c r="B531" s="2" t="s">
        <v>45</v>
      </c>
      <c r="C531" s="2" t="s">
        <v>12</v>
      </c>
      <c r="D531" s="2" t="s">
        <v>13</v>
      </c>
      <c r="F531" t="s">
        <v>44</v>
      </c>
      <c r="G531">
        <v>40</v>
      </c>
      <c r="H531">
        <v>5</v>
      </c>
      <c r="I531">
        <v>12</v>
      </c>
      <c r="J531">
        <v>0</v>
      </c>
      <c r="K531" t="s">
        <v>34</v>
      </c>
    </row>
    <row r="532" spans="1:11" x14ac:dyDescent="0.2">
      <c r="A532" t="str">
        <f t="shared" si="8"/>
        <v>22 °C_Mucoid_a</v>
      </c>
      <c r="B532" s="2" t="s">
        <v>45</v>
      </c>
      <c r="C532" s="2" t="s">
        <v>12</v>
      </c>
      <c r="D532" s="2" t="s">
        <v>13</v>
      </c>
      <c r="F532" t="s">
        <v>44</v>
      </c>
      <c r="G532">
        <v>40</v>
      </c>
      <c r="H532">
        <v>5</v>
      </c>
      <c r="I532">
        <v>19</v>
      </c>
      <c r="J532">
        <v>0</v>
      </c>
      <c r="K532" t="s">
        <v>34</v>
      </c>
    </row>
    <row r="533" spans="1:11" x14ac:dyDescent="0.2">
      <c r="A533" t="str">
        <f t="shared" si="8"/>
        <v>22 °C_Mucoid_b</v>
      </c>
      <c r="B533" s="2" t="s">
        <v>45</v>
      </c>
      <c r="C533" s="2" t="s">
        <v>12</v>
      </c>
      <c r="D533" s="2" t="s">
        <v>16</v>
      </c>
      <c r="F533" t="s">
        <v>44</v>
      </c>
      <c r="G533">
        <v>40</v>
      </c>
      <c r="H533">
        <v>5</v>
      </c>
      <c r="I533">
        <v>14</v>
      </c>
      <c r="J533">
        <v>0</v>
      </c>
      <c r="K533" t="s">
        <v>34</v>
      </c>
    </row>
    <row r="534" spans="1:11" x14ac:dyDescent="0.2">
      <c r="A534" t="str">
        <f t="shared" si="8"/>
        <v>22 °C_Mucoid_b</v>
      </c>
      <c r="B534" s="2" t="s">
        <v>45</v>
      </c>
      <c r="C534" s="2" t="s">
        <v>12</v>
      </c>
      <c r="D534" s="2" t="s">
        <v>16</v>
      </c>
      <c r="F534" t="s">
        <v>44</v>
      </c>
      <c r="G534">
        <v>40</v>
      </c>
      <c r="H534">
        <v>5</v>
      </c>
      <c r="I534">
        <v>24</v>
      </c>
      <c r="J534">
        <v>0</v>
      </c>
      <c r="K534" t="s">
        <v>34</v>
      </c>
    </row>
    <row r="535" spans="1:11" x14ac:dyDescent="0.2">
      <c r="A535" t="str">
        <f t="shared" si="8"/>
        <v>22 °C_Mucoid_c</v>
      </c>
      <c r="B535" s="2" t="s">
        <v>45</v>
      </c>
      <c r="C535" s="2" t="s">
        <v>12</v>
      </c>
      <c r="D535" s="2" t="s">
        <v>18</v>
      </c>
      <c r="F535" t="s">
        <v>44</v>
      </c>
      <c r="G535">
        <v>40</v>
      </c>
      <c r="H535">
        <v>5</v>
      </c>
      <c r="I535">
        <v>14</v>
      </c>
      <c r="J535">
        <v>0</v>
      </c>
      <c r="K535" t="s">
        <v>34</v>
      </c>
    </row>
    <row r="536" spans="1:11" x14ac:dyDescent="0.2">
      <c r="A536" t="str">
        <f t="shared" si="8"/>
        <v>22 °C_Mucoid_c</v>
      </c>
      <c r="B536" s="2" t="s">
        <v>45</v>
      </c>
      <c r="C536" s="2" t="s">
        <v>12</v>
      </c>
      <c r="D536" s="2" t="s">
        <v>18</v>
      </c>
      <c r="F536" t="s">
        <v>44</v>
      </c>
      <c r="G536">
        <v>40</v>
      </c>
      <c r="H536">
        <v>5</v>
      </c>
      <c r="I536">
        <v>36</v>
      </c>
      <c r="J536">
        <v>0</v>
      </c>
      <c r="K536" t="s">
        <v>34</v>
      </c>
    </row>
    <row r="537" spans="1:11" x14ac:dyDescent="0.2">
      <c r="A537" t="str">
        <f t="shared" si="8"/>
        <v>22 °C_Mucoid_d</v>
      </c>
      <c r="B537" s="2" t="s">
        <v>45</v>
      </c>
      <c r="C537" s="2" t="s">
        <v>12</v>
      </c>
      <c r="D537" s="2" t="s">
        <v>20</v>
      </c>
      <c r="F537" t="s">
        <v>44</v>
      </c>
      <c r="G537">
        <v>40</v>
      </c>
      <c r="H537">
        <v>5</v>
      </c>
      <c r="I537">
        <v>23</v>
      </c>
      <c r="J537">
        <v>0</v>
      </c>
      <c r="K537" t="s">
        <v>34</v>
      </c>
    </row>
    <row r="538" spans="1:11" x14ac:dyDescent="0.2">
      <c r="A538" t="str">
        <f t="shared" si="8"/>
        <v>22 °C_Mucoid_d</v>
      </c>
      <c r="B538" s="2" t="s">
        <v>45</v>
      </c>
      <c r="C538" s="2" t="s">
        <v>12</v>
      </c>
      <c r="D538" s="2" t="s">
        <v>20</v>
      </c>
      <c r="F538" t="s">
        <v>44</v>
      </c>
      <c r="G538">
        <v>40</v>
      </c>
      <c r="H538">
        <v>5</v>
      </c>
      <c r="I538">
        <v>14</v>
      </c>
      <c r="J538">
        <v>0</v>
      </c>
      <c r="K538" t="s">
        <v>34</v>
      </c>
    </row>
    <row r="539" spans="1:11" x14ac:dyDescent="0.2">
      <c r="A539" t="str">
        <f t="shared" si="8"/>
        <v>22 °C_Mucoid_e</v>
      </c>
      <c r="B539" s="2" t="s">
        <v>45</v>
      </c>
      <c r="C539" s="2" t="s">
        <v>12</v>
      </c>
      <c r="D539" s="2" t="s">
        <v>21</v>
      </c>
      <c r="F539" t="s">
        <v>44</v>
      </c>
      <c r="G539">
        <v>40</v>
      </c>
      <c r="H539">
        <v>5</v>
      </c>
      <c r="I539">
        <v>15</v>
      </c>
      <c r="J539">
        <v>0</v>
      </c>
      <c r="K539" t="s">
        <v>34</v>
      </c>
    </row>
    <row r="540" spans="1:11" x14ac:dyDescent="0.2">
      <c r="A540" t="str">
        <f t="shared" si="8"/>
        <v>22 °C_Mucoid_e</v>
      </c>
      <c r="B540" s="2" t="s">
        <v>45</v>
      </c>
      <c r="C540" s="2" t="s">
        <v>12</v>
      </c>
      <c r="D540" s="2" t="s">
        <v>21</v>
      </c>
      <c r="F540" t="s">
        <v>44</v>
      </c>
      <c r="G540">
        <v>40</v>
      </c>
      <c r="H540">
        <v>5</v>
      </c>
      <c r="I540">
        <v>22</v>
      </c>
      <c r="J540">
        <v>0</v>
      </c>
      <c r="K540" t="s">
        <v>34</v>
      </c>
    </row>
    <row r="541" spans="1:11" x14ac:dyDescent="0.2">
      <c r="A541" t="str">
        <f t="shared" si="8"/>
        <v>22 °C_Dry_a</v>
      </c>
      <c r="B541" s="2" t="s">
        <v>45</v>
      </c>
      <c r="C541" s="2" t="s">
        <v>23</v>
      </c>
      <c r="D541" s="2" t="s">
        <v>13</v>
      </c>
      <c r="F541" t="s">
        <v>44</v>
      </c>
      <c r="G541">
        <v>40</v>
      </c>
      <c r="H541">
        <v>5</v>
      </c>
      <c r="I541">
        <v>0</v>
      </c>
      <c r="J541">
        <v>4</v>
      </c>
      <c r="K541" t="s">
        <v>34</v>
      </c>
    </row>
    <row r="542" spans="1:11" x14ac:dyDescent="0.2">
      <c r="A542" t="str">
        <f t="shared" si="8"/>
        <v>22 °C_Dry_a</v>
      </c>
      <c r="B542" s="2" t="s">
        <v>45</v>
      </c>
      <c r="C542" s="2" t="s">
        <v>23</v>
      </c>
      <c r="D542" s="2" t="s">
        <v>13</v>
      </c>
      <c r="F542" t="s">
        <v>44</v>
      </c>
      <c r="G542">
        <v>40</v>
      </c>
      <c r="H542">
        <v>5</v>
      </c>
      <c r="I542">
        <v>0</v>
      </c>
      <c r="J542">
        <v>3</v>
      </c>
      <c r="K542" t="s">
        <v>34</v>
      </c>
    </row>
    <row r="543" spans="1:11" x14ac:dyDescent="0.2">
      <c r="A543" t="str">
        <f t="shared" si="8"/>
        <v>22 °C_Dry_b</v>
      </c>
      <c r="B543" s="2" t="s">
        <v>45</v>
      </c>
      <c r="C543" s="2" t="s">
        <v>23</v>
      </c>
      <c r="D543" s="2" t="s">
        <v>16</v>
      </c>
      <c r="F543" t="s">
        <v>44</v>
      </c>
      <c r="G543">
        <v>40</v>
      </c>
      <c r="H543">
        <v>5</v>
      </c>
      <c r="I543">
        <v>0</v>
      </c>
      <c r="J543">
        <v>19</v>
      </c>
      <c r="K543" t="s">
        <v>34</v>
      </c>
    </row>
    <row r="544" spans="1:11" x14ac:dyDescent="0.2">
      <c r="A544" t="str">
        <f t="shared" si="8"/>
        <v>22 °C_Dry_b</v>
      </c>
      <c r="B544" s="2" t="s">
        <v>45</v>
      </c>
      <c r="C544" s="2" t="s">
        <v>23</v>
      </c>
      <c r="D544" s="2" t="s">
        <v>16</v>
      </c>
      <c r="F544" t="s">
        <v>44</v>
      </c>
      <c r="G544">
        <v>40</v>
      </c>
      <c r="H544">
        <v>5</v>
      </c>
      <c r="I544">
        <v>0</v>
      </c>
      <c r="J544">
        <v>18</v>
      </c>
      <c r="K544" t="s">
        <v>34</v>
      </c>
    </row>
    <row r="545" spans="1:11" x14ac:dyDescent="0.2">
      <c r="A545" t="str">
        <f t="shared" si="8"/>
        <v>22 °C_Dry_c</v>
      </c>
      <c r="B545" s="2" t="s">
        <v>45</v>
      </c>
      <c r="C545" s="2" t="s">
        <v>23</v>
      </c>
      <c r="D545" s="2" t="s">
        <v>18</v>
      </c>
      <c r="F545" t="s">
        <v>44</v>
      </c>
      <c r="G545">
        <v>40</v>
      </c>
      <c r="H545">
        <v>5</v>
      </c>
      <c r="I545">
        <v>0</v>
      </c>
      <c r="J545">
        <v>23</v>
      </c>
      <c r="K545" t="s">
        <v>34</v>
      </c>
    </row>
    <row r="546" spans="1:11" x14ac:dyDescent="0.2">
      <c r="A546" t="str">
        <f t="shared" si="8"/>
        <v>22 °C_Dry_c</v>
      </c>
      <c r="B546" s="2" t="s">
        <v>45</v>
      </c>
      <c r="C546" s="2" t="s">
        <v>23</v>
      </c>
      <c r="D546" s="2" t="s">
        <v>18</v>
      </c>
      <c r="F546" t="s">
        <v>44</v>
      </c>
      <c r="G546">
        <v>40</v>
      </c>
      <c r="H546">
        <v>5</v>
      </c>
      <c r="I546">
        <v>0</v>
      </c>
      <c r="J546">
        <v>12</v>
      </c>
      <c r="K546" t="s">
        <v>34</v>
      </c>
    </row>
    <row r="547" spans="1:11" x14ac:dyDescent="0.2">
      <c r="A547" t="str">
        <f t="shared" si="8"/>
        <v>22 °C_Dry_d</v>
      </c>
      <c r="B547" s="2" t="s">
        <v>45</v>
      </c>
      <c r="C547" s="2" t="s">
        <v>23</v>
      </c>
      <c r="D547" s="2" t="s">
        <v>20</v>
      </c>
      <c r="F547" t="s">
        <v>44</v>
      </c>
      <c r="G547">
        <v>40</v>
      </c>
      <c r="H547">
        <v>5</v>
      </c>
      <c r="I547">
        <v>0</v>
      </c>
      <c r="J547">
        <v>11</v>
      </c>
      <c r="K547" t="s">
        <v>34</v>
      </c>
    </row>
    <row r="548" spans="1:11" x14ac:dyDescent="0.2">
      <c r="A548" t="str">
        <f t="shared" si="8"/>
        <v>22 °C_Dry_d</v>
      </c>
      <c r="B548" s="2" t="s">
        <v>45</v>
      </c>
      <c r="C548" s="2" t="s">
        <v>23</v>
      </c>
      <c r="D548" s="2" t="s">
        <v>20</v>
      </c>
      <c r="F548" t="s">
        <v>44</v>
      </c>
      <c r="G548">
        <v>40</v>
      </c>
      <c r="H548">
        <v>5</v>
      </c>
      <c r="I548">
        <v>0</v>
      </c>
      <c r="J548">
        <v>20</v>
      </c>
      <c r="K548" t="s">
        <v>34</v>
      </c>
    </row>
    <row r="549" spans="1:11" x14ac:dyDescent="0.2">
      <c r="A549" t="str">
        <f t="shared" si="8"/>
        <v>22 °C_Dry_e</v>
      </c>
      <c r="B549" s="2" t="s">
        <v>45</v>
      </c>
      <c r="C549" s="2" t="s">
        <v>23</v>
      </c>
      <c r="D549" s="2" t="s">
        <v>21</v>
      </c>
      <c r="F549" t="s">
        <v>44</v>
      </c>
      <c r="G549">
        <v>40</v>
      </c>
      <c r="H549">
        <v>5</v>
      </c>
      <c r="I549">
        <v>0</v>
      </c>
      <c r="J549">
        <v>22</v>
      </c>
      <c r="K549" t="s">
        <v>34</v>
      </c>
    </row>
    <row r="550" spans="1:11" x14ac:dyDescent="0.2">
      <c r="A550" t="str">
        <f t="shared" si="8"/>
        <v>22 °C_Dry_e</v>
      </c>
      <c r="B550" s="2" t="s">
        <v>45</v>
      </c>
      <c r="C550" s="2" t="s">
        <v>23</v>
      </c>
      <c r="D550" s="2" t="s">
        <v>21</v>
      </c>
      <c r="F550" t="s">
        <v>44</v>
      </c>
      <c r="G550">
        <v>40</v>
      </c>
      <c r="H550">
        <v>5</v>
      </c>
      <c r="I550">
        <v>0</v>
      </c>
      <c r="J550">
        <v>27</v>
      </c>
      <c r="K550" t="s">
        <v>34</v>
      </c>
    </row>
    <row r="551" spans="1:11" x14ac:dyDescent="0.2">
      <c r="A551" t="str">
        <f t="shared" si="8"/>
        <v>22 °C_Mixture_a</v>
      </c>
      <c r="B551" s="2" t="s">
        <v>45</v>
      </c>
      <c r="C551" s="2" t="s">
        <v>27</v>
      </c>
      <c r="D551" s="2" t="s">
        <v>13</v>
      </c>
      <c r="F551" t="s">
        <v>44</v>
      </c>
      <c r="G551">
        <v>40</v>
      </c>
      <c r="H551">
        <v>5</v>
      </c>
      <c r="I551">
        <v>18</v>
      </c>
      <c r="J551">
        <v>44</v>
      </c>
      <c r="K551" t="s">
        <v>34</v>
      </c>
    </row>
    <row r="552" spans="1:11" x14ac:dyDescent="0.2">
      <c r="A552" t="str">
        <f t="shared" si="8"/>
        <v>22 °C_Mixture_a</v>
      </c>
      <c r="B552" s="2" t="s">
        <v>45</v>
      </c>
      <c r="C552" s="2" t="s">
        <v>27</v>
      </c>
      <c r="D552" s="2" t="s">
        <v>13</v>
      </c>
      <c r="F552" t="s">
        <v>44</v>
      </c>
      <c r="G552">
        <v>40</v>
      </c>
      <c r="H552">
        <v>5</v>
      </c>
      <c r="I552">
        <v>20</v>
      </c>
      <c r="J552">
        <v>36</v>
      </c>
      <c r="K552" t="s">
        <v>34</v>
      </c>
    </row>
    <row r="553" spans="1:11" x14ac:dyDescent="0.2">
      <c r="A553" t="str">
        <f t="shared" si="8"/>
        <v>22 °C_Mixture_b</v>
      </c>
      <c r="B553" s="2" t="s">
        <v>45</v>
      </c>
      <c r="C553" s="2" t="s">
        <v>27</v>
      </c>
      <c r="D553" s="2" t="s">
        <v>16</v>
      </c>
      <c r="F553" t="s">
        <v>44</v>
      </c>
      <c r="G553">
        <v>40</v>
      </c>
      <c r="H553">
        <v>5</v>
      </c>
      <c r="I553">
        <v>14</v>
      </c>
      <c r="J553">
        <v>25</v>
      </c>
      <c r="K553" t="s">
        <v>34</v>
      </c>
    </row>
    <row r="554" spans="1:11" x14ac:dyDescent="0.2">
      <c r="A554" t="str">
        <f t="shared" si="8"/>
        <v>22 °C_Mixture_b</v>
      </c>
      <c r="B554" s="2" t="s">
        <v>45</v>
      </c>
      <c r="C554" s="2" t="s">
        <v>27</v>
      </c>
      <c r="D554" s="2" t="s">
        <v>16</v>
      </c>
      <c r="F554" t="s">
        <v>44</v>
      </c>
      <c r="G554">
        <v>40</v>
      </c>
      <c r="H554">
        <v>5</v>
      </c>
      <c r="I554">
        <v>8</v>
      </c>
      <c r="J554">
        <v>17</v>
      </c>
      <c r="K554" t="s">
        <v>34</v>
      </c>
    </row>
    <row r="555" spans="1:11" x14ac:dyDescent="0.2">
      <c r="A555" t="str">
        <f t="shared" si="8"/>
        <v>22 °C_Mixture_c</v>
      </c>
      <c r="B555" s="2" t="s">
        <v>45</v>
      </c>
      <c r="C555" s="2" t="s">
        <v>27</v>
      </c>
      <c r="D555" s="2" t="s">
        <v>18</v>
      </c>
      <c r="F555" t="s">
        <v>44</v>
      </c>
      <c r="G555">
        <v>40</v>
      </c>
      <c r="H555">
        <v>5</v>
      </c>
      <c r="I555">
        <v>7</v>
      </c>
      <c r="J555">
        <v>22</v>
      </c>
      <c r="K555" t="s">
        <v>34</v>
      </c>
    </row>
    <row r="556" spans="1:11" x14ac:dyDescent="0.2">
      <c r="A556" t="str">
        <f t="shared" si="8"/>
        <v>22 °C_Mixture_c</v>
      </c>
      <c r="B556" s="2" t="s">
        <v>45</v>
      </c>
      <c r="C556" s="2" t="s">
        <v>27</v>
      </c>
      <c r="D556" s="2" t="s">
        <v>18</v>
      </c>
      <c r="F556" t="s">
        <v>44</v>
      </c>
      <c r="G556">
        <v>40</v>
      </c>
      <c r="H556">
        <v>5</v>
      </c>
      <c r="I556">
        <v>8</v>
      </c>
      <c r="J556">
        <v>20</v>
      </c>
      <c r="K556" t="s">
        <v>34</v>
      </c>
    </row>
    <row r="557" spans="1:11" x14ac:dyDescent="0.2">
      <c r="A557" t="str">
        <f t="shared" si="8"/>
        <v>22 °C_Mixture_d</v>
      </c>
      <c r="B557" s="2" t="s">
        <v>45</v>
      </c>
      <c r="C557" s="2" t="s">
        <v>27</v>
      </c>
      <c r="D557" s="2" t="s">
        <v>20</v>
      </c>
      <c r="F557" t="s">
        <v>44</v>
      </c>
      <c r="G557">
        <v>40</v>
      </c>
      <c r="H557">
        <v>5</v>
      </c>
      <c r="I557">
        <v>5</v>
      </c>
      <c r="J557">
        <v>18</v>
      </c>
      <c r="K557" t="s">
        <v>34</v>
      </c>
    </row>
    <row r="558" spans="1:11" x14ac:dyDescent="0.2">
      <c r="A558" t="str">
        <f t="shared" si="8"/>
        <v>22 °C_Mixture_d</v>
      </c>
      <c r="B558" s="2" t="s">
        <v>45</v>
      </c>
      <c r="C558" s="2" t="s">
        <v>27</v>
      </c>
      <c r="D558" s="2" t="s">
        <v>20</v>
      </c>
      <c r="F558" t="s">
        <v>44</v>
      </c>
      <c r="G558">
        <v>40</v>
      </c>
      <c r="H558">
        <v>5</v>
      </c>
      <c r="I558">
        <v>11</v>
      </c>
      <c r="J558">
        <v>24</v>
      </c>
      <c r="K558" t="s">
        <v>34</v>
      </c>
    </row>
    <row r="559" spans="1:11" x14ac:dyDescent="0.2">
      <c r="A559" t="str">
        <f t="shared" si="8"/>
        <v>22 °C_Mixture_e</v>
      </c>
      <c r="B559" s="2" t="s">
        <v>45</v>
      </c>
      <c r="C559" s="2" t="s">
        <v>27</v>
      </c>
      <c r="D559" s="2" t="s">
        <v>21</v>
      </c>
      <c r="F559" t="s">
        <v>44</v>
      </c>
      <c r="G559">
        <v>40</v>
      </c>
      <c r="H559">
        <v>5</v>
      </c>
      <c r="I559">
        <v>18</v>
      </c>
      <c r="J559">
        <v>45</v>
      </c>
      <c r="K559" t="s">
        <v>34</v>
      </c>
    </row>
    <row r="560" spans="1:11" x14ac:dyDescent="0.2">
      <c r="A560" t="str">
        <f t="shared" si="8"/>
        <v>22 °C_Mixture_e</v>
      </c>
      <c r="B560" s="2" t="s">
        <v>45</v>
      </c>
      <c r="C560" s="2" t="s">
        <v>27</v>
      </c>
      <c r="D560" s="2" t="s">
        <v>21</v>
      </c>
      <c r="F560" t="s">
        <v>44</v>
      </c>
      <c r="G560">
        <v>40</v>
      </c>
      <c r="H560">
        <v>5</v>
      </c>
      <c r="I560">
        <v>20</v>
      </c>
      <c r="J560">
        <v>48</v>
      </c>
      <c r="K560" t="s">
        <v>34</v>
      </c>
    </row>
    <row r="561" spans="1:11" x14ac:dyDescent="0.2">
      <c r="A561" t="str">
        <f t="shared" si="8"/>
        <v>32 °C_Mucoid_a</v>
      </c>
      <c r="B561" s="2" t="s">
        <v>46</v>
      </c>
      <c r="C561" s="2" t="s">
        <v>12</v>
      </c>
      <c r="D561" s="2" t="s">
        <v>13</v>
      </c>
      <c r="F561" t="s">
        <v>40</v>
      </c>
      <c r="G561">
        <v>10</v>
      </c>
      <c r="H561">
        <v>4</v>
      </c>
      <c r="I561">
        <v>37</v>
      </c>
      <c r="J561">
        <v>0</v>
      </c>
      <c r="K561" t="s">
        <v>34</v>
      </c>
    </row>
    <row r="562" spans="1:11" x14ac:dyDescent="0.2">
      <c r="A562" t="str">
        <f t="shared" si="8"/>
        <v>32 °C_Mucoid_a</v>
      </c>
      <c r="B562" s="2" t="s">
        <v>46</v>
      </c>
      <c r="C562" s="2" t="s">
        <v>12</v>
      </c>
      <c r="D562" s="2" t="s">
        <v>13</v>
      </c>
      <c r="F562" t="s">
        <v>40</v>
      </c>
      <c r="G562">
        <v>10</v>
      </c>
      <c r="H562">
        <v>4</v>
      </c>
      <c r="I562">
        <v>34</v>
      </c>
      <c r="J562">
        <v>0</v>
      </c>
      <c r="K562" t="s">
        <v>34</v>
      </c>
    </row>
    <row r="563" spans="1:11" x14ac:dyDescent="0.2">
      <c r="A563" t="str">
        <f t="shared" si="8"/>
        <v>32 °C_Mucoid_b</v>
      </c>
      <c r="B563" s="2" t="s">
        <v>46</v>
      </c>
      <c r="C563" s="2" t="s">
        <v>12</v>
      </c>
      <c r="D563" t="s">
        <v>16</v>
      </c>
      <c r="F563" t="s">
        <v>40</v>
      </c>
      <c r="G563">
        <v>10</v>
      </c>
      <c r="H563">
        <v>4</v>
      </c>
      <c r="I563">
        <v>20</v>
      </c>
      <c r="J563">
        <v>0</v>
      </c>
      <c r="K563" t="s">
        <v>34</v>
      </c>
    </row>
    <row r="564" spans="1:11" x14ac:dyDescent="0.2">
      <c r="A564" t="str">
        <f t="shared" si="8"/>
        <v>32 °C_Mucoid_b</v>
      </c>
      <c r="B564" s="2" t="s">
        <v>46</v>
      </c>
      <c r="C564" s="2" t="s">
        <v>12</v>
      </c>
      <c r="D564" t="s">
        <v>16</v>
      </c>
      <c r="F564" t="s">
        <v>40</v>
      </c>
      <c r="G564">
        <v>10</v>
      </c>
      <c r="H564">
        <v>4</v>
      </c>
      <c r="I564">
        <v>25</v>
      </c>
      <c r="J564">
        <v>0</v>
      </c>
      <c r="K564" t="s">
        <v>34</v>
      </c>
    </row>
    <row r="565" spans="1:11" x14ac:dyDescent="0.2">
      <c r="A565" t="str">
        <f t="shared" si="8"/>
        <v>32 °C_Mucoid_c</v>
      </c>
      <c r="B565" s="2" t="s">
        <v>46</v>
      </c>
      <c r="C565" s="2" t="s">
        <v>12</v>
      </c>
      <c r="D565" s="2" t="s">
        <v>18</v>
      </c>
      <c r="F565" t="s">
        <v>40</v>
      </c>
      <c r="G565">
        <v>10</v>
      </c>
      <c r="H565">
        <v>4</v>
      </c>
      <c r="I565">
        <v>31</v>
      </c>
      <c r="J565">
        <v>0</v>
      </c>
      <c r="K565" t="s">
        <v>34</v>
      </c>
    </row>
    <row r="566" spans="1:11" x14ac:dyDescent="0.2">
      <c r="A566" t="str">
        <f t="shared" si="8"/>
        <v>32 °C_Mucoid_c</v>
      </c>
      <c r="B566" s="2" t="s">
        <v>46</v>
      </c>
      <c r="C566" s="2" t="s">
        <v>12</v>
      </c>
      <c r="D566" s="2" t="s">
        <v>18</v>
      </c>
      <c r="F566" t="s">
        <v>40</v>
      </c>
      <c r="G566">
        <v>10</v>
      </c>
      <c r="H566">
        <v>4</v>
      </c>
      <c r="I566">
        <v>44</v>
      </c>
      <c r="J566">
        <v>0</v>
      </c>
      <c r="K566" t="s">
        <v>34</v>
      </c>
    </row>
    <row r="567" spans="1:11" x14ac:dyDescent="0.2">
      <c r="A567" t="str">
        <f t="shared" si="8"/>
        <v>32 °C_Mucoid_d</v>
      </c>
      <c r="B567" s="2" t="s">
        <v>46</v>
      </c>
      <c r="C567" s="2" t="s">
        <v>12</v>
      </c>
      <c r="D567" s="2" t="s">
        <v>20</v>
      </c>
      <c r="F567" t="s">
        <v>40</v>
      </c>
      <c r="G567">
        <v>10</v>
      </c>
      <c r="H567">
        <v>4</v>
      </c>
      <c r="I567">
        <v>33</v>
      </c>
      <c r="J567">
        <v>0</v>
      </c>
      <c r="K567" t="s">
        <v>34</v>
      </c>
    </row>
    <row r="568" spans="1:11" x14ac:dyDescent="0.2">
      <c r="A568" t="str">
        <f t="shared" si="8"/>
        <v>32 °C_Mucoid_d</v>
      </c>
      <c r="B568" s="2" t="s">
        <v>46</v>
      </c>
      <c r="C568" s="2" t="s">
        <v>12</v>
      </c>
      <c r="D568" s="2" t="s">
        <v>20</v>
      </c>
      <c r="F568" t="s">
        <v>40</v>
      </c>
      <c r="G568">
        <v>10</v>
      </c>
      <c r="H568">
        <v>4</v>
      </c>
      <c r="I568">
        <v>27</v>
      </c>
      <c r="J568">
        <v>0</v>
      </c>
      <c r="K568" t="s">
        <v>34</v>
      </c>
    </row>
    <row r="569" spans="1:11" x14ac:dyDescent="0.2">
      <c r="A569" t="str">
        <f t="shared" ref="A569:A632" si="9">_xlfn.CONCAT(B569,"_",C569,"_",D569)</f>
        <v>32 °C_Mucoid_e</v>
      </c>
      <c r="B569" s="2" t="s">
        <v>46</v>
      </c>
      <c r="C569" s="2" t="s">
        <v>12</v>
      </c>
      <c r="D569" s="2" t="s">
        <v>21</v>
      </c>
      <c r="F569" t="s">
        <v>40</v>
      </c>
      <c r="G569">
        <v>10</v>
      </c>
      <c r="H569">
        <v>4</v>
      </c>
      <c r="I569">
        <v>69</v>
      </c>
      <c r="J569">
        <v>0</v>
      </c>
      <c r="K569" t="s">
        <v>34</v>
      </c>
    </row>
    <row r="570" spans="1:11" x14ac:dyDescent="0.2">
      <c r="A570" t="str">
        <f t="shared" si="9"/>
        <v>32 °C_Mucoid_e</v>
      </c>
      <c r="B570" s="2" t="s">
        <v>46</v>
      </c>
      <c r="C570" s="2" t="s">
        <v>12</v>
      </c>
      <c r="D570" s="2" t="s">
        <v>21</v>
      </c>
      <c r="F570" t="s">
        <v>40</v>
      </c>
      <c r="G570">
        <v>10</v>
      </c>
      <c r="H570">
        <v>4</v>
      </c>
      <c r="I570">
        <v>77</v>
      </c>
      <c r="J570">
        <v>0</v>
      </c>
      <c r="K570" t="s">
        <v>34</v>
      </c>
    </row>
    <row r="571" spans="1:11" x14ac:dyDescent="0.2">
      <c r="A571" t="str">
        <f t="shared" si="9"/>
        <v>32 °C_Dry_a</v>
      </c>
      <c r="B571" s="2" t="s">
        <v>46</v>
      </c>
      <c r="C571" s="2" t="s">
        <v>23</v>
      </c>
      <c r="D571" s="2" t="s">
        <v>13</v>
      </c>
      <c r="F571" t="s">
        <v>40</v>
      </c>
      <c r="G571">
        <v>10</v>
      </c>
      <c r="H571">
        <v>4</v>
      </c>
      <c r="I571">
        <v>0</v>
      </c>
      <c r="J571">
        <v>62</v>
      </c>
      <c r="K571" t="s">
        <v>34</v>
      </c>
    </row>
    <row r="572" spans="1:11" x14ac:dyDescent="0.2">
      <c r="A572" t="str">
        <f t="shared" si="9"/>
        <v>32 °C_Dry_a</v>
      </c>
      <c r="B572" s="2" t="s">
        <v>46</v>
      </c>
      <c r="C572" s="2" t="s">
        <v>23</v>
      </c>
      <c r="D572" s="2" t="s">
        <v>13</v>
      </c>
      <c r="F572" t="s">
        <v>40</v>
      </c>
      <c r="G572">
        <v>10</v>
      </c>
      <c r="H572">
        <v>4</v>
      </c>
      <c r="I572">
        <v>0</v>
      </c>
      <c r="J572">
        <v>60</v>
      </c>
      <c r="K572" t="s">
        <v>34</v>
      </c>
    </row>
    <row r="573" spans="1:11" x14ac:dyDescent="0.2">
      <c r="A573" t="str">
        <f t="shared" si="9"/>
        <v>32 °C_Dry_b</v>
      </c>
      <c r="B573" s="2" t="s">
        <v>46</v>
      </c>
      <c r="C573" s="2" t="s">
        <v>23</v>
      </c>
      <c r="D573" s="2" t="s">
        <v>16</v>
      </c>
      <c r="F573" t="s">
        <v>40</v>
      </c>
      <c r="G573">
        <v>10</v>
      </c>
      <c r="H573">
        <v>4</v>
      </c>
      <c r="I573">
        <v>0</v>
      </c>
      <c r="J573">
        <v>25</v>
      </c>
      <c r="K573" t="s">
        <v>34</v>
      </c>
    </row>
    <row r="574" spans="1:11" x14ac:dyDescent="0.2">
      <c r="A574" t="str">
        <f t="shared" si="9"/>
        <v>32 °C_Dry_b</v>
      </c>
      <c r="B574" s="2" t="s">
        <v>46</v>
      </c>
      <c r="C574" s="2" t="s">
        <v>23</v>
      </c>
      <c r="D574" s="2" t="s">
        <v>16</v>
      </c>
      <c r="F574" t="s">
        <v>40</v>
      </c>
      <c r="G574">
        <v>10</v>
      </c>
      <c r="H574">
        <v>4</v>
      </c>
      <c r="I574">
        <v>0</v>
      </c>
      <c r="J574">
        <v>28</v>
      </c>
      <c r="K574" t="s">
        <v>34</v>
      </c>
    </row>
    <row r="575" spans="1:11" x14ac:dyDescent="0.2">
      <c r="A575" t="str">
        <f t="shared" si="9"/>
        <v>32 °C_Dry_c</v>
      </c>
      <c r="B575" s="2" t="s">
        <v>46</v>
      </c>
      <c r="C575" s="2" t="s">
        <v>23</v>
      </c>
      <c r="D575" s="2" t="s">
        <v>18</v>
      </c>
      <c r="F575" t="s">
        <v>40</v>
      </c>
      <c r="G575">
        <v>10</v>
      </c>
      <c r="H575">
        <v>4</v>
      </c>
      <c r="I575">
        <v>0</v>
      </c>
      <c r="J575">
        <v>29</v>
      </c>
      <c r="K575" t="s">
        <v>34</v>
      </c>
    </row>
    <row r="576" spans="1:11" x14ac:dyDescent="0.2">
      <c r="A576" t="str">
        <f t="shared" si="9"/>
        <v>32 °C_Dry_c</v>
      </c>
      <c r="B576" s="2" t="s">
        <v>46</v>
      </c>
      <c r="C576" s="2" t="s">
        <v>23</v>
      </c>
      <c r="D576" s="2" t="s">
        <v>18</v>
      </c>
      <c r="F576" t="s">
        <v>40</v>
      </c>
      <c r="G576">
        <v>10</v>
      </c>
      <c r="H576">
        <v>4</v>
      </c>
      <c r="I576">
        <v>0</v>
      </c>
      <c r="J576">
        <v>31</v>
      </c>
      <c r="K576" t="s">
        <v>34</v>
      </c>
    </row>
    <row r="577" spans="1:11" x14ac:dyDescent="0.2">
      <c r="A577" t="str">
        <f t="shared" si="9"/>
        <v>32 °C_Dry_d</v>
      </c>
      <c r="B577" s="2" t="s">
        <v>46</v>
      </c>
      <c r="C577" s="2" t="s">
        <v>23</v>
      </c>
      <c r="D577" s="2" t="s">
        <v>20</v>
      </c>
      <c r="F577" t="s">
        <v>40</v>
      </c>
      <c r="G577">
        <v>10</v>
      </c>
      <c r="H577">
        <v>4</v>
      </c>
      <c r="I577">
        <v>0</v>
      </c>
      <c r="J577">
        <v>50</v>
      </c>
      <c r="K577" t="s">
        <v>34</v>
      </c>
    </row>
    <row r="578" spans="1:11" x14ac:dyDescent="0.2">
      <c r="A578" t="str">
        <f t="shared" si="9"/>
        <v>32 °C_Dry_d</v>
      </c>
      <c r="B578" s="2" t="s">
        <v>46</v>
      </c>
      <c r="C578" s="2" t="s">
        <v>23</v>
      </c>
      <c r="D578" s="2" t="s">
        <v>20</v>
      </c>
      <c r="F578" t="s">
        <v>40</v>
      </c>
      <c r="G578">
        <v>10</v>
      </c>
      <c r="H578">
        <v>4</v>
      </c>
      <c r="I578">
        <v>0</v>
      </c>
      <c r="J578">
        <v>54</v>
      </c>
      <c r="K578" t="s">
        <v>34</v>
      </c>
    </row>
    <row r="579" spans="1:11" x14ac:dyDescent="0.2">
      <c r="A579" t="str">
        <f t="shared" si="9"/>
        <v>32 °C_Dry_e</v>
      </c>
      <c r="B579" s="2" t="s">
        <v>46</v>
      </c>
      <c r="C579" s="2" t="s">
        <v>23</v>
      </c>
      <c r="D579" s="2" t="s">
        <v>21</v>
      </c>
      <c r="F579" t="s">
        <v>40</v>
      </c>
      <c r="G579">
        <v>10</v>
      </c>
      <c r="H579">
        <v>4</v>
      </c>
      <c r="I579">
        <v>0</v>
      </c>
      <c r="J579">
        <v>33</v>
      </c>
      <c r="K579" t="s">
        <v>34</v>
      </c>
    </row>
    <row r="580" spans="1:11" x14ac:dyDescent="0.2">
      <c r="A580" t="str">
        <f t="shared" si="9"/>
        <v>32 °C_Dry_e</v>
      </c>
      <c r="B580" s="2" t="s">
        <v>46</v>
      </c>
      <c r="C580" s="2" t="s">
        <v>23</v>
      </c>
      <c r="D580" s="2" t="s">
        <v>21</v>
      </c>
      <c r="F580" t="s">
        <v>40</v>
      </c>
      <c r="G580">
        <v>10</v>
      </c>
      <c r="H580">
        <v>4</v>
      </c>
      <c r="I580">
        <v>0</v>
      </c>
      <c r="J580">
        <v>49</v>
      </c>
      <c r="K580" t="s">
        <v>34</v>
      </c>
    </row>
    <row r="581" spans="1:11" x14ac:dyDescent="0.2">
      <c r="A581" t="str">
        <f t="shared" si="9"/>
        <v>32 °C_Mixture_a</v>
      </c>
      <c r="B581" s="2" t="s">
        <v>46</v>
      </c>
      <c r="C581" s="2" t="s">
        <v>27</v>
      </c>
      <c r="D581" s="2" t="s">
        <v>13</v>
      </c>
      <c r="F581" t="s">
        <v>40</v>
      </c>
      <c r="G581">
        <v>10</v>
      </c>
      <c r="H581">
        <v>4</v>
      </c>
      <c r="I581">
        <v>14</v>
      </c>
      <c r="J581">
        <v>33</v>
      </c>
      <c r="K581" t="s">
        <v>34</v>
      </c>
    </row>
    <row r="582" spans="1:11" x14ac:dyDescent="0.2">
      <c r="A582" t="str">
        <f t="shared" si="9"/>
        <v>32 °C_Mixture_a</v>
      </c>
      <c r="B582" s="2" t="s">
        <v>46</v>
      </c>
      <c r="C582" s="2" t="s">
        <v>27</v>
      </c>
      <c r="D582" s="2" t="s">
        <v>13</v>
      </c>
      <c r="F582" t="s">
        <v>40</v>
      </c>
      <c r="G582">
        <v>10</v>
      </c>
      <c r="H582">
        <v>4</v>
      </c>
      <c r="I582">
        <v>16</v>
      </c>
      <c r="J582">
        <v>36</v>
      </c>
      <c r="K582" t="s">
        <v>34</v>
      </c>
    </row>
    <row r="583" spans="1:11" x14ac:dyDescent="0.2">
      <c r="A583" t="str">
        <f t="shared" si="9"/>
        <v>32 °C_Mixture_b</v>
      </c>
      <c r="B583" s="2" t="s">
        <v>46</v>
      </c>
      <c r="C583" s="2" t="s">
        <v>27</v>
      </c>
      <c r="D583" s="2" t="s">
        <v>16</v>
      </c>
      <c r="F583" t="s">
        <v>40</v>
      </c>
      <c r="G583">
        <v>10</v>
      </c>
      <c r="H583">
        <v>4</v>
      </c>
      <c r="I583">
        <v>15</v>
      </c>
      <c r="J583">
        <v>33</v>
      </c>
      <c r="K583" t="s">
        <v>34</v>
      </c>
    </row>
    <row r="584" spans="1:11" x14ac:dyDescent="0.2">
      <c r="A584" t="str">
        <f t="shared" si="9"/>
        <v>32 °C_Mixture_b</v>
      </c>
      <c r="B584" s="2" t="s">
        <v>46</v>
      </c>
      <c r="C584" s="2" t="s">
        <v>27</v>
      </c>
      <c r="D584" s="2" t="s">
        <v>16</v>
      </c>
      <c r="F584" t="s">
        <v>40</v>
      </c>
      <c r="G584">
        <v>10</v>
      </c>
      <c r="H584">
        <v>4</v>
      </c>
      <c r="I584">
        <v>11</v>
      </c>
      <c r="J584">
        <v>22</v>
      </c>
      <c r="K584" t="s">
        <v>34</v>
      </c>
    </row>
    <row r="585" spans="1:11" x14ac:dyDescent="0.2">
      <c r="A585" t="str">
        <f t="shared" si="9"/>
        <v>32 °C_Mixture_c</v>
      </c>
      <c r="B585" s="2" t="s">
        <v>46</v>
      </c>
      <c r="C585" s="2" t="s">
        <v>27</v>
      </c>
      <c r="D585" s="2" t="s">
        <v>18</v>
      </c>
      <c r="F585" t="s">
        <v>40</v>
      </c>
      <c r="G585">
        <v>10</v>
      </c>
      <c r="H585">
        <v>4</v>
      </c>
      <c r="I585">
        <v>10</v>
      </c>
      <c r="J585">
        <v>18</v>
      </c>
      <c r="K585" t="s">
        <v>34</v>
      </c>
    </row>
    <row r="586" spans="1:11" x14ac:dyDescent="0.2">
      <c r="A586" t="str">
        <f t="shared" si="9"/>
        <v>32 °C_Mixture_c</v>
      </c>
      <c r="B586" s="2" t="s">
        <v>46</v>
      </c>
      <c r="C586" s="2" t="s">
        <v>27</v>
      </c>
      <c r="D586" s="2" t="s">
        <v>18</v>
      </c>
      <c r="F586" t="s">
        <v>40</v>
      </c>
      <c r="G586">
        <v>10</v>
      </c>
      <c r="H586">
        <v>4</v>
      </c>
      <c r="I586">
        <v>11</v>
      </c>
      <c r="J586">
        <v>20</v>
      </c>
      <c r="K586" t="s">
        <v>34</v>
      </c>
    </row>
    <row r="587" spans="1:11" x14ac:dyDescent="0.2">
      <c r="A587" t="str">
        <f t="shared" si="9"/>
        <v>32 °C_Mixture_d</v>
      </c>
      <c r="B587" s="2" t="s">
        <v>46</v>
      </c>
      <c r="C587" s="2" t="s">
        <v>27</v>
      </c>
      <c r="D587" s="2" t="s">
        <v>20</v>
      </c>
      <c r="F587" t="s">
        <v>40</v>
      </c>
      <c r="G587">
        <v>10</v>
      </c>
      <c r="H587">
        <v>4</v>
      </c>
      <c r="I587">
        <v>22</v>
      </c>
      <c r="J587">
        <v>30</v>
      </c>
      <c r="K587" t="s">
        <v>34</v>
      </c>
    </row>
    <row r="588" spans="1:11" x14ac:dyDescent="0.2">
      <c r="A588" t="str">
        <f t="shared" si="9"/>
        <v>32 °C_Mixture_d</v>
      </c>
      <c r="B588" s="2" t="s">
        <v>46</v>
      </c>
      <c r="C588" s="2" t="s">
        <v>27</v>
      </c>
      <c r="D588" s="2" t="s">
        <v>20</v>
      </c>
      <c r="F588" t="s">
        <v>40</v>
      </c>
      <c r="G588">
        <v>10</v>
      </c>
      <c r="H588">
        <v>4</v>
      </c>
      <c r="I588">
        <v>22</v>
      </c>
      <c r="J588">
        <v>31</v>
      </c>
      <c r="K588" t="s">
        <v>34</v>
      </c>
    </row>
    <row r="589" spans="1:11" x14ac:dyDescent="0.2">
      <c r="A589" t="str">
        <f t="shared" si="9"/>
        <v>32 °C_Mixture_e</v>
      </c>
      <c r="B589" s="2" t="s">
        <v>46</v>
      </c>
      <c r="C589" s="2" t="s">
        <v>27</v>
      </c>
      <c r="D589" s="2" t="s">
        <v>21</v>
      </c>
      <c r="F589" t="s">
        <v>40</v>
      </c>
      <c r="G589" t="s">
        <v>41</v>
      </c>
      <c r="H589" t="s">
        <v>41</v>
      </c>
      <c r="K589" t="s">
        <v>34</v>
      </c>
    </row>
    <row r="590" spans="1:11" x14ac:dyDescent="0.2">
      <c r="A590" t="str">
        <f t="shared" si="9"/>
        <v>32 °C_Mixture_e</v>
      </c>
      <c r="B590" s="2" t="s">
        <v>46</v>
      </c>
      <c r="C590" s="2" t="s">
        <v>27</v>
      </c>
      <c r="D590" s="2" t="s">
        <v>21</v>
      </c>
      <c r="F590" t="s">
        <v>40</v>
      </c>
      <c r="G590" t="s">
        <v>41</v>
      </c>
      <c r="H590" t="s">
        <v>41</v>
      </c>
      <c r="K590" t="s">
        <v>34</v>
      </c>
    </row>
    <row r="591" spans="1:11" x14ac:dyDescent="0.2">
      <c r="A591" t="str">
        <f t="shared" si="9"/>
        <v>32 °C_Mucoid_a</v>
      </c>
      <c r="B591" s="2" t="s">
        <v>46</v>
      </c>
      <c r="C591" s="2" t="s">
        <v>12</v>
      </c>
      <c r="D591" s="2" t="s">
        <v>13</v>
      </c>
      <c r="F591" t="s">
        <v>42</v>
      </c>
      <c r="G591" s="2">
        <v>10</v>
      </c>
      <c r="H591" s="2">
        <v>4</v>
      </c>
      <c r="I591">
        <v>38</v>
      </c>
      <c r="J591">
        <v>0</v>
      </c>
      <c r="K591" t="s">
        <v>34</v>
      </c>
    </row>
    <row r="592" spans="1:11" x14ac:dyDescent="0.2">
      <c r="A592" t="str">
        <f t="shared" si="9"/>
        <v>32 °C_Mucoid_a</v>
      </c>
      <c r="B592" s="2" t="s">
        <v>46</v>
      </c>
      <c r="C592" s="2" t="s">
        <v>12</v>
      </c>
      <c r="D592" s="2" t="s">
        <v>13</v>
      </c>
      <c r="F592" t="s">
        <v>42</v>
      </c>
      <c r="G592" s="2">
        <v>10</v>
      </c>
      <c r="H592" s="2">
        <v>4</v>
      </c>
      <c r="I592">
        <v>45</v>
      </c>
      <c r="J592">
        <v>0</v>
      </c>
      <c r="K592" t="s">
        <v>34</v>
      </c>
    </row>
    <row r="593" spans="1:11" x14ac:dyDescent="0.2">
      <c r="A593" t="str">
        <f t="shared" si="9"/>
        <v>32 °C_Mucoid_b</v>
      </c>
      <c r="B593" s="2" t="s">
        <v>46</v>
      </c>
      <c r="C593" s="2" t="s">
        <v>12</v>
      </c>
      <c r="D593" t="s">
        <v>16</v>
      </c>
      <c r="F593" t="s">
        <v>42</v>
      </c>
      <c r="G593" s="2">
        <v>10</v>
      </c>
      <c r="H593" s="2">
        <v>4</v>
      </c>
      <c r="I593">
        <v>46</v>
      </c>
      <c r="J593">
        <v>0</v>
      </c>
      <c r="K593" t="s">
        <v>34</v>
      </c>
    </row>
    <row r="594" spans="1:11" x14ac:dyDescent="0.2">
      <c r="A594" t="str">
        <f t="shared" si="9"/>
        <v>32 °C_Mucoid_b</v>
      </c>
      <c r="B594" s="2" t="s">
        <v>46</v>
      </c>
      <c r="C594" s="2" t="s">
        <v>12</v>
      </c>
      <c r="D594" t="s">
        <v>16</v>
      </c>
      <c r="F594" t="s">
        <v>42</v>
      </c>
      <c r="G594" s="2">
        <v>10</v>
      </c>
      <c r="H594" s="2">
        <v>4</v>
      </c>
      <c r="I594">
        <v>49</v>
      </c>
      <c r="J594">
        <v>0</v>
      </c>
      <c r="K594" t="s">
        <v>34</v>
      </c>
    </row>
    <row r="595" spans="1:11" x14ac:dyDescent="0.2">
      <c r="A595" t="str">
        <f t="shared" si="9"/>
        <v>32 °C_Mucoid_c</v>
      </c>
      <c r="B595" s="2" t="s">
        <v>46</v>
      </c>
      <c r="C595" s="2" t="s">
        <v>12</v>
      </c>
      <c r="D595" s="2" t="s">
        <v>18</v>
      </c>
      <c r="F595" t="s">
        <v>42</v>
      </c>
      <c r="G595" s="2">
        <v>10</v>
      </c>
      <c r="H595" s="2">
        <v>4</v>
      </c>
      <c r="I595">
        <v>45</v>
      </c>
      <c r="J595">
        <v>0</v>
      </c>
      <c r="K595" t="s">
        <v>34</v>
      </c>
    </row>
    <row r="596" spans="1:11" x14ac:dyDescent="0.2">
      <c r="A596" t="str">
        <f t="shared" si="9"/>
        <v>32 °C_Mucoid_c</v>
      </c>
      <c r="B596" s="2" t="s">
        <v>46</v>
      </c>
      <c r="C596" s="2" t="s">
        <v>12</v>
      </c>
      <c r="D596" s="2" t="s">
        <v>18</v>
      </c>
      <c r="F596" t="s">
        <v>42</v>
      </c>
      <c r="G596" s="2">
        <v>10</v>
      </c>
      <c r="H596" s="2">
        <v>4</v>
      </c>
      <c r="I596">
        <v>41</v>
      </c>
      <c r="J596">
        <v>0</v>
      </c>
      <c r="K596" t="s">
        <v>34</v>
      </c>
    </row>
    <row r="597" spans="1:11" x14ac:dyDescent="0.2">
      <c r="A597" t="str">
        <f t="shared" si="9"/>
        <v>32 °C_Mucoid_d</v>
      </c>
      <c r="B597" s="2" t="s">
        <v>46</v>
      </c>
      <c r="C597" s="2" t="s">
        <v>12</v>
      </c>
      <c r="D597" s="2" t="s">
        <v>20</v>
      </c>
      <c r="F597" t="s">
        <v>42</v>
      </c>
      <c r="G597" s="2">
        <v>10</v>
      </c>
      <c r="H597" s="2">
        <v>4</v>
      </c>
      <c r="I597">
        <v>32</v>
      </c>
      <c r="J597">
        <v>0</v>
      </c>
      <c r="K597" t="s">
        <v>34</v>
      </c>
    </row>
    <row r="598" spans="1:11" x14ac:dyDescent="0.2">
      <c r="A598" t="str">
        <f t="shared" si="9"/>
        <v>32 °C_Mucoid_d</v>
      </c>
      <c r="B598" s="2" t="s">
        <v>46</v>
      </c>
      <c r="C598" s="2" t="s">
        <v>12</v>
      </c>
      <c r="D598" s="2" t="s">
        <v>20</v>
      </c>
      <c r="F598" t="s">
        <v>42</v>
      </c>
      <c r="G598" s="2">
        <v>10</v>
      </c>
      <c r="H598" s="2">
        <v>4</v>
      </c>
      <c r="I598">
        <v>43</v>
      </c>
      <c r="J598">
        <v>0</v>
      </c>
      <c r="K598" t="s">
        <v>34</v>
      </c>
    </row>
    <row r="599" spans="1:11" x14ac:dyDescent="0.2">
      <c r="A599" t="str">
        <f t="shared" si="9"/>
        <v>32 °C_Mucoid_e</v>
      </c>
      <c r="B599" s="2" t="s">
        <v>46</v>
      </c>
      <c r="C599" s="2" t="s">
        <v>12</v>
      </c>
      <c r="D599" s="2" t="s">
        <v>21</v>
      </c>
      <c r="F599" t="s">
        <v>42</v>
      </c>
      <c r="G599" s="2">
        <v>10</v>
      </c>
      <c r="H599" s="2">
        <v>4</v>
      </c>
      <c r="I599">
        <v>22</v>
      </c>
      <c r="J599">
        <v>1</v>
      </c>
      <c r="K599" t="s">
        <v>34</v>
      </c>
    </row>
    <row r="600" spans="1:11" x14ac:dyDescent="0.2">
      <c r="A600" t="str">
        <f t="shared" si="9"/>
        <v>32 °C_Mucoid_e</v>
      </c>
      <c r="B600" s="2" t="s">
        <v>46</v>
      </c>
      <c r="C600" s="2" t="s">
        <v>12</v>
      </c>
      <c r="D600" s="2" t="s">
        <v>21</v>
      </c>
      <c r="F600" t="s">
        <v>42</v>
      </c>
      <c r="G600" s="2">
        <v>10</v>
      </c>
      <c r="H600" s="2">
        <v>4</v>
      </c>
      <c r="I600">
        <v>23</v>
      </c>
      <c r="J600">
        <v>0</v>
      </c>
      <c r="K600" t="s">
        <v>34</v>
      </c>
    </row>
    <row r="601" spans="1:11" x14ac:dyDescent="0.2">
      <c r="A601" t="str">
        <f t="shared" si="9"/>
        <v>32 °C_Dry_a</v>
      </c>
      <c r="B601" s="2" t="s">
        <v>46</v>
      </c>
      <c r="C601" s="2" t="s">
        <v>23</v>
      </c>
      <c r="D601" s="2" t="s">
        <v>13</v>
      </c>
      <c r="F601" t="s">
        <v>42</v>
      </c>
      <c r="G601" s="2">
        <v>10</v>
      </c>
      <c r="H601" s="2">
        <v>4</v>
      </c>
      <c r="I601">
        <v>0</v>
      </c>
      <c r="J601">
        <v>46</v>
      </c>
      <c r="K601" t="s">
        <v>34</v>
      </c>
    </row>
    <row r="602" spans="1:11" x14ac:dyDescent="0.2">
      <c r="A602" t="str">
        <f t="shared" si="9"/>
        <v>32 °C_Dry_a</v>
      </c>
      <c r="B602" s="2" t="s">
        <v>46</v>
      </c>
      <c r="C602" s="2" t="s">
        <v>23</v>
      </c>
      <c r="D602" s="2" t="s">
        <v>13</v>
      </c>
      <c r="F602" t="s">
        <v>42</v>
      </c>
      <c r="G602" s="2">
        <v>10</v>
      </c>
      <c r="H602" s="2">
        <v>4</v>
      </c>
      <c r="I602">
        <v>0</v>
      </c>
      <c r="J602">
        <v>56</v>
      </c>
      <c r="K602" t="s">
        <v>34</v>
      </c>
    </row>
    <row r="603" spans="1:11" x14ac:dyDescent="0.2">
      <c r="A603" t="str">
        <f t="shared" si="9"/>
        <v>32 °C_Dry_b</v>
      </c>
      <c r="B603" s="2" t="s">
        <v>46</v>
      </c>
      <c r="C603" s="2" t="s">
        <v>23</v>
      </c>
      <c r="D603" s="2" t="s">
        <v>16</v>
      </c>
      <c r="F603" t="s">
        <v>42</v>
      </c>
      <c r="G603" s="2">
        <v>10</v>
      </c>
      <c r="H603" s="2">
        <v>4</v>
      </c>
      <c r="I603">
        <v>0</v>
      </c>
      <c r="J603">
        <v>50</v>
      </c>
      <c r="K603" t="s">
        <v>34</v>
      </c>
    </row>
    <row r="604" spans="1:11" x14ac:dyDescent="0.2">
      <c r="A604" t="str">
        <f t="shared" si="9"/>
        <v>32 °C_Dry_b</v>
      </c>
      <c r="B604" s="2" t="s">
        <v>46</v>
      </c>
      <c r="C604" s="2" t="s">
        <v>23</v>
      </c>
      <c r="D604" s="2" t="s">
        <v>16</v>
      </c>
      <c r="F604" t="s">
        <v>42</v>
      </c>
      <c r="G604" s="2">
        <v>10</v>
      </c>
      <c r="H604" s="2">
        <v>4</v>
      </c>
      <c r="I604">
        <v>0</v>
      </c>
      <c r="J604">
        <v>38</v>
      </c>
      <c r="K604" t="s">
        <v>34</v>
      </c>
    </row>
    <row r="605" spans="1:11" x14ac:dyDescent="0.2">
      <c r="A605" t="str">
        <f t="shared" si="9"/>
        <v>32 °C_Dry_c</v>
      </c>
      <c r="B605" s="2" t="s">
        <v>46</v>
      </c>
      <c r="C605" s="2" t="s">
        <v>23</v>
      </c>
      <c r="D605" s="2" t="s">
        <v>18</v>
      </c>
      <c r="F605" t="s">
        <v>42</v>
      </c>
      <c r="G605" s="2">
        <v>10</v>
      </c>
      <c r="H605" s="2">
        <v>4</v>
      </c>
      <c r="I605">
        <v>0</v>
      </c>
      <c r="J605">
        <v>43</v>
      </c>
      <c r="K605" t="s">
        <v>34</v>
      </c>
    </row>
    <row r="606" spans="1:11" x14ac:dyDescent="0.2">
      <c r="A606" t="str">
        <f t="shared" si="9"/>
        <v>32 °C_Dry_c</v>
      </c>
      <c r="B606" s="2" t="s">
        <v>46</v>
      </c>
      <c r="C606" s="2" t="s">
        <v>23</v>
      </c>
      <c r="D606" s="2" t="s">
        <v>18</v>
      </c>
      <c r="F606" t="s">
        <v>42</v>
      </c>
      <c r="G606" s="2">
        <v>10</v>
      </c>
      <c r="H606" s="2">
        <v>4</v>
      </c>
      <c r="I606">
        <v>0</v>
      </c>
      <c r="J606">
        <v>27</v>
      </c>
      <c r="K606" t="s">
        <v>34</v>
      </c>
    </row>
    <row r="607" spans="1:11" x14ac:dyDescent="0.2">
      <c r="A607" t="str">
        <f t="shared" si="9"/>
        <v>32 °C_Dry_d</v>
      </c>
      <c r="B607" s="2" t="s">
        <v>46</v>
      </c>
      <c r="C607" s="2" t="s">
        <v>23</v>
      </c>
      <c r="D607" s="2" t="s">
        <v>20</v>
      </c>
      <c r="F607" t="s">
        <v>42</v>
      </c>
      <c r="G607" s="2">
        <v>10</v>
      </c>
      <c r="H607" s="2">
        <v>4</v>
      </c>
      <c r="I607">
        <v>0</v>
      </c>
      <c r="J607">
        <v>43</v>
      </c>
      <c r="K607" t="s">
        <v>34</v>
      </c>
    </row>
    <row r="608" spans="1:11" x14ac:dyDescent="0.2">
      <c r="A608" t="str">
        <f t="shared" si="9"/>
        <v>32 °C_Dry_d</v>
      </c>
      <c r="B608" s="2" t="s">
        <v>46</v>
      </c>
      <c r="C608" s="2" t="s">
        <v>23</v>
      </c>
      <c r="D608" s="2" t="s">
        <v>20</v>
      </c>
      <c r="F608" t="s">
        <v>42</v>
      </c>
      <c r="G608" s="2">
        <v>10</v>
      </c>
      <c r="H608" s="2">
        <v>4</v>
      </c>
      <c r="I608">
        <v>0</v>
      </c>
      <c r="J608">
        <v>68</v>
      </c>
      <c r="K608" t="s">
        <v>34</v>
      </c>
    </row>
    <row r="609" spans="1:11" x14ac:dyDescent="0.2">
      <c r="A609" t="str">
        <f t="shared" si="9"/>
        <v>32 °C_Dry_e</v>
      </c>
      <c r="B609" s="2" t="s">
        <v>46</v>
      </c>
      <c r="C609" s="2" t="s">
        <v>23</v>
      </c>
      <c r="D609" s="2" t="s">
        <v>21</v>
      </c>
      <c r="F609" t="s">
        <v>42</v>
      </c>
      <c r="G609" s="2">
        <v>10</v>
      </c>
      <c r="H609" s="2">
        <v>4</v>
      </c>
      <c r="I609">
        <v>0</v>
      </c>
      <c r="J609">
        <v>72</v>
      </c>
      <c r="K609" t="s">
        <v>34</v>
      </c>
    </row>
    <row r="610" spans="1:11" x14ac:dyDescent="0.2">
      <c r="A610" t="str">
        <f t="shared" si="9"/>
        <v>32 °C_Dry_e</v>
      </c>
      <c r="B610" s="2" t="s">
        <v>46</v>
      </c>
      <c r="C610" s="2" t="s">
        <v>23</v>
      </c>
      <c r="D610" s="2" t="s">
        <v>21</v>
      </c>
      <c r="F610" t="s">
        <v>42</v>
      </c>
      <c r="G610" s="2">
        <v>10</v>
      </c>
      <c r="H610" s="2">
        <v>4</v>
      </c>
      <c r="I610">
        <v>0</v>
      </c>
      <c r="J610">
        <v>55</v>
      </c>
      <c r="K610" t="s">
        <v>34</v>
      </c>
    </row>
    <row r="611" spans="1:11" x14ac:dyDescent="0.2">
      <c r="A611" t="str">
        <f t="shared" si="9"/>
        <v>32 °C_Mixture_a</v>
      </c>
      <c r="B611" s="2" t="s">
        <v>46</v>
      </c>
      <c r="C611" s="2" t="s">
        <v>27</v>
      </c>
      <c r="D611" s="2" t="s">
        <v>13</v>
      </c>
      <c r="F611" t="s">
        <v>42</v>
      </c>
      <c r="G611" s="2">
        <v>10</v>
      </c>
      <c r="H611" s="2">
        <v>4</v>
      </c>
      <c r="I611">
        <v>23</v>
      </c>
      <c r="J611">
        <v>29</v>
      </c>
      <c r="K611" t="s">
        <v>34</v>
      </c>
    </row>
    <row r="612" spans="1:11" x14ac:dyDescent="0.2">
      <c r="A612" t="str">
        <f t="shared" si="9"/>
        <v>32 °C_Mixture_a</v>
      </c>
      <c r="B612" s="2" t="s">
        <v>46</v>
      </c>
      <c r="C612" s="2" t="s">
        <v>27</v>
      </c>
      <c r="D612" s="2" t="s">
        <v>13</v>
      </c>
      <c r="F612" t="s">
        <v>42</v>
      </c>
      <c r="G612" s="2">
        <v>10</v>
      </c>
      <c r="H612" s="2">
        <v>4</v>
      </c>
      <c r="I612">
        <v>22</v>
      </c>
      <c r="J612">
        <v>39</v>
      </c>
      <c r="K612" t="s">
        <v>34</v>
      </c>
    </row>
    <row r="613" spans="1:11" x14ac:dyDescent="0.2">
      <c r="A613" t="str">
        <f t="shared" si="9"/>
        <v>32 °C_Mixture_b</v>
      </c>
      <c r="B613" s="2" t="s">
        <v>46</v>
      </c>
      <c r="C613" s="2" t="s">
        <v>27</v>
      </c>
      <c r="D613" s="2" t="s">
        <v>16</v>
      </c>
      <c r="F613" t="s">
        <v>42</v>
      </c>
      <c r="G613" s="2">
        <v>10</v>
      </c>
      <c r="H613" s="2">
        <v>4</v>
      </c>
      <c r="I613">
        <v>10</v>
      </c>
      <c r="J613">
        <v>13</v>
      </c>
      <c r="K613" t="s">
        <v>34</v>
      </c>
    </row>
    <row r="614" spans="1:11" x14ac:dyDescent="0.2">
      <c r="A614" t="str">
        <f t="shared" si="9"/>
        <v>32 °C_Mixture_b</v>
      </c>
      <c r="B614" s="2" t="s">
        <v>46</v>
      </c>
      <c r="C614" s="2" t="s">
        <v>27</v>
      </c>
      <c r="D614" s="2" t="s">
        <v>16</v>
      </c>
      <c r="F614" t="s">
        <v>42</v>
      </c>
      <c r="G614" s="2">
        <v>10</v>
      </c>
      <c r="H614" s="2">
        <v>4</v>
      </c>
      <c r="I614">
        <v>8</v>
      </c>
      <c r="J614">
        <v>20</v>
      </c>
      <c r="K614" t="s">
        <v>34</v>
      </c>
    </row>
    <row r="615" spans="1:11" x14ac:dyDescent="0.2">
      <c r="A615" t="str">
        <f t="shared" si="9"/>
        <v>32 °C_Mixture_c</v>
      </c>
      <c r="B615" s="2" t="s">
        <v>46</v>
      </c>
      <c r="C615" s="2" t="s">
        <v>27</v>
      </c>
      <c r="D615" s="2" t="s">
        <v>18</v>
      </c>
      <c r="F615" t="s">
        <v>42</v>
      </c>
      <c r="G615" s="2">
        <v>10</v>
      </c>
      <c r="H615" s="2">
        <v>4</v>
      </c>
      <c r="I615">
        <v>12</v>
      </c>
      <c r="J615">
        <v>18</v>
      </c>
      <c r="K615" t="s">
        <v>34</v>
      </c>
    </row>
    <row r="616" spans="1:11" x14ac:dyDescent="0.2">
      <c r="A616" t="str">
        <f t="shared" si="9"/>
        <v>32 °C_Mixture_c</v>
      </c>
      <c r="B616" s="2" t="s">
        <v>46</v>
      </c>
      <c r="C616" s="2" t="s">
        <v>27</v>
      </c>
      <c r="D616" s="2" t="s">
        <v>18</v>
      </c>
      <c r="F616" t="s">
        <v>42</v>
      </c>
      <c r="G616" s="2">
        <v>10</v>
      </c>
      <c r="H616" s="2">
        <v>4</v>
      </c>
      <c r="I616">
        <v>6</v>
      </c>
      <c r="J616">
        <v>17</v>
      </c>
      <c r="K616" t="s">
        <v>34</v>
      </c>
    </row>
    <row r="617" spans="1:11" x14ac:dyDescent="0.2">
      <c r="A617" t="str">
        <f t="shared" si="9"/>
        <v>32 °C_Mixture_d</v>
      </c>
      <c r="B617" s="2" t="s">
        <v>46</v>
      </c>
      <c r="C617" s="2" t="s">
        <v>27</v>
      </c>
      <c r="D617" s="2" t="s">
        <v>20</v>
      </c>
      <c r="F617" t="s">
        <v>42</v>
      </c>
      <c r="G617" s="2">
        <v>10</v>
      </c>
      <c r="H617" s="2">
        <v>4</v>
      </c>
      <c r="I617">
        <v>14</v>
      </c>
      <c r="J617">
        <v>21</v>
      </c>
      <c r="K617" t="s">
        <v>34</v>
      </c>
    </row>
    <row r="618" spans="1:11" x14ac:dyDescent="0.2">
      <c r="A618" t="str">
        <f t="shared" si="9"/>
        <v>32 °C_Mixture_d</v>
      </c>
      <c r="B618" s="2" t="s">
        <v>46</v>
      </c>
      <c r="C618" s="2" t="s">
        <v>27</v>
      </c>
      <c r="D618" s="2" t="s">
        <v>20</v>
      </c>
      <c r="F618" t="s">
        <v>42</v>
      </c>
      <c r="G618" s="2">
        <v>10</v>
      </c>
      <c r="H618" s="2">
        <v>4</v>
      </c>
      <c r="I618">
        <v>11</v>
      </c>
      <c r="J618">
        <v>26</v>
      </c>
      <c r="K618" t="s">
        <v>34</v>
      </c>
    </row>
    <row r="619" spans="1:11" x14ac:dyDescent="0.2">
      <c r="A619" t="str">
        <f t="shared" si="9"/>
        <v>32 °C_Mixture_e</v>
      </c>
      <c r="B619" s="2" t="s">
        <v>46</v>
      </c>
      <c r="C619" s="2" t="s">
        <v>27</v>
      </c>
      <c r="D619" s="2" t="s">
        <v>21</v>
      </c>
      <c r="F619" t="s">
        <v>42</v>
      </c>
      <c r="G619" s="2">
        <v>10</v>
      </c>
      <c r="H619" s="2">
        <v>4</v>
      </c>
      <c r="I619">
        <v>12</v>
      </c>
      <c r="J619">
        <v>48</v>
      </c>
      <c r="K619" t="s">
        <v>34</v>
      </c>
    </row>
    <row r="620" spans="1:11" x14ac:dyDescent="0.2">
      <c r="A620" t="str">
        <f t="shared" si="9"/>
        <v>32 °C_Mixture_e</v>
      </c>
      <c r="B620" s="2" t="s">
        <v>46</v>
      </c>
      <c r="C620" s="2" t="s">
        <v>27</v>
      </c>
      <c r="D620" s="2" t="s">
        <v>21</v>
      </c>
      <c r="F620" t="s">
        <v>42</v>
      </c>
      <c r="G620" s="2">
        <v>10</v>
      </c>
      <c r="H620" s="2">
        <v>4</v>
      </c>
      <c r="I620">
        <v>25</v>
      </c>
      <c r="J620">
        <v>33</v>
      </c>
      <c r="K620" t="s">
        <v>34</v>
      </c>
    </row>
    <row r="621" spans="1:11" x14ac:dyDescent="0.2">
      <c r="A621" t="str">
        <f t="shared" si="9"/>
        <v>32 °C_Mucoid_a</v>
      </c>
      <c r="B621" s="2" t="s">
        <v>46</v>
      </c>
      <c r="C621" s="2" t="s">
        <v>12</v>
      </c>
      <c r="D621" s="2" t="s">
        <v>13</v>
      </c>
      <c r="F621" t="s">
        <v>43</v>
      </c>
      <c r="G621">
        <v>40</v>
      </c>
      <c r="H621">
        <v>5</v>
      </c>
      <c r="I621">
        <v>25</v>
      </c>
      <c r="J621">
        <v>0</v>
      </c>
      <c r="K621" t="s">
        <v>34</v>
      </c>
    </row>
    <row r="622" spans="1:11" x14ac:dyDescent="0.2">
      <c r="A622" t="str">
        <f t="shared" si="9"/>
        <v>32 °C_Mucoid_a</v>
      </c>
      <c r="B622" s="2" t="s">
        <v>46</v>
      </c>
      <c r="C622" s="2" t="s">
        <v>12</v>
      </c>
      <c r="D622" s="2" t="s">
        <v>13</v>
      </c>
      <c r="F622" t="s">
        <v>43</v>
      </c>
      <c r="G622">
        <v>40</v>
      </c>
      <c r="H622">
        <v>5</v>
      </c>
      <c r="I622">
        <v>34</v>
      </c>
      <c r="J622">
        <v>0</v>
      </c>
      <c r="K622" t="s">
        <v>34</v>
      </c>
    </row>
    <row r="623" spans="1:11" x14ac:dyDescent="0.2">
      <c r="A623" t="str">
        <f t="shared" si="9"/>
        <v>32 °C_Mucoid_b</v>
      </c>
      <c r="B623" s="2" t="s">
        <v>46</v>
      </c>
      <c r="C623" s="2" t="s">
        <v>12</v>
      </c>
      <c r="D623" t="s">
        <v>16</v>
      </c>
      <c r="F623" t="s">
        <v>43</v>
      </c>
      <c r="G623">
        <v>40</v>
      </c>
      <c r="H623">
        <v>5</v>
      </c>
      <c r="I623">
        <v>22</v>
      </c>
      <c r="J623">
        <v>0</v>
      </c>
      <c r="K623" t="s">
        <v>34</v>
      </c>
    </row>
    <row r="624" spans="1:11" x14ac:dyDescent="0.2">
      <c r="A624" t="str">
        <f t="shared" si="9"/>
        <v>32 °C_Mucoid_b</v>
      </c>
      <c r="B624" s="2" t="s">
        <v>46</v>
      </c>
      <c r="C624" s="2" t="s">
        <v>12</v>
      </c>
      <c r="D624" t="s">
        <v>16</v>
      </c>
      <c r="F624" t="s">
        <v>43</v>
      </c>
      <c r="G624">
        <v>40</v>
      </c>
      <c r="H624">
        <v>5</v>
      </c>
      <c r="I624">
        <v>15</v>
      </c>
      <c r="J624">
        <v>0</v>
      </c>
      <c r="K624" t="s">
        <v>34</v>
      </c>
    </row>
    <row r="625" spans="1:11" x14ac:dyDescent="0.2">
      <c r="A625" t="str">
        <f t="shared" si="9"/>
        <v>32 °C_Mucoid_c</v>
      </c>
      <c r="B625" s="2" t="s">
        <v>46</v>
      </c>
      <c r="C625" s="2" t="s">
        <v>12</v>
      </c>
      <c r="D625" s="2" t="s">
        <v>18</v>
      </c>
      <c r="F625" t="s">
        <v>43</v>
      </c>
      <c r="G625">
        <v>40</v>
      </c>
      <c r="H625">
        <v>5</v>
      </c>
      <c r="I625">
        <v>9</v>
      </c>
      <c r="J625">
        <v>0</v>
      </c>
      <c r="K625" t="s">
        <v>34</v>
      </c>
    </row>
    <row r="626" spans="1:11" x14ac:dyDescent="0.2">
      <c r="A626" t="str">
        <f t="shared" si="9"/>
        <v>32 °C_Mucoid_c</v>
      </c>
      <c r="B626" s="2" t="s">
        <v>46</v>
      </c>
      <c r="C626" s="2" t="s">
        <v>12</v>
      </c>
      <c r="D626" s="2" t="s">
        <v>18</v>
      </c>
      <c r="F626" t="s">
        <v>43</v>
      </c>
      <c r="G626">
        <v>40</v>
      </c>
      <c r="H626">
        <v>5</v>
      </c>
      <c r="I626">
        <v>4</v>
      </c>
      <c r="J626">
        <v>0</v>
      </c>
      <c r="K626" t="s">
        <v>34</v>
      </c>
    </row>
    <row r="627" spans="1:11" x14ac:dyDescent="0.2">
      <c r="A627" t="str">
        <f t="shared" si="9"/>
        <v>32 °C_Mucoid_d</v>
      </c>
      <c r="B627" s="2" t="s">
        <v>46</v>
      </c>
      <c r="C627" s="2" t="s">
        <v>12</v>
      </c>
      <c r="D627" s="2" t="s">
        <v>20</v>
      </c>
      <c r="F627" t="s">
        <v>43</v>
      </c>
      <c r="G627">
        <v>40</v>
      </c>
      <c r="H627">
        <v>5</v>
      </c>
      <c r="I627">
        <v>29</v>
      </c>
      <c r="J627">
        <v>0</v>
      </c>
      <c r="K627" t="s">
        <v>34</v>
      </c>
    </row>
    <row r="628" spans="1:11" x14ac:dyDescent="0.2">
      <c r="A628" t="str">
        <f t="shared" si="9"/>
        <v>32 °C_Mucoid_d</v>
      </c>
      <c r="B628" s="2" t="s">
        <v>46</v>
      </c>
      <c r="C628" s="2" t="s">
        <v>12</v>
      </c>
      <c r="D628" s="2" t="s">
        <v>20</v>
      </c>
      <c r="F628" t="s">
        <v>43</v>
      </c>
      <c r="G628">
        <v>40</v>
      </c>
      <c r="H628">
        <v>5</v>
      </c>
      <c r="I628">
        <v>17</v>
      </c>
      <c r="J628">
        <v>0</v>
      </c>
      <c r="K628" t="s">
        <v>34</v>
      </c>
    </row>
    <row r="629" spans="1:11" x14ac:dyDescent="0.2">
      <c r="A629" t="str">
        <f t="shared" si="9"/>
        <v>32 °C_Mucoid_e</v>
      </c>
      <c r="B629" s="2" t="s">
        <v>46</v>
      </c>
      <c r="C629" s="2" t="s">
        <v>12</v>
      </c>
      <c r="D629" s="2" t="s">
        <v>21</v>
      </c>
      <c r="F629" t="s">
        <v>43</v>
      </c>
      <c r="G629">
        <v>40</v>
      </c>
      <c r="H629">
        <v>5</v>
      </c>
      <c r="I629">
        <v>12</v>
      </c>
      <c r="J629">
        <v>1</v>
      </c>
      <c r="K629" t="s">
        <v>34</v>
      </c>
    </row>
    <row r="630" spans="1:11" x14ac:dyDescent="0.2">
      <c r="A630" t="str">
        <f t="shared" si="9"/>
        <v>32 °C_Mucoid_e</v>
      </c>
      <c r="B630" s="2" t="s">
        <v>46</v>
      </c>
      <c r="C630" s="2" t="s">
        <v>12</v>
      </c>
      <c r="D630" s="2" t="s">
        <v>21</v>
      </c>
      <c r="F630" t="s">
        <v>43</v>
      </c>
      <c r="G630">
        <v>40</v>
      </c>
      <c r="H630">
        <v>5</v>
      </c>
      <c r="I630">
        <v>18</v>
      </c>
      <c r="J630">
        <v>0</v>
      </c>
      <c r="K630" t="s">
        <v>34</v>
      </c>
    </row>
    <row r="631" spans="1:11" x14ac:dyDescent="0.2">
      <c r="A631" t="str">
        <f t="shared" si="9"/>
        <v>32 °C_Dry_a</v>
      </c>
      <c r="B631" s="2" t="s">
        <v>46</v>
      </c>
      <c r="C631" s="2" t="s">
        <v>23</v>
      </c>
      <c r="D631" s="2" t="s">
        <v>13</v>
      </c>
      <c r="F631" t="s">
        <v>43</v>
      </c>
      <c r="G631">
        <v>40</v>
      </c>
      <c r="H631">
        <v>5</v>
      </c>
      <c r="I631">
        <v>0</v>
      </c>
      <c r="J631">
        <v>18</v>
      </c>
      <c r="K631" t="s">
        <v>34</v>
      </c>
    </row>
    <row r="632" spans="1:11" x14ac:dyDescent="0.2">
      <c r="A632" t="str">
        <f t="shared" si="9"/>
        <v>32 °C_Dry_a</v>
      </c>
      <c r="B632" s="2" t="s">
        <v>46</v>
      </c>
      <c r="C632" s="2" t="s">
        <v>23</v>
      </c>
      <c r="D632" s="2" t="s">
        <v>13</v>
      </c>
      <c r="F632" t="s">
        <v>43</v>
      </c>
      <c r="G632">
        <v>40</v>
      </c>
      <c r="H632">
        <v>5</v>
      </c>
      <c r="I632">
        <v>0</v>
      </c>
      <c r="J632">
        <v>27</v>
      </c>
      <c r="K632" t="s">
        <v>34</v>
      </c>
    </row>
    <row r="633" spans="1:11" x14ac:dyDescent="0.2">
      <c r="A633" t="str">
        <f t="shared" ref="A633:A696" si="10">_xlfn.CONCAT(B633,"_",C633,"_",D633)</f>
        <v>32 °C_Dry_b</v>
      </c>
      <c r="B633" s="2" t="s">
        <v>46</v>
      </c>
      <c r="C633" s="2" t="s">
        <v>23</v>
      </c>
      <c r="D633" s="2" t="s">
        <v>16</v>
      </c>
      <c r="F633" t="s">
        <v>43</v>
      </c>
      <c r="G633">
        <v>40</v>
      </c>
      <c r="H633">
        <v>5</v>
      </c>
      <c r="I633">
        <v>0</v>
      </c>
      <c r="J633">
        <v>17</v>
      </c>
      <c r="K633" t="s">
        <v>34</v>
      </c>
    </row>
    <row r="634" spans="1:11" x14ac:dyDescent="0.2">
      <c r="A634" t="str">
        <f t="shared" si="10"/>
        <v>32 °C_Dry_b</v>
      </c>
      <c r="B634" s="2" t="s">
        <v>46</v>
      </c>
      <c r="C634" s="2" t="s">
        <v>23</v>
      </c>
      <c r="D634" s="2" t="s">
        <v>16</v>
      </c>
      <c r="F634" t="s">
        <v>43</v>
      </c>
      <c r="G634">
        <v>40</v>
      </c>
      <c r="H634">
        <v>5</v>
      </c>
      <c r="I634">
        <v>0</v>
      </c>
      <c r="J634">
        <v>18</v>
      </c>
      <c r="K634" t="s">
        <v>34</v>
      </c>
    </row>
    <row r="635" spans="1:11" x14ac:dyDescent="0.2">
      <c r="A635" t="str">
        <f t="shared" si="10"/>
        <v>32 °C_Dry_c</v>
      </c>
      <c r="B635" s="2" t="s">
        <v>46</v>
      </c>
      <c r="C635" s="2" t="s">
        <v>23</v>
      </c>
      <c r="D635" s="2" t="s">
        <v>18</v>
      </c>
      <c r="F635" t="s">
        <v>43</v>
      </c>
      <c r="G635">
        <v>40</v>
      </c>
      <c r="H635">
        <v>5</v>
      </c>
      <c r="I635">
        <v>0</v>
      </c>
      <c r="J635">
        <v>26</v>
      </c>
      <c r="K635" t="s">
        <v>34</v>
      </c>
    </row>
    <row r="636" spans="1:11" x14ac:dyDescent="0.2">
      <c r="A636" t="str">
        <f t="shared" si="10"/>
        <v>32 °C_Dry_c</v>
      </c>
      <c r="B636" s="2" t="s">
        <v>46</v>
      </c>
      <c r="C636" s="2" t="s">
        <v>23</v>
      </c>
      <c r="D636" s="2" t="s">
        <v>18</v>
      </c>
      <c r="F636" t="s">
        <v>43</v>
      </c>
      <c r="G636">
        <v>40</v>
      </c>
      <c r="H636">
        <v>5</v>
      </c>
      <c r="I636">
        <v>0</v>
      </c>
      <c r="J636">
        <v>12</v>
      </c>
      <c r="K636" t="s">
        <v>34</v>
      </c>
    </row>
    <row r="637" spans="1:11" x14ac:dyDescent="0.2">
      <c r="A637" t="str">
        <f t="shared" si="10"/>
        <v>32 °C_Dry_d</v>
      </c>
      <c r="B637" s="2" t="s">
        <v>46</v>
      </c>
      <c r="C637" s="2" t="s">
        <v>23</v>
      </c>
      <c r="D637" s="2" t="s">
        <v>20</v>
      </c>
      <c r="F637" t="s">
        <v>43</v>
      </c>
      <c r="G637">
        <v>40</v>
      </c>
      <c r="H637">
        <v>5</v>
      </c>
      <c r="I637">
        <v>0</v>
      </c>
      <c r="J637">
        <v>18</v>
      </c>
      <c r="K637" t="s">
        <v>34</v>
      </c>
    </row>
    <row r="638" spans="1:11" x14ac:dyDescent="0.2">
      <c r="A638" t="str">
        <f t="shared" si="10"/>
        <v>32 °C_Dry_d</v>
      </c>
      <c r="B638" s="2" t="s">
        <v>46</v>
      </c>
      <c r="C638" s="2" t="s">
        <v>23</v>
      </c>
      <c r="D638" s="2" t="s">
        <v>20</v>
      </c>
      <c r="F638" t="s">
        <v>43</v>
      </c>
      <c r="G638">
        <v>40</v>
      </c>
      <c r="H638">
        <v>5</v>
      </c>
      <c r="I638">
        <v>0</v>
      </c>
      <c r="J638">
        <v>16</v>
      </c>
      <c r="K638" t="s">
        <v>34</v>
      </c>
    </row>
    <row r="639" spans="1:11" x14ac:dyDescent="0.2">
      <c r="A639" t="str">
        <f t="shared" si="10"/>
        <v>32 °C_Dry_e</v>
      </c>
      <c r="B639" s="2" t="s">
        <v>46</v>
      </c>
      <c r="C639" s="2" t="s">
        <v>23</v>
      </c>
      <c r="D639" s="2" t="s">
        <v>21</v>
      </c>
      <c r="F639" t="s">
        <v>43</v>
      </c>
      <c r="G639">
        <v>40</v>
      </c>
      <c r="H639">
        <v>5</v>
      </c>
      <c r="I639">
        <v>0</v>
      </c>
      <c r="J639">
        <v>27</v>
      </c>
      <c r="K639" t="s">
        <v>34</v>
      </c>
    </row>
    <row r="640" spans="1:11" x14ac:dyDescent="0.2">
      <c r="A640" t="str">
        <f t="shared" si="10"/>
        <v>32 °C_Dry_e</v>
      </c>
      <c r="B640" s="2" t="s">
        <v>46</v>
      </c>
      <c r="C640" s="2" t="s">
        <v>23</v>
      </c>
      <c r="D640" s="2" t="s">
        <v>21</v>
      </c>
      <c r="F640" t="s">
        <v>43</v>
      </c>
      <c r="G640">
        <v>40</v>
      </c>
      <c r="H640">
        <v>5</v>
      </c>
      <c r="I640">
        <v>0</v>
      </c>
      <c r="J640">
        <v>24</v>
      </c>
      <c r="K640" t="s">
        <v>34</v>
      </c>
    </row>
    <row r="641" spans="1:11" x14ac:dyDescent="0.2">
      <c r="A641" t="str">
        <f t="shared" si="10"/>
        <v>32 °C_Mixture_a</v>
      </c>
      <c r="B641" s="2" t="s">
        <v>46</v>
      </c>
      <c r="C641" s="2" t="s">
        <v>27</v>
      </c>
      <c r="D641" s="2" t="s">
        <v>13</v>
      </c>
      <c r="F641" t="s">
        <v>43</v>
      </c>
      <c r="G641">
        <v>40</v>
      </c>
      <c r="H641">
        <v>5</v>
      </c>
      <c r="I641">
        <v>7</v>
      </c>
      <c r="J641">
        <v>46</v>
      </c>
      <c r="K641" t="s">
        <v>34</v>
      </c>
    </row>
    <row r="642" spans="1:11" x14ac:dyDescent="0.2">
      <c r="A642" t="str">
        <f t="shared" si="10"/>
        <v>32 °C_Mixture_a</v>
      </c>
      <c r="B642" s="2" t="s">
        <v>46</v>
      </c>
      <c r="C642" s="2" t="s">
        <v>27</v>
      </c>
      <c r="D642" s="2" t="s">
        <v>13</v>
      </c>
      <c r="F642" t="s">
        <v>43</v>
      </c>
      <c r="G642">
        <v>40</v>
      </c>
      <c r="H642">
        <v>5</v>
      </c>
      <c r="I642">
        <v>16</v>
      </c>
      <c r="J642">
        <v>58</v>
      </c>
      <c r="K642" t="s">
        <v>34</v>
      </c>
    </row>
    <row r="643" spans="1:11" x14ac:dyDescent="0.2">
      <c r="A643" t="str">
        <f t="shared" si="10"/>
        <v>32 °C_Mixture_b</v>
      </c>
      <c r="B643" s="2" t="s">
        <v>46</v>
      </c>
      <c r="C643" s="2" t="s">
        <v>27</v>
      </c>
      <c r="D643" s="2" t="s">
        <v>16</v>
      </c>
      <c r="F643" t="s">
        <v>43</v>
      </c>
      <c r="G643">
        <v>40</v>
      </c>
      <c r="H643">
        <v>5</v>
      </c>
      <c r="I643">
        <v>5</v>
      </c>
      <c r="J643">
        <v>21</v>
      </c>
      <c r="K643" t="s">
        <v>34</v>
      </c>
    </row>
    <row r="644" spans="1:11" x14ac:dyDescent="0.2">
      <c r="A644" t="str">
        <f t="shared" si="10"/>
        <v>32 °C_Mixture_b</v>
      </c>
      <c r="B644" s="2" t="s">
        <v>46</v>
      </c>
      <c r="C644" s="2" t="s">
        <v>27</v>
      </c>
      <c r="D644" s="2" t="s">
        <v>16</v>
      </c>
      <c r="F644" t="s">
        <v>43</v>
      </c>
      <c r="G644">
        <v>40</v>
      </c>
      <c r="H644">
        <v>5</v>
      </c>
      <c r="I644">
        <v>8</v>
      </c>
      <c r="J644">
        <v>15</v>
      </c>
      <c r="K644" t="s">
        <v>34</v>
      </c>
    </row>
    <row r="645" spans="1:11" x14ac:dyDescent="0.2">
      <c r="A645" t="str">
        <f t="shared" si="10"/>
        <v>32 °C_Mixture_c</v>
      </c>
      <c r="B645" s="2" t="s">
        <v>46</v>
      </c>
      <c r="C645" s="2" t="s">
        <v>27</v>
      </c>
      <c r="D645" s="2" t="s">
        <v>18</v>
      </c>
      <c r="F645" t="s">
        <v>43</v>
      </c>
      <c r="G645">
        <v>40</v>
      </c>
      <c r="H645">
        <v>5</v>
      </c>
      <c r="I645">
        <v>5</v>
      </c>
      <c r="J645">
        <v>29</v>
      </c>
      <c r="K645" t="s">
        <v>34</v>
      </c>
    </row>
    <row r="646" spans="1:11" x14ac:dyDescent="0.2">
      <c r="A646" t="str">
        <f t="shared" si="10"/>
        <v>32 °C_Mixture_c</v>
      </c>
      <c r="B646" s="2" t="s">
        <v>46</v>
      </c>
      <c r="C646" s="2" t="s">
        <v>27</v>
      </c>
      <c r="D646" s="2" t="s">
        <v>18</v>
      </c>
      <c r="F646" t="s">
        <v>43</v>
      </c>
      <c r="G646">
        <v>40</v>
      </c>
      <c r="H646">
        <v>5</v>
      </c>
      <c r="I646">
        <v>7</v>
      </c>
      <c r="J646">
        <v>18</v>
      </c>
      <c r="K646" t="s">
        <v>34</v>
      </c>
    </row>
    <row r="647" spans="1:11" x14ac:dyDescent="0.2">
      <c r="A647" t="str">
        <f t="shared" si="10"/>
        <v>32 °C_Mixture_d</v>
      </c>
      <c r="B647" s="2" t="s">
        <v>46</v>
      </c>
      <c r="C647" s="2" t="s">
        <v>27</v>
      </c>
      <c r="D647" s="2" t="s">
        <v>20</v>
      </c>
      <c r="F647" t="s">
        <v>43</v>
      </c>
      <c r="G647">
        <v>40</v>
      </c>
      <c r="H647">
        <v>5</v>
      </c>
      <c r="I647">
        <v>10</v>
      </c>
      <c r="J647">
        <v>17</v>
      </c>
      <c r="K647" t="s">
        <v>34</v>
      </c>
    </row>
    <row r="648" spans="1:11" x14ac:dyDescent="0.2">
      <c r="A648" t="str">
        <f t="shared" si="10"/>
        <v>32 °C_Mixture_d</v>
      </c>
      <c r="B648" s="2" t="s">
        <v>46</v>
      </c>
      <c r="C648" s="2" t="s">
        <v>27</v>
      </c>
      <c r="D648" s="2" t="s">
        <v>20</v>
      </c>
      <c r="F648" t="s">
        <v>43</v>
      </c>
      <c r="G648">
        <v>40</v>
      </c>
      <c r="H648">
        <v>5</v>
      </c>
      <c r="I648">
        <v>5</v>
      </c>
      <c r="J648">
        <v>15</v>
      </c>
      <c r="K648" t="s">
        <v>34</v>
      </c>
    </row>
    <row r="649" spans="1:11" x14ac:dyDescent="0.2">
      <c r="A649" t="str">
        <f t="shared" si="10"/>
        <v>32 °C_Mixture_e</v>
      </c>
      <c r="B649" s="2" t="s">
        <v>46</v>
      </c>
      <c r="C649" s="2" t="s">
        <v>27</v>
      </c>
      <c r="D649" s="2" t="s">
        <v>21</v>
      </c>
      <c r="F649" t="s">
        <v>43</v>
      </c>
      <c r="G649">
        <v>40</v>
      </c>
      <c r="H649">
        <v>5</v>
      </c>
      <c r="I649">
        <v>6</v>
      </c>
      <c r="J649">
        <v>12</v>
      </c>
      <c r="K649" t="s">
        <v>34</v>
      </c>
    </row>
    <row r="650" spans="1:11" x14ac:dyDescent="0.2">
      <c r="A650" t="str">
        <f t="shared" si="10"/>
        <v>32 °C_Mixture_e</v>
      </c>
      <c r="B650" s="2" t="s">
        <v>46</v>
      </c>
      <c r="C650" s="2" t="s">
        <v>27</v>
      </c>
      <c r="D650" s="2" t="s">
        <v>21</v>
      </c>
      <c r="F650" t="s">
        <v>43</v>
      </c>
      <c r="G650">
        <v>40</v>
      </c>
      <c r="H650">
        <v>5</v>
      </c>
      <c r="I650">
        <v>8</v>
      </c>
      <c r="J650">
        <v>14</v>
      </c>
      <c r="K650" t="s">
        <v>34</v>
      </c>
    </row>
    <row r="651" spans="1:11" x14ac:dyDescent="0.2">
      <c r="A651" t="str">
        <f t="shared" si="10"/>
        <v>32 °C_Mucoid_a</v>
      </c>
      <c r="B651" s="2" t="s">
        <v>46</v>
      </c>
      <c r="C651" s="2" t="s">
        <v>12</v>
      </c>
      <c r="D651" s="2" t="s">
        <v>13</v>
      </c>
      <c r="F651" t="s">
        <v>44</v>
      </c>
      <c r="G651">
        <v>10</v>
      </c>
      <c r="H651">
        <v>4</v>
      </c>
      <c r="I651">
        <v>24</v>
      </c>
      <c r="J651">
        <v>0</v>
      </c>
      <c r="K651" t="s">
        <v>34</v>
      </c>
    </row>
    <row r="652" spans="1:11" x14ac:dyDescent="0.2">
      <c r="A652" t="str">
        <f t="shared" si="10"/>
        <v>32 °C_Mucoid_a</v>
      </c>
      <c r="B652" s="2" t="s">
        <v>46</v>
      </c>
      <c r="C652" s="2" t="s">
        <v>12</v>
      </c>
      <c r="D652" s="2" t="s">
        <v>13</v>
      </c>
      <c r="F652" t="s">
        <v>44</v>
      </c>
      <c r="G652">
        <v>10</v>
      </c>
      <c r="H652">
        <v>4</v>
      </c>
      <c r="I652">
        <v>34</v>
      </c>
      <c r="J652">
        <v>0</v>
      </c>
      <c r="K652" t="s">
        <v>34</v>
      </c>
    </row>
    <row r="653" spans="1:11" x14ac:dyDescent="0.2">
      <c r="A653" t="str">
        <f t="shared" si="10"/>
        <v>32 °C_Mucoid_b</v>
      </c>
      <c r="B653" s="2" t="s">
        <v>46</v>
      </c>
      <c r="C653" s="2" t="s">
        <v>12</v>
      </c>
      <c r="D653" t="s">
        <v>16</v>
      </c>
      <c r="F653" t="s">
        <v>44</v>
      </c>
      <c r="G653">
        <v>10</v>
      </c>
      <c r="H653">
        <v>4</v>
      </c>
      <c r="I653">
        <v>29</v>
      </c>
      <c r="J653">
        <v>0</v>
      </c>
      <c r="K653" t="s">
        <v>34</v>
      </c>
    </row>
    <row r="654" spans="1:11" x14ac:dyDescent="0.2">
      <c r="A654" t="str">
        <f t="shared" si="10"/>
        <v>32 °C_Mucoid_b</v>
      </c>
      <c r="B654" s="2" t="s">
        <v>46</v>
      </c>
      <c r="C654" s="2" t="s">
        <v>12</v>
      </c>
      <c r="D654" t="s">
        <v>16</v>
      </c>
      <c r="F654" t="s">
        <v>44</v>
      </c>
      <c r="G654">
        <v>10</v>
      </c>
      <c r="H654">
        <v>4</v>
      </c>
      <c r="I654">
        <v>21</v>
      </c>
      <c r="J654">
        <v>0</v>
      </c>
      <c r="K654" t="s">
        <v>34</v>
      </c>
    </row>
    <row r="655" spans="1:11" x14ac:dyDescent="0.2">
      <c r="A655" t="str">
        <f t="shared" si="10"/>
        <v>32 °C_Mucoid_c</v>
      </c>
      <c r="B655" s="2" t="s">
        <v>46</v>
      </c>
      <c r="C655" s="2" t="s">
        <v>12</v>
      </c>
      <c r="D655" s="2" t="s">
        <v>18</v>
      </c>
      <c r="F655" t="s">
        <v>44</v>
      </c>
      <c r="G655">
        <v>10</v>
      </c>
      <c r="H655">
        <v>4</v>
      </c>
      <c r="I655">
        <v>14</v>
      </c>
      <c r="J655">
        <v>0</v>
      </c>
      <c r="K655" t="s">
        <v>34</v>
      </c>
    </row>
    <row r="656" spans="1:11" x14ac:dyDescent="0.2">
      <c r="A656" t="str">
        <f t="shared" si="10"/>
        <v>32 °C_Mucoid_c</v>
      </c>
      <c r="B656" s="2" t="s">
        <v>46</v>
      </c>
      <c r="C656" s="2" t="s">
        <v>12</v>
      </c>
      <c r="D656" s="2" t="s">
        <v>18</v>
      </c>
      <c r="F656" t="s">
        <v>44</v>
      </c>
      <c r="G656">
        <v>10</v>
      </c>
      <c r="H656">
        <v>4</v>
      </c>
      <c r="I656">
        <v>18</v>
      </c>
      <c r="J656">
        <v>0</v>
      </c>
      <c r="K656" t="s">
        <v>34</v>
      </c>
    </row>
    <row r="657" spans="1:11" x14ac:dyDescent="0.2">
      <c r="A657" t="str">
        <f t="shared" si="10"/>
        <v>32 °C_Mucoid_d</v>
      </c>
      <c r="B657" s="2" t="s">
        <v>46</v>
      </c>
      <c r="C657" s="2" t="s">
        <v>12</v>
      </c>
      <c r="D657" s="2" t="s">
        <v>20</v>
      </c>
      <c r="F657" t="s">
        <v>44</v>
      </c>
      <c r="G657">
        <v>10</v>
      </c>
      <c r="H657">
        <v>4</v>
      </c>
      <c r="I657">
        <v>15</v>
      </c>
      <c r="J657">
        <v>0</v>
      </c>
      <c r="K657" t="s">
        <v>34</v>
      </c>
    </row>
    <row r="658" spans="1:11" x14ac:dyDescent="0.2">
      <c r="A658" t="str">
        <f t="shared" si="10"/>
        <v>32 °C_Mucoid_d</v>
      </c>
      <c r="B658" s="2" t="s">
        <v>46</v>
      </c>
      <c r="C658" s="2" t="s">
        <v>12</v>
      </c>
      <c r="D658" s="2" t="s">
        <v>20</v>
      </c>
      <c r="F658" t="s">
        <v>44</v>
      </c>
      <c r="G658">
        <v>10</v>
      </c>
      <c r="H658">
        <v>4</v>
      </c>
      <c r="I658">
        <v>8</v>
      </c>
      <c r="J658">
        <v>0</v>
      </c>
      <c r="K658" t="s">
        <v>34</v>
      </c>
    </row>
    <row r="659" spans="1:11" x14ac:dyDescent="0.2">
      <c r="A659" t="str">
        <f t="shared" si="10"/>
        <v>32 °C_Mucoid_e</v>
      </c>
      <c r="B659" s="2" t="s">
        <v>46</v>
      </c>
      <c r="C659" s="2" t="s">
        <v>12</v>
      </c>
      <c r="D659" s="2" t="s">
        <v>21</v>
      </c>
      <c r="F659" t="s">
        <v>44</v>
      </c>
      <c r="G659">
        <v>10</v>
      </c>
      <c r="H659">
        <v>4</v>
      </c>
      <c r="I659">
        <v>26</v>
      </c>
      <c r="J659">
        <v>0</v>
      </c>
      <c r="K659" t="s">
        <v>34</v>
      </c>
    </row>
    <row r="660" spans="1:11" x14ac:dyDescent="0.2">
      <c r="A660" t="str">
        <f t="shared" si="10"/>
        <v>32 °C_Mucoid_e</v>
      </c>
      <c r="B660" s="2" t="s">
        <v>46</v>
      </c>
      <c r="C660" s="2" t="s">
        <v>12</v>
      </c>
      <c r="D660" s="2" t="s">
        <v>21</v>
      </c>
      <c r="F660" t="s">
        <v>44</v>
      </c>
      <c r="G660">
        <v>10</v>
      </c>
      <c r="H660">
        <v>4</v>
      </c>
      <c r="I660">
        <v>12</v>
      </c>
      <c r="J660">
        <v>0</v>
      </c>
      <c r="K660" t="s">
        <v>34</v>
      </c>
    </row>
    <row r="661" spans="1:11" x14ac:dyDescent="0.2">
      <c r="A661" t="str">
        <f t="shared" si="10"/>
        <v>32 °C_Dry_a</v>
      </c>
      <c r="B661" s="2" t="s">
        <v>46</v>
      </c>
      <c r="C661" s="2" t="s">
        <v>23</v>
      </c>
      <c r="D661" s="2" t="s">
        <v>13</v>
      </c>
      <c r="F661" t="s">
        <v>44</v>
      </c>
      <c r="G661">
        <v>10</v>
      </c>
      <c r="H661">
        <v>4</v>
      </c>
      <c r="I661">
        <v>0</v>
      </c>
      <c r="J661">
        <v>25</v>
      </c>
      <c r="K661" t="s">
        <v>34</v>
      </c>
    </row>
    <row r="662" spans="1:11" x14ac:dyDescent="0.2">
      <c r="A662" t="str">
        <f t="shared" si="10"/>
        <v>32 °C_Dry_a</v>
      </c>
      <c r="B662" s="2" t="s">
        <v>46</v>
      </c>
      <c r="C662" s="2" t="s">
        <v>23</v>
      </c>
      <c r="D662" s="2" t="s">
        <v>13</v>
      </c>
      <c r="F662" t="s">
        <v>44</v>
      </c>
      <c r="G662">
        <v>10</v>
      </c>
      <c r="H662">
        <v>4</v>
      </c>
      <c r="I662">
        <v>0</v>
      </c>
      <c r="J662">
        <v>30</v>
      </c>
      <c r="K662" t="s">
        <v>34</v>
      </c>
    </row>
    <row r="663" spans="1:11" x14ac:dyDescent="0.2">
      <c r="A663" t="str">
        <f t="shared" si="10"/>
        <v>32 °C_Dry_b</v>
      </c>
      <c r="B663" s="2" t="s">
        <v>46</v>
      </c>
      <c r="C663" s="2" t="s">
        <v>23</v>
      </c>
      <c r="D663" s="2" t="s">
        <v>16</v>
      </c>
      <c r="F663" t="s">
        <v>44</v>
      </c>
      <c r="G663">
        <v>10</v>
      </c>
      <c r="H663">
        <v>4</v>
      </c>
      <c r="I663">
        <v>0</v>
      </c>
      <c r="J663">
        <v>18</v>
      </c>
      <c r="K663" t="s">
        <v>34</v>
      </c>
    </row>
    <row r="664" spans="1:11" x14ac:dyDescent="0.2">
      <c r="A664" t="str">
        <f t="shared" si="10"/>
        <v>32 °C_Dry_b</v>
      </c>
      <c r="B664" s="2" t="s">
        <v>46</v>
      </c>
      <c r="C664" s="2" t="s">
        <v>23</v>
      </c>
      <c r="D664" s="2" t="s">
        <v>16</v>
      </c>
      <c r="F664" t="s">
        <v>44</v>
      </c>
      <c r="G664">
        <v>10</v>
      </c>
      <c r="H664">
        <v>4</v>
      </c>
      <c r="I664">
        <v>0</v>
      </c>
      <c r="J664">
        <v>36</v>
      </c>
      <c r="K664" t="s">
        <v>34</v>
      </c>
    </row>
    <row r="665" spans="1:11" x14ac:dyDescent="0.2">
      <c r="A665" t="str">
        <f t="shared" si="10"/>
        <v>32 °C_Dry_c</v>
      </c>
      <c r="B665" s="2" t="s">
        <v>46</v>
      </c>
      <c r="C665" s="2" t="s">
        <v>23</v>
      </c>
      <c r="D665" s="2" t="s">
        <v>18</v>
      </c>
      <c r="F665" t="s">
        <v>44</v>
      </c>
      <c r="G665">
        <v>10</v>
      </c>
      <c r="H665">
        <v>4</v>
      </c>
      <c r="I665">
        <v>0</v>
      </c>
      <c r="J665">
        <v>29</v>
      </c>
      <c r="K665" t="s">
        <v>34</v>
      </c>
    </row>
    <row r="666" spans="1:11" x14ac:dyDescent="0.2">
      <c r="A666" t="str">
        <f t="shared" si="10"/>
        <v>32 °C_Dry_c</v>
      </c>
      <c r="B666" s="2" t="s">
        <v>46</v>
      </c>
      <c r="C666" s="2" t="s">
        <v>23</v>
      </c>
      <c r="D666" s="2" t="s">
        <v>18</v>
      </c>
      <c r="F666" t="s">
        <v>44</v>
      </c>
      <c r="G666">
        <v>10</v>
      </c>
      <c r="H666">
        <v>4</v>
      </c>
      <c r="I666">
        <v>0</v>
      </c>
      <c r="J666">
        <v>37</v>
      </c>
      <c r="K666" t="s">
        <v>34</v>
      </c>
    </row>
    <row r="667" spans="1:11" x14ac:dyDescent="0.2">
      <c r="A667" t="str">
        <f t="shared" si="10"/>
        <v>32 °C_Dry_d</v>
      </c>
      <c r="B667" s="2" t="s">
        <v>46</v>
      </c>
      <c r="C667" s="2" t="s">
        <v>23</v>
      </c>
      <c r="D667" s="2" t="s">
        <v>20</v>
      </c>
      <c r="F667" t="s">
        <v>44</v>
      </c>
      <c r="G667">
        <v>10</v>
      </c>
      <c r="H667">
        <v>4</v>
      </c>
      <c r="I667">
        <v>0</v>
      </c>
      <c r="J667">
        <v>22</v>
      </c>
      <c r="K667" t="s">
        <v>34</v>
      </c>
    </row>
    <row r="668" spans="1:11" x14ac:dyDescent="0.2">
      <c r="A668" t="str">
        <f t="shared" si="10"/>
        <v>32 °C_Dry_d</v>
      </c>
      <c r="B668" s="2" t="s">
        <v>46</v>
      </c>
      <c r="C668" s="2" t="s">
        <v>23</v>
      </c>
      <c r="D668" s="2" t="s">
        <v>20</v>
      </c>
      <c r="F668" t="s">
        <v>44</v>
      </c>
      <c r="G668">
        <v>10</v>
      </c>
      <c r="H668">
        <v>4</v>
      </c>
      <c r="I668">
        <v>0</v>
      </c>
      <c r="J668">
        <v>23</v>
      </c>
      <c r="K668" t="s">
        <v>34</v>
      </c>
    </row>
    <row r="669" spans="1:11" x14ac:dyDescent="0.2">
      <c r="A669" t="str">
        <f t="shared" si="10"/>
        <v>32 °C_Dry_e</v>
      </c>
      <c r="B669" s="2" t="s">
        <v>46</v>
      </c>
      <c r="C669" s="2" t="s">
        <v>23</v>
      </c>
      <c r="D669" s="2" t="s">
        <v>21</v>
      </c>
      <c r="F669" t="s">
        <v>44</v>
      </c>
      <c r="G669">
        <v>10</v>
      </c>
      <c r="H669">
        <v>4</v>
      </c>
      <c r="I669">
        <v>0</v>
      </c>
      <c r="J669">
        <v>19</v>
      </c>
      <c r="K669" t="s">
        <v>34</v>
      </c>
    </row>
    <row r="670" spans="1:11" x14ac:dyDescent="0.2">
      <c r="A670" t="str">
        <f t="shared" si="10"/>
        <v>32 °C_Dry_e</v>
      </c>
      <c r="B670" s="2" t="s">
        <v>46</v>
      </c>
      <c r="C670" s="2" t="s">
        <v>23</v>
      </c>
      <c r="D670" s="2" t="s">
        <v>21</v>
      </c>
      <c r="F670" t="s">
        <v>44</v>
      </c>
      <c r="G670">
        <v>10</v>
      </c>
      <c r="H670">
        <v>4</v>
      </c>
      <c r="I670">
        <v>0</v>
      </c>
      <c r="J670">
        <v>18</v>
      </c>
      <c r="K670" t="s">
        <v>34</v>
      </c>
    </row>
    <row r="671" spans="1:11" x14ac:dyDescent="0.2">
      <c r="A671" t="str">
        <f t="shared" si="10"/>
        <v>32 °C_Mixture_a</v>
      </c>
      <c r="B671" s="2" t="s">
        <v>46</v>
      </c>
      <c r="C671" s="2" t="s">
        <v>27</v>
      </c>
      <c r="D671" s="2" t="s">
        <v>13</v>
      </c>
      <c r="F671" t="s">
        <v>44</v>
      </c>
      <c r="G671">
        <v>10</v>
      </c>
      <c r="H671">
        <v>4</v>
      </c>
      <c r="I671">
        <v>5</v>
      </c>
      <c r="J671">
        <v>12</v>
      </c>
      <c r="K671" t="s">
        <v>34</v>
      </c>
    </row>
    <row r="672" spans="1:11" x14ac:dyDescent="0.2">
      <c r="A672" t="str">
        <f t="shared" si="10"/>
        <v>32 °C_Mixture_a</v>
      </c>
      <c r="B672" s="2" t="s">
        <v>46</v>
      </c>
      <c r="C672" s="2" t="s">
        <v>27</v>
      </c>
      <c r="D672" s="2" t="s">
        <v>13</v>
      </c>
      <c r="F672" t="s">
        <v>44</v>
      </c>
      <c r="G672">
        <v>10</v>
      </c>
      <c r="H672">
        <v>4</v>
      </c>
      <c r="I672">
        <v>10</v>
      </c>
      <c r="J672">
        <v>16</v>
      </c>
      <c r="K672" t="s">
        <v>34</v>
      </c>
    </row>
    <row r="673" spans="1:11" x14ac:dyDescent="0.2">
      <c r="A673" t="str">
        <f t="shared" si="10"/>
        <v>32 °C_Mixture_b</v>
      </c>
      <c r="B673" s="2" t="s">
        <v>46</v>
      </c>
      <c r="C673" s="2" t="s">
        <v>27</v>
      </c>
      <c r="D673" s="2" t="s">
        <v>16</v>
      </c>
      <c r="F673" t="s">
        <v>44</v>
      </c>
      <c r="G673">
        <v>10</v>
      </c>
      <c r="H673">
        <v>4</v>
      </c>
      <c r="I673">
        <v>6</v>
      </c>
      <c r="J673">
        <v>19</v>
      </c>
      <c r="K673" t="s">
        <v>34</v>
      </c>
    </row>
    <row r="674" spans="1:11" x14ac:dyDescent="0.2">
      <c r="A674" t="str">
        <f t="shared" si="10"/>
        <v>32 °C_Mixture_b</v>
      </c>
      <c r="B674" s="2" t="s">
        <v>46</v>
      </c>
      <c r="C674" s="2" t="s">
        <v>27</v>
      </c>
      <c r="D674" s="2" t="s">
        <v>16</v>
      </c>
      <c r="F674" t="s">
        <v>44</v>
      </c>
      <c r="G674">
        <v>10</v>
      </c>
      <c r="H674">
        <v>4</v>
      </c>
      <c r="I674">
        <v>9</v>
      </c>
      <c r="J674">
        <v>31</v>
      </c>
      <c r="K674" t="s">
        <v>34</v>
      </c>
    </row>
    <row r="675" spans="1:11" x14ac:dyDescent="0.2">
      <c r="A675" t="str">
        <f t="shared" si="10"/>
        <v>32 °C_Mixture_c</v>
      </c>
      <c r="B675" s="2" t="s">
        <v>46</v>
      </c>
      <c r="C675" s="2" t="s">
        <v>27</v>
      </c>
      <c r="D675" s="2" t="s">
        <v>18</v>
      </c>
      <c r="F675" t="s">
        <v>44</v>
      </c>
      <c r="G675">
        <v>10</v>
      </c>
      <c r="H675">
        <v>4</v>
      </c>
      <c r="I675">
        <v>10</v>
      </c>
      <c r="J675">
        <v>20</v>
      </c>
      <c r="K675" t="s">
        <v>34</v>
      </c>
    </row>
    <row r="676" spans="1:11" x14ac:dyDescent="0.2">
      <c r="A676" t="str">
        <f t="shared" si="10"/>
        <v>32 °C_Mixture_c</v>
      </c>
      <c r="B676" s="2" t="s">
        <v>46</v>
      </c>
      <c r="C676" s="2" t="s">
        <v>27</v>
      </c>
      <c r="D676" s="2" t="s">
        <v>18</v>
      </c>
      <c r="F676" t="s">
        <v>44</v>
      </c>
      <c r="G676">
        <v>10</v>
      </c>
      <c r="H676">
        <v>4</v>
      </c>
      <c r="I676">
        <v>9</v>
      </c>
      <c r="J676">
        <v>21</v>
      </c>
      <c r="K676" t="s">
        <v>34</v>
      </c>
    </row>
    <row r="677" spans="1:11" x14ac:dyDescent="0.2">
      <c r="A677" t="str">
        <f t="shared" si="10"/>
        <v>32 °C_Mixture_d</v>
      </c>
      <c r="B677" s="2" t="s">
        <v>46</v>
      </c>
      <c r="C677" s="2" t="s">
        <v>27</v>
      </c>
      <c r="D677" s="2" t="s">
        <v>20</v>
      </c>
      <c r="F677" t="s">
        <v>44</v>
      </c>
      <c r="G677">
        <v>10</v>
      </c>
      <c r="H677">
        <v>4</v>
      </c>
      <c r="I677">
        <v>1</v>
      </c>
      <c r="J677">
        <v>9</v>
      </c>
      <c r="K677" t="s">
        <v>34</v>
      </c>
    </row>
    <row r="678" spans="1:11" x14ac:dyDescent="0.2">
      <c r="A678" t="str">
        <f t="shared" si="10"/>
        <v>32 °C_Mixture_d</v>
      </c>
      <c r="B678" s="2" t="s">
        <v>46</v>
      </c>
      <c r="C678" s="2" t="s">
        <v>27</v>
      </c>
      <c r="D678" s="2" t="s">
        <v>20</v>
      </c>
      <c r="F678" t="s">
        <v>44</v>
      </c>
      <c r="G678">
        <v>10</v>
      </c>
      <c r="H678">
        <v>4</v>
      </c>
      <c r="I678">
        <v>4</v>
      </c>
      <c r="J678">
        <v>12</v>
      </c>
      <c r="K678" t="s">
        <v>34</v>
      </c>
    </row>
    <row r="679" spans="1:11" x14ac:dyDescent="0.2">
      <c r="A679" t="str">
        <f t="shared" si="10"/>
        <v>32 °C_Mixture_e</v>
      </c>
      <c r="B679" s="2" t="s">
        <v>46</v>
      </c>
      <c r="C679" s="2" t="s">
        <v>27</v>
      </c>
      <c r="D679" s="2" t="s">
        <v>21</v>
      </c>
      <c r="F679" t="s">
        <v>44</v>
      </c>
      <c r="G679">
        <v>10</v>
      </c>
      <c r="H679">
        <v>4</v>
      </c>
      <c r="I679">
        <v>6</v>
      </c>
      <c r="J679">
        <v>13</v>
      </c>
      <c r="K679" t="s">
        <v>34</v>
      </c>
    </row>
    <row r="680" spans="1:11" x14ac:dyDescent="0.2">
      <c r="A680" t="str">
        <f t="shared" si="10"/>
        <v>32 °C_Mixture_e</v>
      </c>
      <c r="B680" s="2" t="s">
        <v>46</v>
      </c>
      <c r="C680" s="2" t="s">
        <v>27</v>
      </c>
      <c r="D680" s="2" t="s">
        <v>21</v>
      </c>
      <c r="F680" t="s">
        <v>44</v>
      </c>
      <c r="G680">
        <v>10</v>
      </c>
      <c r="H680">
        <v>4</v>
      </c>
      <c r="I680">
        <v>7</v>
      </c>
      <c r="J680">
        <v>15</v>
      </c>
      <c r="K680" t="s">
        <v>34</v>
      </c>
    </row>
    <row r="681" spans="1:11" x14ac:dyDescent="0.2">
      <c r="A681" t="str">
        <f t="shared" si="10"/>
        <v>Drought_Mucoid_a</v>
      </c>
      <c r="B681" s="2" t="s">
        <v>29</v>
      </c>
      <c r="C681" s="2" t="s">
        <v>12</v>
      </c>
      <c r="D681" s="2" t="s">
        <v>13</v>
      </c>
      <c r="F681" t="s">
        <v>40</v>
      </c>
      <c r="G681">
        <v>10</v>
      </c>
      <c r="H681">
        <v>1</v>
      </c>
      <c r="I681">
        <v>76</v>
      </c>
      <c r="J681">
        <v>0</v>
      </c>
      <c r="K681" t="s">
        <v>34</v>
      </c>
    </row>
    <row r="682" spans="1:11" x14ac:dyDescent="0.2">
      <c r="A682" t="str">
        <f t="shared" si="10"/>
        <v>Drought_Mucoid_a</v>
      </c>
      <c r="B682" s="2" t="s">
        <v>29</v>
      </c>
      <c r="C682" s="2" t="s">
        <v>12</v>
      </c>
      <c r="D682" s="2" t="s">
        <v>13</v>
      </c>
      <c r="F682" t="s">
        <v>40</v>
      </c>
      <c r="G682">
        <v>10</v>
      </c>
      <c r="H682">
        <v>1</v>
      </c>
      <c r="I682">
        <v>66</v>
      </c>
      <c r="J682">
        <v>3</v>
      </c>
      <c r="K682" t="s">
        <v>34</v>
      </c>
    </row>
    <row r="683" spans="1:11" x14ac:dyDescent="0.2">
      <c r="A683" t="str">
        <f t="shared" si="10"/>
        <v>Drought_Mucoid_b</v>
      </c>
      <c r="B683" s="2" t="s">
        <v>29</v>
      </c>
      <c r="C683" s="2" t="s">
        <v>12</v>
      </c>
      <c r="D683" s="2" t="s">
        <v>16</v>
      </c>
      <c r="F683" t="s">
        <v>40</v>
      </c>
      <c r="G683">
        <v>10</v>
      </c>
      <c r="H683">
        <v>1</v>
      </c>
      <c r="I683">
        <v>142</v>
      </c>
      <c r="J683">
        <v>0</v>
      </c>
      <c r="K683" t="s">
        <v>34</v>
      </c>
    </row>
    <row r="684" spans="1:11" x14ac:dyDescent="0.2">
      <c r="A684" t="str">
        <f t="shared" si="10"/>
        <v>Drought_Mucoid_b</v>
      </c>
      <c r="B684" s="2" t="s">
        <v>29</v>
      </c>
      <c r="C684" s="2" t="s">
        <v>12</v>
      </c>
      <c r="D684" s="2" t="s">
        <v>16</v>
      </c>
      <c r="F684" t="s">
        <v>40</v>
      </c>
      <c r="G684">
        <v>10</v>
      </c>
      <c r="H684">
        <v>1</v>
      </c>
      <c r="I684">
        <v>117</v>
      </c>
      <c r="J684">
        <v>1</v>
      </c>
      <c r="K684" t="s">
        <v>34</v>
      </c>
    </row>
    <row r="685" spans="1:11" x14ac:dyDescent="0.2">
      <c r="A685" t="str">
        <f t="shared" si="10"/>
        <v>Drought_Mucoid_c</v>
      </c>
      <c r="B685" s="2" t="s">
        <v>29</v>
      </c>
      <c r="C685" s="2" t="s">
        <v>12</v>
      </c>
      <c r="D685" s="2" t="s">
        <v>18</v>
      </c>
      <c r="F685" t="s">
        <v>40</v>
      </c>
      <c r="G685">
        <v>10</v>
      </c>
      <c r="H685">
        <v>1</v>
      </c>
      <c r="I685">
        <v>60</v>
      </c>
      <c r="J685">
        <v>2</v>
      </c>
      <c r="K685" t="s">
        <v>34</v>
      </c>
    </row>
    <row r="686" spans="1:11" x14ac:dyDescent="0.2">
      <c r="A686" t="str">
        <f t="shared" si="10"/>
        <v>Drought_Mucoid_c</v>
      </c>
      <c r="B686" s="2" t="s">
        <v>29</v>
      </c>
      <c r="C686" s="2" t="s">
        <v>12</v>
      </c>
      <c r="D686" s="2" t="s">
        <v>18</v>
      </c>
      <c r="F686" t="s">
        <v>40</v>
      </c>
      <c r="G686">
        <v>10</v>
      </c>
      <c r="H686">
        <v>1</v>
      </c>
      <c r="I686">
        <v>46</v>
      </c>
      <c r="J686">
        <v>0</v>
      </c>
      <c r="K686" t="s">
        <v>34</v>
      </c>
    </row>
    <row r="687" spans="1:11" x14ac:dyDescent="0.2">
      <c r="A687" t="str">
        <f t="shared" si="10"/>
        <v>Drought_Mucoid_d</v>
      </c>
      <c r="B687" s="2" t="s">
        <v>29</v>
      </c>
      <c r="C687" s="2" t="s">
        <v>12</v>
      </c>
      <c r="D687" s="2" t="s">
        <v>20</v>
      </c>
      <c r="F687" t="s">
        <v>40</v>
      </c>
      <c r="G687" s="2" t="s">
        <v>41</v>
      </c>
      <c r="K687" t="s">
        <v>34</v>
      </c>
    </row>
    <row r="688" spans="1:11" x14ac:dyDescent="0.2">
      <c r="A688" t="str">
        <f t="shared" si="10"/>
        <v>Drought_Mucoid_d</v>
      </c>
      <c r="B688" s="2" t="s">
        <v>29</v>
      </c>
      <c r="C688" s="2" t="s">
        <v>12</v>
      </c>
      <c r="D688" s="2" t="s">
        <v>20</v>
      </c>
      <c r="F688" t="s">
        <v>40</v>
      </c>
      <c r="G688" s="2" t="s">
        <v>41</v>
      </c>
      <c r="K688" t="s">
        <v>34</v>
      </c>
    </row>
    <row r="689" spans="1:11" x14ac:dyDescent="0.2">
      <c r="A689" t="str">
        <f t="shared" si="10"/>
        <v>Drought_Mucoid_e</v>
      </c>
      <c r="B689" s="2" t="s">
        <v>29</v>
      </c>
      <c r="C689" s="2" t="s">
        <v>12</v>
      </c>
      <c r="D689" s="2" t="s">
        <v>21</v>
      </c>
      <c r="F689" t="s">
        <v>40</v>
      </c>
      <c r="G689">
        <v>10</v>
      </c>
      <c r="H689">
        <v>1</v>
      </c>
      <c r="I689">
        <v>68</v>
      </c>
      <c r="J689">
        <v>0</v>
      </c>
      <c r="K689" t="s">
        <v>34</v>
      </c>
    </row>
    <row r="690" spans="1:11" x14ac:dyDescent="0.2">
      <c r="A690" t="str">
        <f t="shared" si="10"/>
        <v>Drought_Mucoid_e</v>
      </c>
      <c r="B690" s="2" t="s">
        <v>29</v>
      </c>
      <c r="C690" s="2" t="s">
        <v>12</v>
      </c>
      <c r="D690" s="2" t="s">
        <v>21</v>
      </c>
      <c r="F690" t="s">
        <v>40</v>
      </c>
      <c r="G690">
        <v>10</v>
      </c>
      <c r="H690">
        <v>1</v>
      </c>
      <c r="I690">
        <v>63</v>
      </c>
      <c r="J690">
        <v>0</v>
      </c>
      <c r="K690" t="s">
        <v>34</v>
      </c>
    </row>
    <row r="691" spans="1:11" x14ac:dyDescent="0.2">
      <c r="A691" t="str">
        <f t="shared" si="10"/>
        <v>Drought_Dry_a</v>
      </c>
      <c r="B691" s="2" t="s">
        <v>29</v>
      </c>
      <c r="C691" s="2" t="s">
        <v>23</v>
      </c>
      <c r="D691" s="2" t="s">
        <v>13</v>
      </c>
      <c r="F691" t="s">
        <v>40</v>
      </c>
      <c r="G691">
        <v>10</v>
      </c>
      <c r="H691">
        <v>1</v>
      </c>
      <c r="I691">
        <v>0</v>
      </c>
      <c r="J691">
        <v>234</v>
      </c>
      <c r="K691" t="s">
        <v>34</v>
      </c>
    </row>
    <row r="692" spans="1:11" x14ac:dyDescent="0.2">
      <c r="A692" t="str">
        <f t="shared" si="10"/>
        <v>Drought_Dry_a</v>
      </c>
      <c r="B692" s="2" t="s">
        <v>29</v>
      </c>
      <c r="C692" s="2" t="s">
        <v>23</v>
      </c>
      <c r="D692" s="2" t="s">
        <v>13</v>
      </c>
      <c r="F692" t="s">
        <v>40</v>
      </c>
      <c r="G692">
        <v>10</v>
      </c>
      <c r="H692">
        <v>1</v>
      </c>
      <c r="I692">
        <v>0</v>
      </c>
      <c r="J692">
        <v>268</v>
      </c>
      <c r="K692" t="s">
        <v>34</v>
      </c>
    </row>
    <row r="693" spans="1:11" x14ac:dyDescent="0.2">
      <c r="A693" t="str">
        <f t="shared" si="10"/>
        <v>Drought_Dry_b</v>
      </c>
      <c r="B693" s="2" t="s">
        <v>29</v>
      </c>
      <c r="C693" s="2" t="s">
        <v>23</v>
      </c>
      <c r="D693" s="2" t="s">
        <v>16</v>
      </c>
      <c r="F693" t="s">
        <v>40</v>
      </c>
      <c r="G693">
        <v>10</v>
      </c>
      <c r="H693">
        <v>1</v>
      </c>
      <c r="I693">
        <v>0</v>
      </c>
      <c r="J693">
        <v>76</v>
      </c>
      <c r="K693" t="s">
        <v>34</v>
      </c>
    </row>
    <row r="694" spans="1:11" x14ac:dyDescent="0.2">
      <c r="A694" t="str">
        <f t="shared" si="10"/>
        <v>Drought_Dry_b</v>
      </c>
      <c r="B694" s="2" t="s">
        <v>29</v>
      </c>
      <c r="C694" s="2" t="s">
        <v>23</v>
      </c>
      <c r="D694" s="2" t="s">
        <v>16</v>
      </c>
      <c r="F694" t="s">
        <v>40</v>
      </c>
      <c r="G694">
        <v>10</v>
      </c>
      <c r="H694">
        <v>1</v>
      </c>
      <c r="I694">
        <v>0</v>
      </c>
      <c r="J694">
        <v>50</v>
      </c>
      <c r="K694" t="s">
        <v>34</v>
      </c>
    </row>
    <row r="695" spans="1:11" x14ac:dyDescent="0.2">
      <c r="A695" t="str">
        <f t="shared" si="10"/>
        <v>Drought_Dry_c</v>
      </c>
      <c r="B695" s="2" t="s">
        <v>29</v>
      </c>
      <c r="C695" s="2" t="s">
        <v>23</v>
      </c>
      <c r="D695" s="2" t="s">
        <v>18</v>
      </c>
      <c r="F695" t="s">
        <v>40</v>
      </c>
      <c r="G695">
        <v>10</v>
      </c>
      <c r="H695">
        <v>1</v>
      </c>
      <c r="I695">
        <v>0</v>
      </c>
      <c r="J695">
        <v>199</v>
      </c>
      <c r="K695" t="s">
        <v>34</v>
      </c>
    </row>
    <row r="696" spans="1:11" x14ac:dyDescent="0.2">
      <c r="A696" t="str">
        <f t="shared" si="10"/>
        <v>Drought_Dry_c</v>
      </c>
      <c r="B696" s="2" t="s">
        <v>29</v>
      </c>
      <c r="C696" s="2" t="s">
        <v>23</v>
      </c>
      <c r="D696" s="2" t="s">
        <v>18</v>
      </c>
      <c r="F696" t="s">
        <v>40</v>
      </c>
      <c r="G696">
        <v>10</v>
      </c>
      <c r="H696">
        <v>1</v>
      </c>
      <c r="I696">
        <v>0</v>
      </c>
      <c r="J696">
        <v>167</v>
      </c>
      <c r="K696" t="s">
        <v>34</v>
      </c>
    </row>
    <row r="697" spans="1:11" x14ac:dyDescent="0.2">
      <c r="A697" t="str">
        <f t="shared" ref="A697:A760" si="11">_xlfn.CONCAT(B697,"_",C697,"_",D697)</f>
        <v>Drought_Dry_d</v>
      </c>
      <c r="B697" s="2" t="s">
        <v>29</v>
      </c>
      <c r="C697" s="2" t="s">
        <v>23</v>
      </c>
      <c r="D697" s="2" t="s">
        <v>20</v>
      </c>
      <c r="F697" t="s">
        <v>40</v>
      </c>
      <c r="G697">
        <v>10</v>
      </c>
      <c r="H697">
        <v>1</v>
      </c>
      <c r="I697">
        <v>0</v>
      </c>
      <c r="J697">
        <v>353</v>
      </c>
      <c r="K697" t="s">
        <v>34</v>
      </c>
    </row>
    <row r="698" spans="1:11" x14ac:dyDescent="0.2">
      <c r="A698" t="str">
        <f t="shared" si="11"/>
        <v>Drought_Dry_d</v>
      </c>
      <c r="B698" s="2" t="s">
        <v>29</v>
      </c>
      <c r="C698" s="2" t="s">
        <v>23</v>
      </c>
      <c r="D698" s="2" t="s">
        <v>20</v>
      </c>
      <c r="F698" t="s">
        <v>40</v>
      </c>
      <c r="G698">
        <v>10</v>
      </c>
      <c r="H698">
        <v>1</v>
      </c>
      <c r="I698">
        <v>0</v>
      </c>
      <c r="J698">
        <v>368</v>
      </c>
      <c r="K698" t="s">
        <v>34</v>
      </c>
    </row>
    <row r="699" spans="1:11" x14ac:dyDescent="0.2">
      <c r="A699" t="str">
        <f t="shared" si="11"/>
        <v>Drought_Dry_e</v>
      </c>
      <c r="B699" s="2" t="s">
        <v>29</v>
      </c>
      <c r="C699" s="2" t="s">
        <v>23</v>
      </c>
      <c r="D699" s="2" t="s">
        <v>21</v>
      </c>
      <c r="F699" t="s">
        <v>40</v>
      </c>
      <c r="G699">
        <v>10</v>
      </c>
      <c r="H699">
        <v>1</v>
      </c>
      <c r="I699">
        <v>0</v>
      </c>
      <c r="J699">
        <v>30</v>
      </c>
      <c r="K699" t="s">
        <v>34</v>
      </c>
    </row>
    <row r="700" spans="1:11" x14ac:dyDescent="0.2">
      <c r="A700" t="str">
        <f t="shared" si="11"/>
        <v>Drought_Dry_e</v>
      </c>
      <c r="B700" s="2" t="s">
        <v>29</v>
      </c>
      <c r="C700" s="2" t="s">
        <v>23</v>
      </c>
      <c r="D700" s="2" t="s">
        <v>21</v>
      </c>
      <c r="F700" t="s">
        <v>40</v>
      </c>
      <c r="G700">
        <v>10</v>
      </c>
      <c r="H700">
        <v>1</v>
      </c>
      <c r="I700">
        <v>0</v>
      </c>
      <c r="J700">
        <v>40</v>
      </c>
      <c r="K700" t="s">
        <v>34</v>
      </c>
    </row>
    <row r="701" spans="1:11" x14ac:dyDescent="0.2">
      <c r="A701" t="str">
        <f t="shared" si="11"/>
        <v>Drought_Mixture_a</v>
      </c>
      <c r="B701" s="2" t="s">
        <v>29</v>
      </c>
      <c r="C701" s="2" t="s">
        <v>27</v>
      </c>
      <c r="D701" s="2" t="s">
        <v>13</v>
      </c>
      <c r="F701" t="s">
        <v>40</v>
      </c>
      <c r="G701">
        <v>10</v>
      </c>
      <c r="H701">
        <v>2</v>
      </c>
      <c r="I701">
        <v>1</v>
      </c>
      <c r="J701">
        <v>14</v>
      </c>
      <c r="K701" t="s">
        <v>34</v>
      </c>
    </row>
    <row r="702" spans="1:11" x14ac:dyDescent="0.2">
      <c r="A702" t="str">
        <f t="shared" si="11"/>
        <v>Drought_Mixture_a</v>
      </c>
      <c r="B702" s="2" t="s">
        <v>29</v>
      </c>
      <c r="C702" s="2" t="s">
        <v>27</v>
      </c>
      <c r="D702" s="2" t="s">
        <v>13</v>
      </c>
      <c r="F702" t="s">
        <v>40</v>
      </c>
      <c r="G702">
        <v>10</v>
      </c>
      <c r="H702">
        <v>2</v>
      </c>
      <c r="I702">
        <v>1</v>
      </c>
      <c r="J702">
        <v>16</v>
      </c>
      <c r="K702" t="s">
        <v>34</v>
      </c>
    </row>
    <row r="703" spans="1:11" x14ac:dyDescent="0.2">
      <c r="A703" t="str">
        <f t="shared" si="11"/>
        <v>Drought_Mixture_b</v>
      </c>
      <c r="B703" s="2" t="s">
        <v>29</v>
      </c>
      <c r="C703" s="2" t="s">
        <v>27</v>
      </c>
      <c r="D703" s="2" t="s">
        <v>16</v>
      </c>
      <c r="F703" t="s">
        <v>40</v>
      </c>
      <c r="G703">
        <v>10</v>
      </c>
      <c r="H703">
        <v>2</v>
      </c>
      <c r="I703">
        <v>1</v>
      </c>
      <c r="J703">
        <v>5</v>
      </c>
      <c r="K703" t="s">
        <v>34</v>
      </c>
    </row>
    <row r="704" spans="1:11" x14ac:dyDescent="0.2">
      <c r="A704" t="str">
        <f t="shared" si="11"/>
        <v>Drought_Mixture_b</v>
      </c>
      <c r="B704" s="2" t="s">
        <v>29</v>
      </c>
      <c r="C704" s="2" t="s">
        <v>27</v>
      </c>
      <c r="D704" s="2" t="s">
        <v>16</v>
      </c>
      <c r="F704" t="s">
        <v>40</v>
      </c>
      <c r="G704">
        <v>10</v>
      </c>
      <c r="H704">
        <v>2</v>
      </c>
      <c r="I704">
        <v>2</v>
      </c>
      <c r="J704">
        <v>8</v>
      </c>
      <c r="K704" t="s">
        <v>34</v>
      </c>
    </row>
    <row r="705" spans="1:11" x14ac:dyDescent="0.2">
      <c r="A705" t="str">
        <f t="shared" si="11"/>
        <v>Drought_Mixture_c</v>
      </c>
      <c r="B705" s="2" t="s">
        <v>29</v>
      </c>
      <c r="C705" s="2" t="s">
        <v>27</v>
      </c>
      <c r="D705" s="2" t="s">
        <v>18</v>
      </c>
      <c r="F705" t="s">
        <v>40</v>
      </c>
      <c r="G705">
        <v>10</v>
      </c>
      <c r="H705">
        <v>2</v>
      </c>
      <c r="I705">
        <v>11</v>
      </c>
      <c r="J705">
        <v>2</v>
      </c>
      <c r="K705" t="s">
        <v>34</v>
      </c>
    </row>
    <row r="706" spans="1:11" x14ac:dyDescent="0.2">
      <c r="A706" t="str">
        <f t="shared" si="11"/>
        <v>Drought_Mixture_c</v>
      </c>
      <c r="B706" s="2" t="s">
        <v>29</v>
      </c>
      <c r="C706" s="2" t="s">
        <v>27</v>
      </c>
      <c r="D706" s="2" t="s">
        <v>18</v>
      </c>
      <c r="F706" t="s">
        <v>40</v>
      </c>
      <c r="G706">
        <v>10</v>
      </c>
      <c r="H706">
        <v>2</v>
      </c>
      <c r="I706">
        <v>7</v>
      </c>
      <c r="J706">
        <v>9</v>
      </c>
      <c r="K706" t="s">
        <v>34</v>
      </c>
    </row>
    <row r="707" spans="1:11" x14ac:dyDescent="0.2">
      <c r="A707" t="str">
        <f t="shared" si="11"/>
        <v>Drought_Mixture_d</v>
      </c>
      <c r="B707" s="2" t="s">
        <v>29</v>
      </c>
      <c r="C707" s="2" t="s">
        <v>27</v>
      </c>
      <c r="D707" s="2" t="s">
        <v>20</v>
      </c>
      <c r="F707" t="s">
        <v>40</v>
      </c>
      <c r="G707">
        <v>10</v>
      </c>
      <c r="H707">
        <v>2</v>
      </c>
      <c r="I707">
        <v>1</v>
      </c>
      <c r="J707">
        <v>4</v>
      </c>
      <c r="K707" t="s">
        <v>34</v>
      </c>
    </row>
    <row r="708" spans="1:11" x14ac:dyDescent="0.2">
      <c r="A708" t="str">
        <f t="shared" si="11"/>
        <v>Drought_Mixture_d</v>
      </c>
      <c r="B708" s="2" t="s">
        <v>29</v>
      </c>
      <c r="C708" s="2" t="s">
        <v>27</v>
      </c>
      <c r="D708" s="2" t="s">
        <v>20</v>
      </c>
      <c r="F708" t="s">
        <v>40</v>
      </c>
      <c r="G708">
        <v>10</v>
      </c>
      <c r="H708">
        <v>2</v>
      </c>
      <c r="I708">
        <v>8</v>
      </c>
      <c r="J708">
        <v>8</v>
      </c>
      <c r="K708" t="s">
        <v>34</v>
      </c>
    </row>
    <row r="709" spans="1:11" x14ac:dyDescent="0.2">
      <c r="A709" t="str">
        <f t="shared" si="11"/>
        <v>Drought_Mixture_e</v>
      </c>
      <c r="B709" s="2" t="s">
        <v>29</v>
      </c>
      <c r="C709" s="2" t="s">
        <v>27</v>
      </c>
      <c r="D709" s="2" t="s">
        <v>21</v>
      </c>
      <c r="F709" t="s">
        <v>40</v>
      </c>
      <c r="G709">
        <v>10</v>
      </c>
      <c r="H709">
        <v>2</v>
      </c>
      <c r="I709">
        <v>3</v>
      </c>
      <c r="J709">
        <v>3</v>
      </c>
      <c r="K709" t="s">
        <v>34</v>
      </c>
    </row>
    <row r="710" spans="1:11" x14ac:dyDescent="0.2">
      <c r="A710" t="str">
        <f t="shared" si="11"/>
        <v>Drought_Mixture_e</v>
      </c>
      <c r="B710" s="2" t="s">
        <v>29</v>
      </c>
      <c r="C710" s="2" t="s">
        <v>27</v>
      </c>
      <c r="D710" s="2" t="s">
        <v>21</v>
      </c>
      <c r="F710" t="s">
        <v>40</v>
      </c>
      <c r="G710">
        <v>10</v>
      </c>
      <c r="H710">
        <v>2</v>
      </c>
      <c r="I710">
        <v>7</v>
      </c>
      <c r="J710">
        <v>7</v>
      </c>
      <c r="K710" t="s">
        <v>34</v>
      </c>
    </row>
    <row r="711" spans="1:11" x14ac:dyDescent="0.2">
      <c r="A711" t="str">
        <f t="shared" si="11"/>
        <v>Drought_Mucoid_a</v>
      </c>
      <c r="B711" s="2" t="s">
        <v>29</v>
      </c>
      <c r="C711" s="2" t="s">
        <v>12</v>
      </c>
      <c r="D711" s="2" t="s">
        <v>13</v>
      </c>
      <c r="F711" t="s">
        <v>42</v>
      </c>
      <c r="G711">
        <v>10</v>
      </c>
      <c r="H711">
        <v>2</v>
      </c>
      <c r="I711">
        <v>55</v>
      </c>
      <c r="J711">
        <v>2</v>
      </c>
      <c r="K711" t="s">
        <v>34</v>
      </c>
    </row>
    <row r="712" spans="1:11" x14ac:dyDescent="0.2">
      <c r="A712" t="str">
        <f t="shared" si="11"/>
        <v>Drought_Mucoid_a</v>
      </c>
      <c r="B712" s="2" t="s">
        <v>29</v>
      </c>
      <c r="C712" s="2" t="s">
        <v>12</v>
      </c>
      <c r="D712" s="2" t="s">
        <v>13</v>
      </c>
      <c r="F712" t="s">
        <v>42</v>
      </c>
      <c r="G712">
        <v>10</v>
      </c>
      <c r="H712">
        <v>2</v>
      </c>
      <c r="I712">
        <v>68</v>
      </c>
      <c r="J712">
        <v>1</v>
      </c>
      <c r="K712" t="s">
        <v>34</v>
      </c>
    </row>
    <row r="713" spans="1:11" x14ac:dyDescent="0.2">
      <c r="A713" t="str">
        <f t="shared" si="11"/>
        <v>Drought_Mucoid_b</v>
      </c>
      <c r="B713" s="2" t="s">
        <v>29</v>
      </c>
      <c r="C713" s="2" t="s">
        <v>12</v>
      </c>
      <c r="D713" s="2" t="s">
        <v>16</v>
      </c>
      <c r="F713" t="s">
        <v>42</v>
      </c>
      <c r="G713">
        <v>10</v>
      </c>
      <c r="H713">
        <v>2</v>
      </c>
      <c r="I713">
        <v>55</v>
      </c>
      <c r="J713">
        <v>3</v>
      </c>
      <c r="K713" t="s">
        <v>34</v>
      </c>
    </row>
    <row r="714" spans="1:11" x14ac:dyDescent="0.2">
      <c r="A714" t="str">
        <f t="shared" si="11"/>
        <v>Drought_Mucoid_b</v>
      </c>
      <c r="B714" s="2" t="s">
        <v>29</v>
      </c>
      <c r="C714" s="2" t="s">
        <v>12</v>
      </c>
      <c r="D714" s="2" t="s">
        <v>16</v>
      </c>
      <c r="F714" t="s">
        <v>42</v>
      </c>
      <c r="G714">
        <v>10</v>
      </c>
      <c r="H714">
        <v>2</v>
      </c>
      <c r="I714">
        <v>44</v>
      </c>
      <c r="J714">
        <v>1</v>
      </c>
      <c r="K714" t="s">
        <v>34</v>
      </c>
    </row>
    <row r="715" spans="1:11" x14ac:dyDescent="0.2">
      <c r="A715" t="str">
        <f t="shared" si="11"/>
        <v>Drought_Mucoid_c</v>
      </c>
      <c r="B715" s="2" t="s">
        <v>29</v>
      </c>
      <c r="C715" s="2" t="s">
        <v>12</v>
      </c>
      <c r="D715" s="2" t="s">
        <v>18</v>
      </c>
      <c r="F715" t="s">
        <v>42</v>
      </c>
      <c r="G715">
        <v>10</v>
      </c>
      <c r="H715">
        <v>2</v>
      </c>
      <c r="I715">
        <v>7</v>
      </c>
      <c r="J715">
        <v>0</v>
      </c>
      <c r="K715" t="s">
        <v>34</v>
      </c>
    </row>
    <row r="716" spans="1:11" x14ac:dyDescent="0.2">
      <c r="A716" t="str">
        <f t="shared" si="11"/>
        <v>Drought_Mucoid_c</v>
      </c>
      <c r="B716" s="2" t="s">
        <v>29</v>
      </c>
      <c r="C716" s="2" t="s">
        <v>12</v>
      </c>
      <c r="D716" s="2" t="s">
        <v>18</v>
      </c>
      <c r="F716" t="s">
        <v>42</v>
      </c>
      <c r="G716">
        <v>10</v>
      </c>
      <c r="H716">
        <v>2</v>
      </c>
      <c r="I716">
        <v>8</v>
      </c>
      <c r="J716">
        <v>0</v>
      </c>
      <c r="K716" t="s">
        <v>34</v>
      </c>
    </row>
    <row r="717" spans="1:11" x14ac:dyDescent="0.2">
      <c r="A717" t="str">
        <f t="shared" si="11"/>
        <v>Drought_Mucoid_d</v>
      </c>
      <c r="B717" s="2" t="s">
        <v>29</v>
      </c>
      <c r="C717" s="2" t="s">
        <v>12</v>
      </c>
      <c r="D717" s="2" t="s">
        <v>20</v>
      </c>
      <c r="F717" t="s">
        <v>42</v>
      </c>
      <c r="G717">
        <v>10</v>
      </c>
      <c r="H717">
        <v>2</v>
      </c>
      <c r="I717">
        <v>6</v>
      </c>
      <c r="J717">
        <v>0</v>
      </c>
      <c r="K717" t="s">
        <v>34</v>
      </c>
    </row>
    <row r="718" spans="1:11" x14ac:dyDescent="0.2">
      <c r="A718" t="str">
        <f t="shared" si="11"/>
        <v>Drought_Mucoid_d</v>
      </c>
      <c r="B718" s="2" t="s">
        <v>29</v>
      </c>
      <c r="C718" s="2" t="s">
        <v>12</v>
      </c>
      <c r="D718" s="2" t="s">
        <v>20</v>
      </c>
      <c r="F718" t="s">
        <v>42</v>
      </c>
      <c r="G718">
        <v>10</v>
      </c>
      <c r="H718">
        <v>2</v>
      </c>
      <c r="I718">
        <v>2</v>
      </c>
      <c r="J718">
        <v>0</v>
      </c>
      <c r="K718" t="s">
        <v>34</v>
      </c>
    </row>
    <row r="719" spans="1:11" x14ac:dyDescent="0.2">
      <c r="A719" t="str">
        <f t="shared" si="11"/>
        <v>Drought_Mucoid_e</v>
      </c>
      <c r="B719" s="2" t="s">
        <v>29</v>
      </c>
      <c r="C719" s="2" t="s">
        <v>12</v>
      </c>
      <c r="D719" s="2" t="s">
        <v>21</v>
      </c>
      <c r="F719" t="s">
        <v>42</v>
      </c>
      <c r="G719">
        <v>10</v>
      </c>
      <c r="H719">
        <v>2</v>
      </c>
      <c r="I719">
        <v>29</v>
      </c>
      <c r="J719">
        <v>0</v>
      </c>
      <c r="K719" t="s">
        <v>34</v>
      </c>
    </row>
    <row r="720" spans="1:11" x14ac:dyDescent="0.2">
      <c r="A720" t="str">
        <f t="shared" si="11"/>
        <v>Drought_Mucoid_e</v>
      </c>
      <c r="B720" s="2" t="s">
        <v>29</v>
      </c>
      <c r="C720" s="2" t="s">
        <v>12</v>
      </c>
      <c r="D720" s="2" t="s">
        <v>21</v>
      </c>
      <c r="F720" t="s">
        <v>42</v>
      </c>
      <c r="G720">
        <v>10</v>
      </c>
      <c r="H720">
        <v>2</v>
      </c>
      <c r="I720">
        <v>40</v>
      </c>
      <c r="J720">
        <v>0</v>
      </c>
      <c r="K720" t="s">
        <v>34</v>
      </c>
    </row>
    <row r="721" spans="1:11" x14ac:dyDescent="0.2">
      <c r="A721" t="str">
        <f t="shared" si="11"/>
        <v>Drought_Dry_a</v>
      </c>
      <c r="B721" s="2" t="s">
        <v>29</v>
      </c>
      <c r="C721" s="2" t="s">
        <v>23</v>
      </c>
      <c r="D721" s="2" t="s">
        <v>13</v>
      </c>
      <c r="F721" t="s">
        <v>42</v>
      </c>
      <c r="G721">
        <v>10</v>
      </c>
      <c r="H721">
        <v>2</v>
      </c>
      <c r="I721">
        <v>0</v>
      </c>
      <c r="J721">
        <v>225</v>
      </c>
      <c r="K721" t="s">
        <v>34</v>
      </c>
    </row>
    <row r="722" spans="1:11" x14ac:dyDescent="0.2">
      <c r="A722" t="str">
        <f t="shared" si="11"/>
        <v>Drought_Dry_a</v>
      </c>
      <c r="B722" s="2" t="s">
        <v>29</v>
      </c>
      <c r="C722" s="2" t="s">
        <v>23</v>
      </c>
      <c r="D722" s="2" t="s">
        <v>13</v>
      </c>
      <c r="F722" t="s">
        <v>42</v>
      </c>
      <c r="G722">
        <v>10</v>
      </c>
      <c r="H722">
        <v>2</v>
      </c>
      <c r="I722">
        <v>0</v>
      </c>
      <c r="J722">
        <v>195</v>
      </c>
      <c r="K722" t="s">
        <v>34</v>
      </c>
    </row>
    <row r="723" spans="1:11" x14ac:dyDescent="0.2">
      <c r="A723" t="str">
        <f t="shared" si="11"/>
        <v>Drought_Dry_b</v>
      </c>
      <c r="B723" s="2" t="s">
        <v>29</v>
      </c>
      <c r="C723" s="2" t="s">
        <v>23</v>
      </c>
      <c r="D723" s="2" t="s">
        <v>16</v>
      </c>
      <c r="F723" t="s">
        <v>42</v>
      </c>
      <c r="G723">
        <v>10</v>
      </c>
      <c r="H723">
        <v>2</v>
      </c>
      <c r="I723">
        <v>0</v>
      </c>
      <c r="J723">
        <v>5</v>
      </c>
      <c r="K723" t="s">
        <v>34</v>
      </c>
    </row>
    <row r="724" spans="1:11" x14ac:dyDescent="0.2">
      <c r="A724" t="str">
        <f t="shared" si="11"/>
        <v>Drought_Dry_b</v>
      </c>
      <c r="B724" s="2" t="s">
        <v>29</v>
      </c>
      <c r="C724" s="2" t="s">
        <v>23</v>
      </c>
      <c r="D724" s="2" t="s">
        <v>16</v>
      </c>
      <c r="F724" t="s">
        <v>42</v>
      </c>
      <c r="G724">
        <v>10</v>
      </c>
      <c r="H724">
        <v>2</v>
      </c>
      <c r="I724">
        <v>0</v>
      </c>
      <c r="J724">
        <v>1</v>
      </c>
      <c r="K724" t="s">
        <v>34</v>
      </c>
    </row>
    <row r="725" spans="1:11" x14ac:dyDescent="0.2">
      <c r="A725" t="str">
        <f t="shared" si="11"/>
        <v>Drought_Dry_c</v>
      </c>
      <c r="B725" s="2" t="s">
        <v>29</v>
      </c>
      <c r="C725" s="2" t="s">
        <v>23</v>
      </c>
      <c r="D725" s="2" t="s">
        <v>18</v>
      </c>
      <c r="F725" t="s">
        <v>42</v>
      </c>
      <c r="G725">
        <v>10</v>
      </c>
      <c r="H725">
        <v>2</v>
      </c>
      <c r="I725">
        <v>0</v>
      </c>
      <c r="J725">
        <v>103</v>
      </c>
      <c r="K725" t="s">
        <v>34</v>
      </c>
    </row>
    <row r="726" spans="1:11" x14ac:dyDescent="0.2">
      <c r="A726" t="str">
        <f t="shared" si="11"/>
        <v>Drought_Dry_c</v>
      </c>
      <c r="B726" s="2" t="s">
        <v>29</v>
      </c>
      <c r="C726" s="2" t="s">
        <v>23</v>
      </c>
      <c r="D726" s="2" t="s">
        <v>18</v>
      </c>
      <c r="F726" t="s">
        <v>42</v>
      </c>
      <c r="G726">
        <v>10</v>
      </c>
      <c r="H726">
        <v>2</v>
      </c>
      <c r="I726">
        <v>0</v>
      </c>
      <c r="J726">
        <v>121</v>
      </c>
      <c r="K726" t="s">
        <v>34</v>
      </c>
    </row>
    <row r="727" spans="1:11" x14ac:dyDescent="0.2">
      <c r="A727" t="str">
        <f t="shared" si="11"/>
        <v>Drought_Dry_d</v>
      </c>
      <c r="B727" s="2" t="s">
        <v>29</v>
      </c>
      <c r="C727" s="2" t="s">
        <v>23</v>
      </c>
      <c r="D727" s="2" t="s">
        <v>20</v>
      </c>
      <c r="F727" t="s">
        <v>42</v>
      </c>
      <c r="G727">
        <v>10</v>
      </c>
      <c r="H727">
        <v>2</v>
      </c>
      <c r="I727">
        <v>0</v>
      </c>
      <c r="J727">
        <v>63</v>
      </c>
      <c r="K727" t="s">
        <v>34</v>
      </c>
    </row>
    <row r="728" spans="1:11" x14ac:dyDescent="0.2">
      <c r="A728" t="str">
        <f t="shared" si="11"/>
        <v>Drought_Dry_d</v>
      </c>
      <c r="B728" s="2" t="s">
        <v>29</v>
      </c>
      <c r="C728" s="2" t="s">
        <v>23</v>
      </c>
      <c r="D728" s="2" t="s">
        <v>20</v>
      </c>
      <c r="F728" t="s">
        <v>42</v>
      </c>
      <c r="G728">
        <v>10</v>
      </c>
      <c r="H728">
        <v>2</v>
      </c>
      <c r="I728">
        <v>0</v>
      </c>
      <c r="J728">
        <v>56</v>
      </c>
      <c r="K728" t="s">
        <v>34</v>
      </c>
    </row>
    <row r="729" spans="1:11" x14ac:dyDescent="0.2">
      <c r="A729" t="str">
        <f t="shared" si="11"/>
        <v>Drought_Dry_e</v>
      </c>
      <c r="B729" s="2" t="s">
        <v>29</v>
      </c>
      <c r="C729" s="2" t="s">
        <v>23</v>
      </c>
      <c r="D729" s="2" t="s">
        <v>21</v>
      </c>
      <c r="F729" t="s">
        <v>42</v>
      </c>
      <c r="G729">
        <v>10</v>
      </c>
      <c r="H729">
        <v>2</v>
      </c>
      <c r="I729">
        <v>0</v>
      </c>
      <c r="J729">
        <v>32</v>
      </c>
      <c r="K729" t="s">
        <v>34</v>
      </c>
    </row>
    <row r="730" spans="1:11" x14ac:dyDescent="0.2">
      <c r="A730" t="str">
        <f t="shared" si="11"/>
        <v>Drought_Dry_e</v>
      </c>
      <c r="B730" s="2" t="s">
        <v>29</v>
      </c>
      <c r="C730" s="2" t="s">
        <v>23</v>
      </c>
      <c r="D730" s="2" t="s">
        <v>21</v>
      </c>
      <c r="F730" t="s">
        <v>42</v>
      </c>
      <c r="G730">
        <v>10</v>
      </c>
      <c r="H730">
        <v>2</v>
      </c>
      <c r="I730">
        <v>0</v>
      </c>
      <c r="J730">
        <v>43</v>
      </c>
      <c r="K730" t="s">
        <v>34</v>
      </c>
    </row>
    <row r="731" spans="1:11" x14ac:dyDescent="0.2">
      <c r="A731" t="str">
        <f t="shared" si="11"/>
        <v>Drought_Mixture_a</v>
      </c>
      <c r="B731" s="2" t="s">
        <v>29</v>
      </c>
      <c r="C731" s="2" t="s">
        <v>27</v>
      </c>
      <c r="D731" s="2" t="s">
        <v>13</v>
      </c>
      <c r="F731" t="s">
        <v>42</v>
      </c>
      <c r="G731">
        <v>10</v>
      </c>
      <c r="H731">
        <v>2</v>
      </c>
      <c r="I731">
        <v>2</v>
      </c>
      <c r="J731">
        <v>4</v>
      </c>
      <c r="K731" t="s">
        <v>34</v>
      </c>
    </row>
    <row r="732" spans="1:11" x14ac:dyDescent="0.2">
      <c r="A732" t="str">
        <f t="shared" si="11"/>
        <v>Drought_Mixture_a</v>
      </c>
      <c r="B732" s="2" t="s">
        <v>29</v>
      </c>
      <c r="C732" s="2" t="s">
        <v>27</v>
      </c>
      <c r="D732" s="2" t="s">
        <v>13</v>
      </c>
      <c r="F732" t="s">
        <v>42</v>
      </c>
      <c r="G732">
        <v>10</v>
      </c>
      <c r="H732">
        <v>2</v>
      </c>
      <c r="I732">
        <v>0</v>
      </c>
      <c r="J732">
        <v>4</v>
      </c>
      <c r="K732" t="s">
        <v>34</v>
      </c>
    </row>
    <row r="733" spans="1:11" x14ac:dyDescent="0.2">
      <c r="A733" t="str">
        <f t="shared" si="11"/>
        <v>Drought_Mixture_b</v>
      </c>
      <c r="B733" s="2" t="s">
        <v>29</v>
      </c>
      <c r="C733" s="2" t="s">
        <v>27</v>
      </c>
      <c r="D733" s="2" t="s">
        <v>16</v>
      </c>
      <c r="F733" t="s">
        <v>42</v>
      </c>
      <c r="G733">
        <v>10</v>
      </c>
      <c r="H733">
        <v>2</v>
      </c>
      <c r="I733">
        <v>4</v>
      </c>
      <c r="J733">
        <v>11</v>
      </c>
      <c r="K733" t="s">
        <v>34</v>
      </c>
    </row>
    <row r="734" spans="1:11" x14ac:dyDescent="0.2">
      <c r="A734" t="str">
        <f t="shared" si="11"/>
        <v>Drought_Mixture_b</v>
      </c>
      <c r="B734" s="2" t="s">
        <v>29</v>
      </c>
      <c r="C734" s="2" t="s">
        <v>27</v>
      </c>
      <c r="D734" s="2" t="s">
        <v>16</v>
      </c>
      <c r="F734" t="s">
        <v>42</v>
      </c>
      <c r="G734">
        <v>10</v>
      </c>
      <c r="H734">
        <v>2</v>
      </c>
      <c r="I734">
        <v>10</v>
      </c>
      <c r="J734">
        <v>10</v>
      </c>
      <c r="K734" t="s">
        <v>34</v>
      </c>
    </row>
    <row r="735" spans="1:11" x14ac:dyDescent="0.2">
      <c r="A735" t="str">
        <f t="shared" si="11"/>
        <v>Drought_Mixture_c</v>
      </c>
      <c r="B735" s="2" t="s">
        <v>29</v>
      </c>
      <c r="C735" s="2" t="s">
        <v>27</v>
      </c>
      <c r="D735" s="2" t="s">
        <v>18</v>
      </c>
      <c r="F735" t="s">
        <v>42</v>
      </c>
      <c r="G735">
        <v>10</v>
      </c>
      <c r="H735">
        <v>2</v>
      </c>
      <c r="I735">
        <v>11</v>
      </c>
      <c r="J735">
        <v>9</v>
      </c>
      <c r="K735" t="s">
        <v>34</v>
      </c>
    </row>
    <row r="736" spans="1:11" x14ac:dyDescent="0.2">
      <c r="A736" t="str">
        <f t="shared" si="11"/>
        <v>Drought_Mixture_c</v>
      </c>
      <c r="B736" s="2" t="s">
        <v>29</v>
      </c>
      <c r="C736" s="2" t="s">
        <v>27</v>
      </c>
      <c r="D736" s="2" t="s">
        <v>18</v>
      </c>
      <c r="F736" t="s">
        <v>42</v>
      </c>
      <c r="G736">
        <v>10</v>
      </c>
      <c r="H736">
        <v>2</v>
      </c>
      <c r="I736">
        <v>7</v>
      </c>
      <c r="J736">
        <v>8</v>
      </c>
      <c r="K736" t="s">
        <v>34</v>
      </c>
    </row>
    <row r="737" spans="1:11" x14ac:dyDescent="0.2">
      <c r="A737" t="str">
        <f t="shared" si="11"/>
        <v>Drought_Mixture_d</v>
      </c>
      <c r="B737" s="2" t="s">
        <v>29</v>
      </c>
      <c r="C737" s="2" t="s">
        <v>27</v>
      </c>
      <c r="D737" s="2" t="s">
        <v>20</v>
      </c>
      <c r="F737" t="s">
        <v>42</v>
      </c>
      <c r="G737">
        <v>10</v>
      </c>
      <c r="H737">
        <v>2</v>
      </c>
      <c r="I737">
        <v>12</v>
      </c>
      <c r="J737">
        <v>37</v>
      </c>
      <c r="K737" t="s">
        <v>34</v>
      </c>
    </row>
    <row r="738" spans="1:11" x14ac:dyDescent="0.2">
      <c r="A738" t="str">
        <f t="shared" si="11"/>
        <v>Drought_Mixture_d</v>
      </c>
      <c r="B738" s="2" t="s">
        <v>29</v>
      </c>
      <c r="C738" s="2" t="s">
        <v>27</v>
      </c>
      <c r="D738" s="2" t="s">
        <v>20</v>
      </c>
      <c r="F738" t="s">
        <v>42</v>
      </c>
      <c r="G738">
        <v>10</v>
      </c>
      <c r="H738">
        <v>2</v>
      </c>
      <c r="I738">
        <v>7</v>
      </c>
      <c r="J738">
        <v>21</v>
      </c>
      <c r="K738" t="s">
        <v>34</v>
      </c>
    </row>
    <row r="739" spans="1:11" x14ac:dyDescent="0.2">
      <c r="A739" t="str">
        <f t="shared" si="11"/>
        <v>Drought_Mixture_e</v>
      </c>
      <c r="B739" s="2" t="s">
        <v>29</v>
      </c>
      <c r="C739" s="2" t="s">
        <v>27</v>
      </c>
      <c r="D739" s="2" t="s">
        <v>21</v>
      </c>
      <c r="F739" t="s">
        <v>42</v>
      </c>
      <c r="G739">
        <v>10</v>
      </c>
      <c r="H739">
        <v>2</v>
      </c>
      <c r="I739">
        <v>7</v>
      </c>
      <c r="J739">
        <v>42</v>
      </c>
      <c r="K739" t="s">
        <v>34</v>
      </c>
    </row>
    <row r="740" spans="1:11" x14ac:dyDescent="0.2">
      <c r="A740" t="str">
        <f t="shared" si="11"/>
        <v>Drought_Mixture_e</v>
      </c>
      <c r="B740" s="2" t="s">
        <v>29</v>
      </c>
      <c r="C740" s="2" t="s">
        <v>27</v>
      </c>
      <c r="D740" s="2" t="s">
        <v>21</v>
      </c>
      <c r="F740" t="s">
        <v>42</v>
      </c>
      <c r="G740">
        <v>10</v>
      </c>
      <c r="H740">
        <v>2</v>
      </c>
      <c r="I740">
        <v>5</v>
      </c>
      <c r="J740">
        <v>29</v>
      </c>
      <c r="K740" t="s">
        <v>34</v>
      </c>
    </row>
    <row r="741" spans="1:11" x14ac:dyDescent="0.2">
      <c r="A741" t="str">
        <f t="shared" si="11"/>
        <v>Drought_Mucoid_a</v>
      </c>
      <c r="B741" s="2" t="s">
        <v>29</v>
      </c>
      <c r="C741" s="2" t="s">
        <v>12</v>
      </c>
      <c r="D741" s="2" t="s">
        <v>13</v>
      </c>
      <c r="F741" t="s">
        <v>43</v>
      </c>
      <c r="G741">
        <v>10</v>
      </c>
      <c r="H741">
        <v>3</v>
      </c>
      <c r="I741">
        <v>15</v>
      </c>
      <c r="J741">
        <v>1</v>
      </c>
      <c r="K741" t="s">
        <v>34</v>
      </c>
    </row>
    <row r="742" spans="1:11" x14ac:dyDescent="0.2">
      <c r="A742" t="str">
        <f t="shared" si="11"/>
        <v>Drought_Mucoid_a</v>
      </c>
      <c r="B742" s="2" t="s">
        <v>29</v>
      </c>
      <c r="C742" s="2" t="s">
        <v>12</v>
      </c>
      <c r="D742" s="2" t="s">
        <v>13</v>
      </c>
      <c r="F742" t="s">
        <v>43</v>
      </c>
      <c r="G742">
        <v>10</v>
      </c>
      <c r="H742">
        <v>3</v>
      </c>
      <c r="I742">
        <v>10</v>
      </c>
      <c r="J742">
        <v>1</v>
      </c>
      <c r="K742" t="s">
        <v>34</v>
      </c>
    </row>
    <row r="743" spans="1:11" x14ac:dyDescent="0.2">
      <c r="A743" t="str">
        <f t="shared" si="11"/>
        <v>Drought_Mucoid_b</v>
      </c>
      <c r="B743" s="2" t="s">
        <v>29</v>
      </c>
      <c r="C743" s="2" t="s">
        <v>12</v>
      </c>
      <c r="D743" s="2" t="s">
        <v>16</v>
      </c>
      <c r="F743" t="s">
        <v>43</v>
      </c>
      <c r="G743">
        <v>10</v>
      </c>
      <c r="H743">
        <v>3</v>
      </c>
      <c r="I743">
        <v>14</v>
      </c>
      <c r="J743">
        <v>0</v>
      </c>
      <c r="K743" t="s">
        <v>34</v>
      </c>
    </row>
    <row r="744" spans="1:11" x14ac:dyDescent="0.2">
      <c r="A744" t="str">
        <f t="shared" si="11"/>
        <v>Drought_Mucoid_b</v>
      </c>
      <c r="B744" s="2" t="s">
        <v>29</v>
      </c>
      <c r="C744" s="2" t="s">
        <v>12</v>
      </c>
      <c r="D744" s="2" t="s">
        <v>16</v>
      </c>
      <c r="F744" t="s">
        <v>43</v>
      </c>
      <c r="G744">
        <v>10</v>
      </c>
      <c r="H744">
        <v>3</v>
      </c>
      <c r="I744">
        <v>12</v>
      </c>
      <c r="J744">
        <v>0</v>
      </c>
      <c r="K744" t="s">
        <v>34</v>
      </c>
    </row>
    <row r="745" spans="1:11" x14ac:dyDescent="0.2">
      <c r="A745" t="str">
        <f t="shared" si="11"/>
        <v>Drought_Mucoid_c</v>
      </c>
      <c r="B745" s="2" t="s">
        <v>29</v>
      </c>
      <c r="C745" s="2" t="s">
        <v>12</v>
      </c>
      <c r="D745" s="2" t="s">
        <v>18</v>
      </c>
      <c r="F745" t="s">
        <v>43</v>
      </c>
      <c r="G745">
        <v>10</v>
      </c>
      <c r="H745">
        <v>3</v>
      </c>
      <c r="I745">
        <v>4</v>
      </c>
      <c r="J745">
        <v>2</v>
      </c>
      <c r="K745" t="s">
        <v>34</v>
      </c>
    </row>
    <row r="746" spans="1:11" x14ac:dyDescent="0.2">
      <c r="A746" t="str">
        <f t="shared" si="11"/>
        <v>Drought_Mucoid_c</v>
      </c>
      <c r="B746" s="2" t="s">
        <v>29</v>
      </c>
      <c r="C746" s="2" t="s">
        <v>12</v>
      </c>
      <c r="D746" s="2" t="s">
        <v>18</v>
      </c>
      <c r="F746" t="s">
        <v>43</v>
      </c>
      <c r="G746">
        <v>10</v>
      </c>
      <c r="H746">
        <v>3</v>
      </c>
      <c r="I746">
        <v>4</v>
      </c>
      <c r="J746">
        <v>0</v>
      </c>
      <c r="K746" t="s">
        <v>34</v>
      </c>
    </row>
    <row r="747" spans="1:11" x14ac:dyDescent="0.2">
      <c r="A747" t="str">
        <f t="shared" si="11"/>
        <v>Drought_Mucoid_d</v>
      </c>
      <c r="B747" s="2" t="s">
        <v>29</v>
      </c>
      <c r="C747" s="2" t="s">
        <v>12</v>
      </c>
      <c r="D747" s="2" t="s">
        <v>20</v>
      </c>
      <c r="F747" t="s">
        <v>43</v>
      </c>
      <c r="G747">
        <v>10</v>
      </c>
      <c r="H747">
        <v>3</v>
      </c>
      <c r="I747">
        <v>44</v>
      </c>
      <c r="J747">
        <v>1</v>
      </c>
      <c r="K747" t="s">
        <v>34</v>
      </c>
    </row>
    <row r="748" spans="1:11" x14ac:dyDescent="0.2">
      <c r="A748" t="str">
        <f t="shared" si="11"/>
        <v>Drought_Mucoid_d</v>
      </c>
      <c r="B748" s="2" t="s">
        <v>29</v>
      </c>
      <c r="C748" s="2" t="s">
        <v>12</v>
      </c>
      <c r="D748" s="2" t="s">
        <v>20</v>
      </c>
      <c r="F748" t="s">
        <v>43</v>
      </c>
      <c r="G748">
        <v>10</v>
      </c>
      <c r="H748">
        <v>3</v>
      </c>
      <c r="I748">
        <v>45</v>
      </c>
      <c r="J748">
        <v>1</v>
      </c>
      <c r="K748" t="s">
        <v>34</v>
      </c>
    </row>
    <row r="749" spans="1:11" x14ac:dyDescent="0.2">
      <c r="A749" t="str">
        <f t="shared" si="11"/>
        <v>Drought_Mucoid_e</v>
      </c>
      <c r="B749" s="2" t="s">
        <v>29</v>
      </c>
      <c r="C749" s="2" t="s">
        <v>12</v>
      </c>
      <c r="D749" s="2" t="s">
        <v>21</v>
      </c>
      <c r="F749" t="s">
        <v>43</v>
      </c>
      <c r="G749" t="s">
        <v>41</v>
      </c>
      <c r="K749" t="s">
        <v>34</v>
      </c>
    </row>
    <row r="750" spans="1:11" x14ac:dyDescent="0.2">
      <c r="A750" t="str">
        <f t="shared" si="11"/>
        <v>Drought_Mucoid_e</v>
      </c>
      <c r="B750" s="2" t="s">
        <v>29</v>
      </c>
      <c r="C750" s="2" t="s">
        <v>12</v>
      </c>
      <c r="D750" s="2" t="s">
        <v>21</v>
      </c>
      <c r="F750" t="s">
        <v>43</v>
      </c>
      <c r="G750" t="s">
        <v>41</v>
      </c>
      <c r="K750" t="s">
        <v>34</v>
      </c>
    </row>
    <row r="751" spans="1:11" x14ac:dyDescent="0.2">
      <c r="A751" t="str">
        <f t="shared" si="11"/>
        <v>Drought_Dry_a</v>
      </c>
      <c r="B751" s="2" t="s">
        <v>29</v>
      </c>
      <c r="C751" s="2" t="s">
        <v>23</v>
      </c>
      <c r="D751" s="2" t="s">
        <v>13</v>
      </c>
      <c r="F751" t="s">
        <v>43</v>
      </c>
      <c r="G751">
        <v>10</v>
      </c>
      <c r="H751">
        <v>3</v>
      </c>
      <c r="I751">
        <v>0</v>
      </c>
      <c r="J751">
        <v>68</v>
      </c>
      <c r="K751" t="s">
        <v>34</v>
      </c>
    </row>
    <row r="752" spans="1:11" x14ac:dyDescent="0.2">
      <c r="A752" t="str">
        <f t="shared" si="11"/>
        <v>Drought_Dry_a</v>
      </c>
      <c r="B752" s="2" t="s">
        <v>29</v>
      </c>
      <c r="C752" s="2" t="s">
        <v>23</v>
      </c>
      <c r="D752" s="2" t="s">
        <v>13</v>
      </c>
      <c r="F752" t="s">
        <v>43</v>
      </c>
      <c r="G752">
        <v>10</v>
      </c>
      <c r="H752">
        <v>3</v>
      </c>
      <c r="I752">
        <v>0</v>
      </c>
      <c r="J752">
        <v>63</v>
      </c>
      <c r="K752" t="s">
        <v>34</v>
      </c>
    </row>
    <row r="753" spans="1:11" x14ac:dyDescent="0.2">
      <c r="A753" t="str">
        <f t="shared" si="11"/>
        <v>Drought_Dry_b</v>
      </c>
      <c r="B753" s="2" t="s">
        <v>29</v>
      </c>
      <c r="C753" s="2" t="s">
        <v>23</v>
      </c>
      <c r="D753" s="2" t="s">
        <v>16</v>
      </c>
      <c r="F753" t="s">
        <v>43</v>
      </c>
      <c r="G753">
        <v>10</v>
      </c>
      <c r="H753">
        <v>3</v>
      </c>
      <c r="I753">
        <v>0</v>
      </c>
      <c r="J753">
        <v>1</v>
      </c>
      <c r="K753" t="s">
        <v>34</v>
      </c>
    </row>
    <row r="754" spans="1:11" x14ac:dyDescent="0.2">
      <c r="A754" t="str">
        <f t="shared" si="11"/>
        <v>Drought_Dry_b</v>
      </c>
      <c r="B754" s="2" t="s">
        <v>29</v>
      </c>
      <c r="C754" s="2" t="s">
        <v>23</v>
      </c>
      <c r="D754" s="2" t="s">
        <v>16</v>
      </c>
      <c r="F754" t="s">
        <v>43</v>
      </c>
      <c r="G754">
        <v>10</v>
      </c>
      <c r="H754">
        <v>3</v>
      </c>
      <c r="I754">
        <v>0</v>
      </c>
      <c r="J754">
        <v>1</v>
      </c>
      <c r="K754" t="s">
        <v>34</v>
      </c>
    </row>
    <row r="755" spans="1:11" x14ac:dyDescent="0.2">
      <c r="A755" t="str">
        <f t="shared" si="11"/>
        <v>Drought_Dry_c</v>
      </c>
      <c r="B755" s="2" t="s">
        <v>29</v>
      </c>
      <c r="C755" s="2" t="s">
        <v>23</v>
      </c>
      <c r="D755" s="2" t="s">
        <v>18</v>
      </c>
      <c r="F755" t="s">
        <v>43</v>
      </c>
      <c r="G755">
        <v>10</v>
      </c>
      <c r="H755">
        <v>3</v>
      </c>
      <c r="I755">
        <v>0</v>
      </c>
      <c r="J755">
        <v>4</v>
      </c>
      <c r="K755" t="s">
        <v>34</v>
      </c>
    </row>
    <row r="756" spans="1:11" x14ac:dyDescent="0.2">
      <c r="A756" t="str">
        <f t="shared" si="11"/>
        <v>Drought_Dry_c</v>
      </c>
      <c r="B756" s="2" t="s">
        <v>29</v>
      </c>
      <c r="C756" s="2" t="s">
        <v>23</v>
      </c>
      <c r="D756" s="2" t="s">
        <v>18</v>
      </c>
      <c r="F756" t="s">
        <v>43</v>
      </c>
      <c r="G756">
        <v>10</v>
      </c>
      <c r="H756">
        <v>3</v>
      </c>
      <c r="I756">
        <v>0</v>
      </c>
      <c r="J756">
        <v>4</v>
      </c>
      <c r="K756" t="s">
        <v>34</v>
      </c>
    </row>
    <row r="757" spans="1:11" x14ac:dyDescent="0.2">
      <c r="A757" t="str">
        <f t="shared" si="11"/>
        <v>Drought_Dry_d</v>
      </c>
      <c r="B757" s="2" t="s">
        <v>29</v>
      </c>
      <c r="C757" s="2" t="s">
        <v>23</v>
      </c>
      <c r="D757" s="2" t="s">
        <v>20</v>
      </c>
      <c r="F757" t="s">
        <v>43</v>
      </c>
      <c r="G757">
        <v>10</v>
      </c>
      <c r="H757">
        <v>3</v>
      </c>
      <c r="I757">
        <v>0</v>
      </c>
      <c r="J757">
        <v>12</v>
      </c>
      <c r="K757" t="s">
        <v>34</v>
      </c>
    </row>
    <row r="758" spans="1:11" x14ac:dyDescent="0.2">
      <c r="A758" t="str">
        <f t="shared" si="11"/>
        <v>Drought_Dry_d</v>
      </c>
      <c r="B758" s="2" t="s">
        <v>29</v>
      </c>
      <c r="C758" s="2" t="s">
        <v>23</v>
      </c>
      <c r="D758" s="2" t="s">
        <v>20</v>
      </c>
      <c r="F758" t="s">
        <v>43</v>
      </c>
      <c r="G758">
        <v>10</v>
      </c>
      <c r="H758">
        <v>3</v>
      </c>
      <c r="I758">
        <v>0</v>
      </c>
      <c r="J758">
        <v>13</v>
      </c>
      <c r="K758" t="s">
        <v>34</v>
      </c>
    </row>
    <row r="759" spans="1:11" x14ac:dyDescent="0.2">
      <c r="A759" t="str">
        <f t="shared" si="11"/>
        <v>Drought_Dry_e</v>
      </c>
      <c r="B759" s="2" t="s">
        <v>29</v>
      </c>
      <c r="C759" s="2" t="s">
        <v>23</v>
      </c>
      <c r="D759" s="2" t="s">
        <v>21</v>
      </c>
      <c r="F759" t="s">
        <v>43</v>
      </c>
      <c r="G759" t="s">
        <v>41</v>
      </c>
      <c r="K759" t="s">
        <v>34</v>
      </c>
    </row>
    <row r="760" spans="1:11" x14ac:dyDescent="0.2">
      <c r="A760" t="str">
        <f t="shared" si="11"/>
        <v>Drought_Dry_e</v>
      </c>
      <c r="B760" s="2" t="s">
        <v>29</v>
      </c>
      <c r="C760" s="2" t="s">
        <v>23</v>
      </c>
      <c r="D760" s="2" t="s">
        <v>21</v>
      </c>
      <c r="F760" t="s">
        <v>43</v>
      </c>
      <c r="G760" t="s">
        <v>41</v>
      </c>
      <c r="K760" t="s">
        <v>34</v>
      </c>
    </row>
    <row r="761" spans="1:11" x14ac:dyDescent="0.2">
      <c r="A761" t="str">
        <f t="shared" ref="A761:A824" si="12">_xlfn.CONCAT(B761,"_",C761,"_",D761)</f>
        <v>Drought_Mixture_a</v>
      </c>
      <c r="B761" s="2" t="s">
        <v>29</v>
      </c>
      <c r="C761" s="2" t="s">
        <v>27</v>
      </c>
      <c r="D761" s="2" t="s">
        <v>13</v>
      </c>
      <c r="F761" t="s">
        <v>43</v>
      </c>
      <c r="G761">
        <v>10</v>
      </c>
      <c r="H761">
        <v>3</v>
      </c>
      <c r="I761">
        <v>6</v>
      </c>
      <c r="J761">
        <v>7</v>
      </c>
      <c r="K761" t="s">
        <v>34</v>
      </c>
    </row>
    <row r="762" spans="1:11" x14ac:dyDescent="0.2">
      <c r="A762" t="str">
        <f t="shared" si="12"/>
        <v>Drought_Mixture_a</v>
      </c>
      <c r="B762" s="2" t="s">
        <v>29</v>
      </c>
      <c r="C762" s="2" t="s">
        <v>27</v>
      </c>
      <c r="D762" s="2" t="s">
        <v>13</v>
      </c>
      <c r="F762" t="s">
        <v>43</v>
      </c>
      <c r="G762">
        <v>10</v>
      </c>
      <c r="H762">
        <v>3</v>
      </c>
      <c r="I762">
        <v>12</v>
      </c>
      <c r="J762">
        <v>12</v>
      </c>
      <c r="K762" t="s">
        <v>34</v>
      </c>
    </row>
    <row r="763" spans="1:11" x14ac:dyDescent="0.2">
      <c r="A763" t="str">
        <f t="shared" si="12"/>
        <v>Drought_Mixture_b</v>
      </c>
      <c r="B763" s="2" t="s">
        <v>29</v>
      </c>
      <c r="C763" s="2" t="s">
        <v>27</v>
      </c>
      <c r="D763" s="2" t="s">
        <v>16</v>
      </c>
      <c r="F763" t="s">
        <v>43</v>
      </c>
      <c r="G763">
        <v>10</v>
      </c>
      <c r="H763">
        <v>3</v>
      </c>
      <c r="I763">
        <v>3</v>
      </c>
      <c r="J763">
        <v>12</v>
      </c>
      <c r="K763" t="s">
        <v>34</v>
      </c>
    </row>
    <row r="764" spans="1:11" x14ac:dyDescent="0.2">
      <c r="A764" t="str">
        <f t="shared" si="12"/>
        <v>Drought_Mixture_b</v>
      </c>
      <c r="B764" s="2" t="s">
        <v>29</v>
      </c>
      <c r="C764" s="2" t="s">
        <v>27</v>
      </c>
      <c r="D764" s="2" t="s">
        <v>16</v>
      </c>
      <c r="F764" t="s">
        <v>43</v>
      </c>
      <c r="G764">
        <v>10</v>
      </c>
      <c r="H764">
        <v>3</v>
      </c>
      <c r="I764">
        <v>4</v>
      </c>
      <c r="J764">
        <v>6</v>
      </c>
      <c r="K764" t="s">
        <v>34</v>
      </c>
    </row>
    <row r="765" spans="1:11" x14ac:dyDescent="0.2">
      <c r="A765" t="str">
        <f t="shared" si="12"/>
        <v>Drought_Mixture_c</v>
      </c>
      <c r="B765" s="2" t="s">
        <v>29</v>
      </c>
      <c r="C765" s="2" t="s">
        <v>27</v>
      </c>
      <c r="D765" s="2" t="s">
        <v>18</v>
      </c>
      <c r="F765" t="s">
        <v>43</v>
      </c>
      <c r="G765">
        <v>10</v>
      </c>
      <c r="H765">
        <v>3</v>
      </c>
      <c r="I765">
        <v>10</v>
      </c>
      <c r="J765">
        <v>44</v>
      </c>
      <c r="K765" t="s">
        <v>34</v>
      </c>
    </row>
    <row r="766" spans="1:11" x14ac:dyDescent="0.2">
      <c r="A766" t="str">
        <f t="shared" si="12"/>
        <v>Drought_Mixture_c</v>
      </c>
      <c r="B766" s="2" t="s">
        <v>29</v>
      </c>
      <c r="C766" s="2" t="s">
        <v>27</v>
      </c>
      <c r="D766" s="2" t="s">
        <v>18</v>
      </c>
      <c r="F766" t="s">
        <v>43</v>
      </c>
      <c r="G766">
        <v>10</v>
      </c>
      <c r="H766">
        <v>3</v>
      </c>
      <c r="I766">
        <v>20</v>
      </c>
      <c r="J766">
        <v>28</v>
      </c>
      <c r="K766" t="s">
        <v>34</v>
      </c>
    </row>
    <row r="767" spans="1:11" x14ac:dyDescent="0.2">
      <c r="A767" t="str">
        <f t="shared" si="12"/>
        <v>Drought_Mixture_d</v>
      </c>
      <c r="B767" s="2" t="s">
        <v>29</v>
      </c>
      <c r="C767" s="2" t="s">
        <v>27</v>
      </c>
      <c r="D767" s="2" t="s">
        <v>20</v>
      </c>
      <c r="F767" t="s">
        <v>43</v>
      </c>
      <c r="G767">
        <v>10</v>
      </c>
      <c r="H767">
        <v>3</v>
      </c>
      <c r="I767">
        <v>3</v>
      </c>
      <c r="J767">
        <v>6</v>
      </c>
      <c r="K767" t="s">
        <v>34</v>
      </c>
    </row>
    <row r="768" spans="1:11" x14ac:dyDescent="0.2">
      <c r="A768" t="str">
        <f t="shared" si="12"/>
        <v>Drought_Mixture_d</v>
      </c>
      <c r="B768" s="2" t="s">
        <v>29</v>
      </c>
      <c r="C768" s="2" t="s">
        <v>27</v>
      </c>
      <c r="D768" s="2" t="s">
        <v>20</v>
      </c>
      <c r="F768" t="s">
        <v>43</v>
      </c>
      <c r="G768">
        <v>10</v>
      </c>
      <c r="H768">
        <v>3</v>
      </c>
      <c r="I768">
        <v>6</v>
      </c>
      <c r="J768">
        <v>4</v>
      </c>
      <c r="K768" t="s">
        <v>34</v>
      </c>
    </row>
    <row r="769" spans="1:11" x14ac:dyDescent="0.2">
      <c r="A769" t="str">
        <f t="shared" si="12"/>
        <v>Drought_Mixture_e</v>
      </c>
      <c r="B769" s="2" t="s">
        <v>29</v>
      </c>
      <c r="C769" s="2" t="s">
        <v>27</v>
      </c>
      <c r="D769" s="2" t="s">
        <v>21</v>
      </c>
      <c r="F769" t="s">
        <v>43</v>
      </c>
      <c r="G769" t="s">
        <v>41</v>
      </c>
      <c r="K769" t="s">
        <v>34</v>
      </c>
    </row>
    <row r="770" spans="1:11" x14ac:dyDescent="0.2">
      <c r="A770" t="str">
        <f t="shared" si="12"/>
        <v>Drought_Mixture_e</v>
      </c>
      <c r="B770" s="2" t="s">
        <v>29</v>
      </c>
      <c r="C770" s="2" t="s">
        <v>27</v>
      </c>
      <c r="D770" s="2" t="s">
        <v>21</v>
      </c>
      <c r="F770" t="s">
        <v>43</v>
      </c>
      <c r="G770" t="s">
        <v>41</v>
      </c>
      <c r="K770" t="s">
        <v>34</v>
      </c>
    </row>
    <row r="771" spans="1:11" x14ac:dyDescent="0.2">
      <c r="A771" t="str">
        <f t="shared" si="12"/>
        <v>Drought_Mucoid_a</v>
      </c>
      <c r="B771" s="2" t="s">
        <v>29</v>
      </c>
      <c r="C771" s="2" t="s">
        <v>12</v>
      </c>
      <c r="D771" s="2" t="s">
        <v>13</v>
      </c>
      <c r="F771" t="s">
        <v>44</v>
      </c>
      <c r="G771">
        <v>10</v>
      </c>
      <c r="H771">
        <v>2</v>
      </c>
      <c r="I771">
        <v>0</v>
      </c>
      <c r="J771">
        <v>0</v>
      </c>
      <c r="K771" t="s">
        <v>34</v>
      </c>
    </row>
    <row r="772" spans="1:11" x14ac:dyDescent="0.2">
      <c r="A772" t="str">
        <f t="shared" si="12"/>
        <v>Drought_Mucoid_a</v>
      </c>
      <c r="B772" s="2" t="s">
        <v>29</v>
      </c>
      <c r="C772" s="2" t="s">
        <v>12</v>
      </c>
      <c r="D772" s="2" t="s">
        <v>13</v>
      </c>
      <c r="F772" t="s">
        <v>44</v>
      </c>
      <c r="G772">
        <v>10</v>
      </c>
      <c r="H772">
        <v>2</v>
      </c>
      <c r="I772">
        <v>0</v>
      </c>
      <c r="J772">
        <v>0</v>
      </c>
      <c r="K772" t="s">
        <v>34</v>
      </c>
    </row>
    <row r="773" spans="1:11" x14ac:dyDescent="0.2">
      <c r="A773" t="str">
        <f t="shared" si="12"/>
        <v>Drought_Mucoid_b</v>
      </c>
      <c r="B773" s="2" t="s">
        <v>29</v>
      </c>
      <c r="C773" s="2" t="s">
        <v>12</v>
      </c>
      <c r="D773" s="2" t="s">
        <v>16</v>
      </c>
      <c r="F773" t="s">
        <v>44</v>
      </c>
      <c r="G773">
        <v>10</v>
      </c>
      <c r="H773">
        <v>2</v>
      </c>
      <c r="I773">
        <v>12</v>
      </c>
      <c r="J773">
        <v>0</v>
      </c>
      <c r="K773" t="s">
        <v>34</v>
      </c>
    </row>
    <row r="774" spans="1:11" x14ac:dyDescent="0.2">
      <c r="A774" t="str">
        <f t="shared" si="12"/>
        <v>Drought_Mucoid_b</v>
      </c>
      <c r="B774" s="2" t="s">
        <v>29</v>
      </c>
      <c r="C774" s="2" t="s">
        <v>12</v>
      </c>
      <c r="D774" s="2" t="s">
        <v>16</v>
      </c>
      <c r="F774" t="s">
        <v>44</v>
      </c>
      <c r="G774">
        <v>10</v>
      </c>
      <c r="H774">
        <v>2</v>
      </c>
      <c r="I774">
        <v>17</v>
      </c>
      <c r="J774">
        <v>0</v>
      </c>
      <c r="K774" t="s">
        <v>34</v>
      </c>
    </row>
    <row r="775" spans="1:11" x14ac:dyDescent="0.2">
      <c r="A775" t="str">
        <f t="shared" si="12"/>
        <v>Drought_Mucoid_c</v>
      </c>
      <c r="B775" s="2" t="s">
        <v>29</v>
      </c>
      <c r="C775" s="2" t="s">
        <v>12</v>
      </c>
      <c r="D775" s="2" t="s">
        <v>18</v>
      </c>
      <c r="F775" t="s">
        <v>44</v>
      </c>
      <c r="G775">
        <v>10</v>
      </c>
      <c r="H775">
        <v>2</v>
      </c>
      <c r="I775">
        <v>7</v>
      </c>
      <c r="J775">
        <v>0</v>
      </c>
      <c r="K775" t="s">
        <v>34</v>
      </c>
    </row>
    <row r="776" spans="1:11" x14ac:dyDescent="0.2">
      <c r="A776" t="str">
        <f t="shared" si="12"/>
        <v>Drought_Mucoid_c</v>
      </c>
      <c r="B776" s="2" t="s">
        <v>29</v>
      </c>
      <c r="C776" s="2" t="s">
        <v>12</v>
      </c>
      <c r="D776" s="2" t="s">
        <v>18</v>
      </c>
      <c r="F776" t="s">
        <v>44</v>
      </c>
      <c r="G776">
        <v>10</v>
      </c>
      <c r="H776">
        <v>2</v>
      </c>
      <c r="I776">
        <v>8</v>
      </c>
      <c r="J776">
        <v>0</v>
      </c>
      <c r="K776" t="s">
        <v>34</v>
      </c>
    </row>
    <row r="777" spans="1:11" x14ac:dyDescent="0.2">
      <c r="A777" t="str">
        <f t="shared" si="12"/>
        <v>Drought_Mucoid_d</v>
      </c>
      <c r="B777" s="2" t="s">
        <v>29</v>
      </c>
      <c r="C777" s="2" t="s">
        <v>12</v>
      </c>
      <c r="D777" s="2" t="s">
        <v>20</v>
      </c>
      <c r="F777" t="s">
        <v>44</v>
      </c>
      <c r="G777">
        <v>10</v>
      </c>
      <c r="H777">
        <v>2</v>
      </c>
      <c r="I777">
        <v>1</v>
      </c>
      <c r="J777">
        <v>0</v>
      </c>
      <c r="K777" t="s">
        <v>34</v>
      </c>
    </row>
    <row r="778" spans="1:11" x14ac:dyDescent="0.2">
      <c r="A778" t="str">
        <f t="shared" si="12"/>
        <v>Drought_Mucoid_d</v>
      </c>
      <c r="B778" s="2" t="s">
        <v>29</v>
      </c>
      <c r="C778" s="2" t="s">
        <v>12</v>
      </c>
      <c r="D778" s="2" t="s">
        <v>20</v>
      </c>
      <c r="F778" t="s">
        <v>44</v>
      </c>
      <c r="G778">
        <v>10</v>
      </c>
      <c r="H778">
        <v>2</v>
      </c>
      <c r="I778">
        <v>1</v>
      </c>
      <c r="J778">
        <v>0</v>
      </c>
      <c r="K778" t="s">
        <v>34</v>
      </c>
    </row>
    <row r="779" spans="1:11" x14ac:dyDescent="0.2">
      <c r="A779" t="str">
        <f t="shared" si="12"/>
        <v>Drought_Mucoid_e</v>
      </c>
      <c r="B779" s="2" t="s">
        <v>29</v>
      </c>
      <c r="C779" s="2" t="s">
        <v>12</v>
      </c>
      <c r="D779" s="2" t="s">
        <v>21</v>
      </c>
      <c r="F779" t="s">
        <v>44</v>
      </c>
      <c r="G779">
        <v>10</v>
      </c>
      <c r="H779">
        <v>2</v>
      </c>
      <c r="I779">
        <v>85</v>
      </c>
      <c r="J779">
        <v>0</v>
      </c>
      <c r="K779" t="s">
        <v>34</v>
      </c>
    </row>
    <row r="780" spans="1:11" x14ac:dyDescent="0.2">
      <c r="A780" t="str">
        <f t="shared" si="12"/>
        <v>Drought_Mucoid_e</v>
      </c>
      <c r="B780" s="2" t="s">
        <v>29</v>
      </c>
      <c r="C780" s="2" t="s">
        <v>12</v>
      </c>
      <c r="D780" s="2" t="s">
        <v>21</v>
      </c>
      <c r="F780" t="s">
        <v>44</v>
      </c>
      <c r="G780">
        <v>10</v>
      </c>
      <c r="H780">
        <v>2</v>
      </c>
      <c r="I780">
        <v>66</v>
      </c>
      <c r="J780">
        <v>0</v>
      </c>
      <c r="K780" t="s">
        <v>34</v>
      </c>
    </row>
    <row r="781" spans="1:11" x14ac:dyDescent="0.2">
      <c r="A781" t="str">
        <f t="shared" si="12"/>
        <v>Drought_Dry_a</v>
      </c>
      <c r="B781" s="2" t="s">
        <v>29</v>
      </c>
      <c r="C781" s="2" t="s">
        <v>23</v>
      </c>
      <c r="D781" s="2" t="s">
        <v>13</v>
      </c>
      <c r="F781" t="s">
        <v>44</v>
      </c>
      <c r="G781">
        <v>10</v>
      </c>
      <c r="H781">
        <v>2</v>
      </c>
      <c r="I781">
        <v>0</v>
      </c>
      <c r="J781">
        <v>127</v>
      </c>
      <c r="K781" t="s">
        <v>34</v>
      </c>
    </row>
    <row r="782" spans="1:11" x14ac:dyDescent="0.2">
      <c r="A782" t="str">
        <f t="shared" si="12"/>
        <v>Drought_Dry_a</v>
      </c>
      <c r="B782" s="2" t="s">
        <v>29</v>
      </c>
      <c r="C782" s="2" t="s">
        <v>23</v>
      </c>
      <c r="D782" s="2" t="s">
        <v>13</v>
      </c>
      <c r="F782" t="s">
        <v>44</v>
      </c>
      <c r="G782">
        <v>10</v>
      </c>
      <c r="H782">
        <v>2</v>
      </c>
      <c r="I782">
        <v>0</v>
      </c>
      <c r="J782">
        <v>127</v>
      </c>
      <c r="K782" t="s">
        <v>34</v>
      </c>
    </row>
    <row r="783" spans="1:11" x14ac:dyDescent="0.2">
      <c r="A783" t="str">
        <f t="shared" si="12"/>
        <v>Drought_Dry_b</v>
      </c>
      <c r="B783" s="2" t="s">
        <v>29</v>
      </c>
      <c r="C783" s="2" t="s">
        <v>23</v>
      </c>
      <c r="D783" s="2" t="s">
        <v>16</v>
      </c>
      <c r="F783" t="s">
        <v>44</v>
      </c>
      <c r="G783">
        <v>10</v>
      </c>
      <c r="H783">
        <v>2</v>
      </c>
      <c r="I783">
        <v>0</v>
      </c>
      <c r="J783">
        <v>4</v>
      </c>
      <c r="K783" t="s">
        <v>34</v>
      </c>
    </row>
    <row r="784" spans="1:11" x14ac:dyDescent="0.2">
      <c r="A784" t="str">
        <f t="shared" si="12"/>
        <v>Drought_Dry_b</v>
      </c>
      <c r="B784" s="2" t="s">
        <v>29</v>
      </c>
      <c r="C784" s="2" t="s">
        <v>23</v>
      </c>
      <c r="D784" s="2" t="s">
        <v>16</v>
      </c>
      <c r="F784" t="s">
        <v>44</v>
      </c>
      <c r="G784">
        <v>10</v>
      </c>
      <c r="H784">
        <v>2</v>
      </c>
      <c r="I784">
        <v>0</v>
      </c>
      <c r="J784">
        <v>6</v>
      </c>
      <c r="K784" t="s">
        <v>34</v>
      </c>
    </row>
    <row r="785" spans="1:11" x14ac:dyDescent="0.2">
      <c r="A785" t="str">
        <f t="shared" si="12"/>
        <v>Drought_Dry_c</v>
      </c>
      <c r="B785" s="2" t="s">
        <v>29</v>
      </c>
      <c r="C785" s="2" t="s">
        <v>23</v>
      </c>
      <c r="D785" s="2" t="s">
        <v>18</v>
      </c>
      <c r="F785" t="s">
        <v>44</v>
      </c>
      <c r="G785" s="2" t="s">
        <v>41</v>
      </c>
      <c r="K785" t="s">
        <v>34</v>
      </c>
    </row>
    <row r="786" spans="1:11" x14ac:dyDescent="0.2">
      <c r="A786" t="str">
        <f t="shared" si="12"/>
        <v>Drought_Dry_c</v>
      </c>
      <c r="B786" s="2" t="s">
        <v>29</v>
      </c>
      <c r="C786" s="2" t="s">
        <v>23</v>
      </c>
      <c r="D786" s="2" t="s">
        <v>18</v>
      </c>
      <c r="F786" t="s">
        <v>44</v>
      </c>
      <c r="G786" s="2" t="s">
        <v>41</v>
      </c>
      <c r="K786" t="s">
        <v>34</v>
      </c>
    </row>
    <row r="787" spans="1:11" x14ac:dyDescent="0.2">
      <c r="A787" t="str">
        <f t="shared" si="12"/>
        <v>Drought_Dry_d</v>
      </c>
      <c r="B787" s="2" t="s">
        <v>29</v>
      </c>
      <c r="C787" s="2" t="s">
        <v>23</v>
      </c>
      <c r="D787" s="2" t="s">
        <v>20</v>
      </c>
      <c r="F787" t="s">
        <v>44</v>
      </c>
      <c r="G787">
        <v>10</v>
      </c>
      <c r="H787">
        <v>2</v>
      </c>
      <c r="I787">
        <v>0</v>
      </c>
      <c r="J787">
        <v>4</v>
      </c>
      <c r="K787" t="s">
        <v>34</v>
      </c>
    </row>
    <row r="788" spans="1:11" x14ac:dyDescent="0.2">
      <c r="A788" t="str">
        <f t="shared" si="12"/>
        <v>Drought_Dry_d</v>
      </c>
      <c r="B788" s="2" t="s">
        <v>29</v>
      </c>
      <c r="C788" s="2" t="s">
        <v>23</v>
      </c>
      <c r="D788" s="2" t="s">
        <v>20</v>
      </c>
      <c r="F788" t="s">
        <v>44</v>
      </c>
      <c r="G788">
        <v>10</v>
      </c>
      <c r="H788">
        <v>2</v>
      </c>
      <c r="I788">
        <v>0</v>
      </c>
      <c r="J788">
        <v>4</v>
      </c>
      <c r="K788" t="s">
        <v>34</v>
      </c>
    </row>
    <row r="789" spans="1:11" x14ac:dyDescent="0.2">
      <c r="A789" t="str">
        <f t="shared" si="12"/>
        <v>Drought_Dry_e</v>
      </c>
      <c r="B789" s="2" t="s">
        <v>29</v>
      </c>
      <c r="C789" s="2" t="s">
        <v>23</v>
      </c>
      <c r="D789" s="2" t="s">
        <v>21</v>
      </c>
      <c r="F789" t="s">
        <v>44</v>
      </c>
      <c r="G789">
        <v>10</v>
      </c>
      <c r="H789">
        <v>2</v>
      </c>
      <c r="I789">
        <v>0</v>
      </c>
      <c r="J789">
        <v>21</v>
      </c>
      <c r="K789" t="s">
        <v>34</v>
      </c>
    </row>
    <row r="790" spans="1:11" x14ac:dyDescent="0.2">
      <c r="A790" t="str">
        <f t="shared" si="12"/>
        <v>Drought_Dry_e</v>
      </c>
      <c r="B790" s="2" t="s">
        <v>29</v>
      </c>
      <c r="C790" s="2" t="s">
        <v>23</v>
      </c>
      <c r="D790" s="2" t="s">
        <v>21</v>
      </c>
      <c r="F790" t="s">
        <v>44</v>
      </c>
      <c r="G790">
        <v>10</v>
      </c>
      <c r="H790">
        <v>2</v>
      </c>
      <c r="I790">
        <v>0</v>
      </c>
      <c r="J790">
        <v>19</v>
      </c>
      <c r="K790" t="s">
        <v>34</v>
      </c>
    </row>
    <row r="791" spans="1:11" x14ac:dyDescent="0.2">
      <c r="A791" t="str">
        <f t="shared" si="12"/>
        <v>Drought_Mixture_a</v>
      </c>
      <c r="B791" s="2" t="s">
        <v>29</v>
      </c>
      <c r="C791" s="2" t="s">
        <v>27</v>
      </c>
      <c r="D791" s="2" t="s">
        <v>13</v>
      </c>
      <c r="F791" t="s">
        <v>44</v>
      </c>
      <c r="G791">
        <v>10</v>
      </c>
      <c r="H791">
        <v>2</v>
      </c>
      <c r="I791">
        <v>62</v>
      </c>
      <c r="J791">
        <v>79</v>
      </c>
      <c r="K791" t="s">
        <v>34</v>
      </c>
    </row>
    <row r="792" spans="1:11" x14ac:dyDescent="0.2">
      <c r="A792" t="str">
        <f t="shared" si="12"/>
        <v>Drought_Mixture_a</v>
      </c>
      <c r="B792" s="2" t="s">
        <v>29</v>
      </c>
      <c r="C792" s="2" t="s">
        <v>27</v>
      </c>
      <c r="D792" s="2" t="s">
        <v>13</v>
      </c>
      <c r="F792" t="s">
        <v>44</v>
      </c>
      <c r="G792">
        <v>10</v>
      </c>
      <c r="H792">
        <v>2</v>
      </c>
      <c r="I792">
        <v>54</v>
      </c>
      <c r="J792">
        <v>78</v>
      </c>
      <c r="K792" t="s">
        <v>34</v>
      </c>
    </row>
    <row r="793" spans="1:11" x14ac:dyDescent="0.2">
      <c r="A793" t="str">
        <f t="shared" si="12"/>
        <v>Drought_Mixture_b</v>
      </c>
      <c r="B793" s="2" t="s">
        <v>29</v>
      </c>
      <c r="C793" s="2" t="s">
        <v>27</v>
      </c>
      <c r="D793" s="2" t="s">
        <v>16</v>
      </c>
      <c r="F793" t="s">
        <v>44</v>
      </c>
      <c r="G793">
        <v>10</v>
      </c>
      <c r="H793">
        <v>2</v>
      </c>
      <c r="I793">
        <v>14</v>
      </c>
      <c r="J793">
        <v>33</v>
      </c>
      <c r="K793" t="s">
        <v>34</v>
      </c>
    </row>
    <row r="794" spans="1:11" x14ac:dyDescent="0.2">
      <c r="A794" t="str">
        <f t="shared" si="12"/>
        <v>Drought_Mixture_b</v>
      </c>
      <c r="B794" s="2" t="s">
        <v>29</v>
      </c>
      <c r="C794" s="2" t="s">
        <v>27</v>
      </c>
      <c r="D794" s="2" t="s">
        <v>16</v>
      </c>
      <c r="F794" t="s">
        <v>44</v>
      </c>
      <c r="G794">
        <v>10</v>
      </c>
      <c r="H794">
        <v>2</v>
      </c>
      <c r="I794">
        <v>13</v>
      </c>
      <c r="J794">
        <v>16</v>
      </c>
      <c r="K794" t="s">
        <v>34</v>
      </c>
    </row>
    <row r="795" spans="1:11" x14ac:dyDescent="0.2">
      <c r="A795" t="str">
        <f t="shared" si="12"/>
        <v>Drought_Mixture_c</v>
      </c>
      <c r="B795" s="2" t="s">
        <v>29</v>
      </c>
      <c r="C795" s="2" t="s">
        <v>27</v>
      </c>
      <c r="D795" s="2" t="s">
        <v>18</v>
      </c>
      <c r="F795" t="s">
        <v>44</v>
      </c>
      <c r="G795">
        <v>10</v>
      </c>
      <c r="H795">
        <v>2</v>
      </c>
      <c r="I795">
        <v>3</v>
      </c>
      <c r="J795">
        <v>18</v>
      </c>
      <c r="K795" t="s">
        <v>34</v>
      </c>
    </row>
    <row r="796" spans="1:11" x14ac:dyDescent="0.2">
      <c r="A796" t="str">
        <f t="shared" si="12"/>
        <v>Drought_Mixture_c</v>
      </c>
      <c r="B796" s="2" t="s">
        <v>29</v>
      </c>
      <c r="C796" s="2" t="s">
        <v>27</v>
      </c>
      <c r="D796" s="2" t="s">
        <v>18</v>
      </c>
      <c r="F796" t="s">
        <v>44</v>
      </c>
      <c r="G796">
        <v>10</v>
      </c>
      <c r="H796">
        <v>2</v>
      </c>
      <c r="I796">
        <v>6</v>
      </c>
      <c r="J796">
        <v>19</v>
      </c>
      <c r="K796" t="s">
        <v>34</v>
      </c>
    </row>
    <row r="797" spans="1:11" x14ac:dyDescent="0.2">
      <c r="A797" t="str">
        <f t="shared" si="12"/>
        <v>Drought_Mixture_d</v>
      </c>
      <c r="B797" s="2" t="s">
        <v>29</v>
      </c>
      <c r="C797" s="2" t="s">
        <v>27</v>
      </c>
      <c r="D797" s="2" t="s">
        <v>20</v>
      </c>
      <c r="F797" t="s">
        <v>44</v>
      </c>
      <c r="G797">
        <v>10</v>
      </c>
      <c r="H797">
        <v>2</v>
      </c>
      <c r="I797">
        <v>14</v>
      </c>
      <c r="J797">
        <v>33</v>
      </c>
      <c r="K797" t="s">
        <v>34</v>
      </c>
    </row>
    <row r="798" spans="1:11" x14ac:dyDescent="0.2">
      <c r="A798" t="str">
        <f t="shared" si="12"/>
        <v>Drought_Mixture_d</v>
      </c>
      <c r="B798" s="2" t="s">
        <v>29</v>
      </c>
      <c r="C798" s="2" t="s">
        <v>27</v>
      </c>
      <c r="D798" s="2" t="s">
        <v>20</v>
      </c>
      <c r="F798" t="s">
        <v>44</v>
      </c>
      <c r="G798">
        <v>10</v>
      </c>
      <c r="H798">
        <v>2</v>
      </c>
      <c r="I798">
        <v>13</v>
      </c>
      <c r="J798">
        <v>16</v>
      </c>
      <c r="K798" t="s">
        <v>34</v>
      </c>
    </row>
    <row r="799" spans="1:11" x14ac:dyDescent="0.2">
      <c r="A799" t="str">
        <f t="shared" si="12"/>
        <v>Drought_Mixture_e</v>
      </c>
      <c r="B799" s="2" t="s">
        <v>29</v>
      </c>
      <c r="C799" s="2" t="s">
        <v>27</v>
      </c>
      <c r="D799" s="2" t="s">
        <v>21</v>
      </c>
      <c r="F799" t="s">
        <v>44</v>
      </c>
      <c r="G799">
        <v>10</v>
      </c>
      <c r="H799">
        <v>2</v>
      </c>
      <c r="I799">
        <v>16</v>
      </c>
      <c r="J799">
        <v>23</v>
      </c>
      <c r="K799" t="s">
        <v>34</v>
      </c>
    </row>
    <row r="800" spans="1:11" x14ac:dyDescent="0.2">
      <c r="A800" t="str">
        <f t="shared" si="12"/>
        <v>Drought_Mixture_e</v>
      </c>
      <c r="B800" s="2" t="s">
        <v>29</v>
      </c>
      <c r="C800" s="2" t="s">
        <v>27</v>
      </c>
      <c r="D800" s="2" t="s">
        <v>21</v>
      </c>
      <c r="F800" t="s">
        <v>44</v>
      </c>
      <c r="G800">
        <v>10</v>
      </c>
      <c r="H800">
        <v>2</v>
      </c>
      <c r="I800">
        <v>20</v>
      </c>
      <c r="J800">
        <v>34</v>
      </c>
      <c r="K800" t="s">
        <v>34</v>
      </c>
    </row>
    <row r="801" spans="1:11" x14ac:dyDescent="0.2">
      <c r="A801" s="3" t="s">
        <v>10</v>
      </c>
      <c r="B801" t="s">
        <v>11</v>
      </c>
      <c r="C801" t="s">
        <v>12</v>
      </c>
      <c r="D801" t="str">
        <f t="shared" ref="D801:D824" si="13">LEFT(RIGHT(A801,1))</f>
        <v>a</v>
      </c>
      <c r="E801">
        <v>1</v>
      </c>
      <c r="F801">
        <v>0</v>
      </c>
      <c r="G801">
        <v>10</v>
      </c>
      <c r="H801">
        <v>0</v>
      </c>
      <c r="I801">
        <v>14</v>
      </c>
      <c r="J801">
        <v>0</v>
      </c>
      <c r="K801" t="s">
        <v>34</v>
      </c>
    </row>
    <row r="802" spans="1:11" x14ac:dyDescent="0.2">
      <c r="A802" s="3" t="s">
        <v>10</v>
      </c>
      <c r="B802" t="s">
        <v>11</v>
      </c>
      <c r="C802" t="s">
        <v>12</v>
      </c>
      <c r="D802" t="str">
        <f t="shared" si="13"/>
        <v>a</v>
      </c>
      <c r="E802">
        <v>2</v>
      </c>
      <c r="F802">
        <v>0</v>
      </c>
      <c r="G802">
        <v>10</v>
      </c>
      <c r="H802">
        <v>0</v>
      </c>
      <c r="I802">
        <v>12</v>
      </c>
      <c r="J802">
        <v>0</v>
      </c>
      <c r="K802" t="s">
        <v>34</v>
      </c>
    </row>
    <row r="803" spans="1:11" x14ac:dyDescent="0.2">
      <c r="A803" s="3" t="s">
        <v>15</v>
      </c>
      <c r="B803" t="s">
        <v>11</v>
      </c>
      <c r="C803" t="s">
        <v>12</v>
      </c>
      <c r="D803" t="str">
        <f t="shared" si="13"/>
        <v>b</v>
      </c>
      <c r="E803">
        <v>1</v>
      </c>
      <c r="F803">
        <v>0</v>
      </c>
      <c r="G803">
        <v>10</v>
      </c>
      <c r="H803">
        <v>0</v>
      </c>
      <c r="I803">
        <v>12</v>
      </c>
      <c r="J803">
        <v>0</v>
      </c>
      <c r="K803" t="s">
        <v>34</v>
      </c>
    </row>
    <row r="804" spans="1:11" x14ac:dyDescent="0.2">
      <c r="A804" s="3" t="s">
        <v>15</v>
      </c>
      <c r="B804" t="s">
        <v>11</v>
      </c>
      <c r="C804" t="s">
        <v>12</v>
      </c>
      <c r="D804" t="str">
        <f t="shared" si="13"/>
        <v>b</v>
      </c>
      <c r="E804">
        <v>2</v>
      </c>
      <c r="F804">
        <v>0</v>
      </c>
      <c r="G804">
        <v>10</v>
      </c>
      <c r="H804">
        <v>0</v>
      </c>
      <c r="I804" t="s">
        <v>35</v>
      </c>
      <c r="J804">
        <v>0</v>
      </c>
      <c r="K804" t="s">
        <v>34</v>
      </c>
    </row>
    <row r="805" spans="1:11" x14ac:dyDescent="0.2">
      <c r="A805" s="3" t="s">
        <v>17</v>
      </c>
      <c r="B805" t="s">
        <v>11</v>
      </c>
      <c r="C805" t="s">
        <v>12</v>
      </c>
      <c r="D805" t="str">
        <f t="shared" si="13"/>
        <v>c</v>
      </c>
      <c r="E805">
        <v>1</v>
      </c>
      <c r="F805">
        <v>0</v>
      </c>
      <c r="G805">
        <v>10</v>
      </c>
      <c r="H805">
        <v>0</v>
      </c>
      <c r="I805">
        <v>11</v>
      </c>
      <c r="J805">
        <v>0</v>
      </c>
      <c r="K805" t="s">
        <v>34</v>
      </c>
    </row>
    <row r="806" spans="1:11" x14ac:dyDescent="0.2">
      <c r="A806" s="3" t="s">
        <v>17</v>
      </c>
      <c r="B806" t="s">
        <v>11</v>
      </c>
      <c r="C806" t="s">
        <v>12</v>
      </c>
      <c r="D806" t="str">
        <f t="shared" si="13"/>
        <v>c</v>
      </c>
      <c r="E806">
        <v>2</v>
      </c>
      <c r="F806">
        <v>0</v>
      </c>
      <c r="G806">
        <v>10</v>
      </c>
      <c r="H806">
        <v>0</v>
      </c>
      <c r="I806">
        <v>12</v>
      </c>
      <c r="J806">
        <v>0</v>
      </c>
      <c r="K806" t="s">
        <v>34</v>
      </c>
    </row>
    <row r="807" spans="1:11" x14ac:dyDescent="0.2">
      <c r="A807" s="3" t="s">
        <v>19</v>
      </c>
      <c r="B807" t="s">
        <v>11</v>
      </c>
      <c r="C807" t="s">
        <v>12</v>
      </c>
      <c r="D807" t="str">
        <f t="shared" si="13"/>
        <v>d</v>
      </c>
      <c r="E807">
        <v>1</v>
      </c>
      <c r="F807">
        <v>0</v>
      </c>
      <c r="G807">
        <v>10</v>
      </c>
      <c r="H807">
        <v>0</v>
      </c>
      <c r="I807">
        <v>16</v>
      </c>
      <c r="J807">
        <v>0</v>
      </c>
      <c r="K807" t="s">
        <v>34</v>
      </c>
    </row>
    <row r="808" spans="1:11" x14ac:dyDescent="0.2">
      <c r="A808" s="3" t="s">
        <v>19</v>
      </c>
      <c r="B808" t="s">
        <v>11</v>
      </c>
      <c r="C808" t="s">
        <v>12</v>
      </c>
      <c r="D808" t="str">
        <f t="shared" si="13"/>
        <v>d</v>
      </c>
      <c r="E808">
        <v>2</v>
      </c>
      <c r="F808">
        <v>0</v>
      </c>
      <c r="G808">
        <v>10</v>
      </c>
      <c r="H808">
        <v>0</v>
      </c>
      <c r="I808">
        <v>16</v>
      </c>
      <c r="J808">
        <v>0</v>
      </c>
      <c r="K808" t="s">
        <v>34</v>
      </c>
    </row>
    <row r="809" spans="1:11" x14ac:dyDescent="0.2">
      <c r="A809" t="s">
        <v>22</v>
      </c>
      <c r="B809" t="s">
        <v>11</v>
      </c>
      <c r="C809" t="s">
        <v>23</v>
      </c>
      <c r="D809" t="str">
        <f t="shared" si="13"/>
        <v>a</v>
      </c>
      <c r="E809">
        <v>1</v>
      </c>
      <c r="F809">
        <v>0</v>
      </c>
      <c r="G809">
        <v>10</v>
      </c>
      <c r="H809">
        <v>0</v>
      </c>
      <c r="I809">
        <v>0</v>
      </c>
      <c r="J809">
        <v>20</v>
      </c>
      <c r="K809" t="s">
        <v>34</v>
      </c>
    </row>
    <row r="810" spans="1:11" x14ac:dyDescent="0.2">
      <c r="A810" t="s">
        <v>22</v>
      </c>
      <c r="B810" t="s">
        <v>11</v>
      </c>
      <c r="C810" t="s">
        <v>23</v>
      </c>
      <c r="D810" t="str">
        <f t="shared" si="13"/>
        <v>a</v>
      </c>
      <c r="E810">
        <v>2</v>
      </c>
      <c r="F810">
        <v>0</v>
      </c>
      <c r="G810">
        <v>10</v>
      </c>
      <c r="H810">
        <v>0</v>
      </c>
      <c r="I810">
        <v>0</v>
      </c>
      <c r="J810">
        <v>16</v>
      </c>
      <c r="K810" t="s">
        <v>34</v>
      </c>
    </row>
    <row r="811" spans="1:11" x14ac:dyDescent="0.2">
      <c r="A811" t="s">
        <v>24</v>
      </c>
      <c r="B811" t="s">
        <v>11</v>
      </c>
      <c r="C811" t="s">
        <v>23</v>
      </c>
      <c r="D811" t="str">
        <f t="shared" si="13"/>
        <v>b</v>
      </c>
      <c r="E811">
        <v>1</v>
      </c>
      <c r="F811">
        <v>0</v>
      </c>
      <c r="G811">
        <v>10</v>
      </c>
      <c r="H811">
        <v>0</v>
      </c>
      <c r="I811">
        <v>0</v>
      </c>
      <c r="J811">
        <v>15</v>
      </c>
      <c r="K811" t="s">
        <v>34</v>
      </c>
    </row>
    <row r="812" spans="1:11" x14ac:dyDescent="0.2">
      <c r="A812" t="s">
        <v>24</v>
      </c>
      <c r="B812" t="s">
        <v>11</v>
      </c>
      <c r="C812" t="s">
        <v>23</v>
      </c>
      <c r="D812" t="str">
        <f t="shared" si="13"/>
        <v>b</v>
      </c>
      <c r="E812">
        <v>2</v>
      </c>
      <c r="F812">
        <v>0</v>
      </c>
      <c r="G812">
        <v>10</v>
      </c>
      <c r="H812">
        <v>0</v>
      </c>
      <c r="I812">
        <v>0</v>
      </c>
      <c r="J812">
        <v>16</v>
      </c>
      <c r="K812" t="s">
        <v>34</v>
      </c>
    </row>
    <row r="813" spans="1:11" x14ac:dyDescent="0.2">
      <c r="A813" t="s">
        <v>25</v>
      </c>
      <c r="B813" t="s">
        <v>11</v>
      </c>
      <c r="C813" t="s">
        <v>23</v>
      </c>
      <c r="D813" t="str">
        <f t="shared" si="13"/>
        <v>c</v>
      </c>
      <c r="E813">
        <v>1</v>
      </c>
      <c r="F813">
        <v>0</v>
      </c>
      <c r="G813">
        <v>10</v>
      </c>
      <c r="H813">
        <v>0</v>
      </c>
      <c r="I813">
        <v>0</v>
      </c>
      <c r="J813">
        <v>18</v>
      </c>
      <c r="K813" t="s">
        <v>34</v>
      </c>
    </row>
    <row r="814" spans="1:11" x14ac:dyDescent="0.2">
      <c r="A814" t="s">
        <v>25</v>
      </c>
      <c r="B814" t="s">
        <v>11</v>
      </c>
      <c r="C814" t="s">
        <v>23</v>
      </c>
      <c r="D814" t="str">
        <f t="shared" si="13"/>
        <v>c</v>
      </c>
      <c r="E814">
        <v>2</v>
      </c>
      <c r="F814">
        <v>0</v>
      </c>
      <c r="G814">
        <v>10</v>
      </c>
      <c r="H814">
        <v>0</v>
      </c>
      <c r="I814">
        <v>0</v>
      </c>
      <c r="J814">
        <v>14</v>
      </c>
      <c r="K814" t="s">
        <v>34</v>
      </c>
    </row>
    <row r="815" spans="1:11" x14ac:dyDescent="0.2">
      <c r="A815" t="s">
        <v>26</v>
      </c>
      <c r="B815" t="s">
        <v>11</v>
      </c>
      <c r="C815" t="s">
        <v>23</v>
      </c>
      <c r="D815" t="str">
        <f t="shared" si="13"/>
        <v>d</v>
      </c>
      <c r="E815">
        <v>1</v>
      </c>
      <c r="F815">
        <v>0</v>
      </c>
      <c r="G815">
        <v>10</v>
      </c>
      <c r="H815">
        <v>0</v>
      </c>
      <c r="I815">
        <v>0</v>
      </c>
      <c r="J815">
        <v>16</v>
      </c>
      <c r="K815" t="s">
        <v>34</v>
      </c>
    </row>
    <row r="816" spans="1:11" x14ac:dyDescent="0.2">
      <c r="A816" t="s">
        <v>26</v>
      </c>
      <c r="B816" t="s">
        <v>11</v>
      </c>
      <c r="C816" t="s">
        <v>23</v>
      </c>
      <c r="D816" t="str">
        <f t="shared" si="13"/>
        <v>d</v>
      </c>
      <c r="E816">
        <v>2</v>
      </c>
      <c r="F816">
        <v>0</v>
      </c>
      <c r="G816">
        <v>10</v>
      </c>
      <c r="H816">
        <v>0</v>
      </c>
      <c r="I816">
        <v>0</v>
      </c>
      <c r="J816">
        <v>18</v>
      </c>
      <c r="K816" t="s">
        <v>34</v>
      </c>
    </row>
    <row r="817" spans="1:11" x14ac:dyDescent="0.2">
      <c r="A817" t="s">
        <v>36</v>
      </c>
      <c r="B817" t="s">
        <v>11</v>
      </c>
      <c r="C817" t="s">
        <v>27</v>
      </c>
      <c r="D817" t="str">
        <f t="shared" si="13"/>
        <v>a</v>
      </c>
      <c r="E817">
        <v>1</v>
      </c>
      <c r="F817">
        <v>0</v>
      </c>
      <c r="G817">
        <v>10</v>
      </c>
      <c r="H817">
        <v>0</v>
      </c>
      <c r="I817">
        <v>6</v>
      </c>
      <c r="J817">
        <v>8</v>
      </c>
      <c r="K817" t="s">
        <v>34</v>
      </c>
    </row>
    <row r="818" spans="1:11" x14ac:dyDescent="0.2">
      <c r="A818" t="s">
        <v>36</v>
      </c>
      <c r="B818" t="s">
        <v>11</v>
      </c>
      <c r="C818" t="s">
        <v>27</v>
      </c>
      <c r="D818" t="str">
        <f t="shared" si="13"/>
        <v>a</v>
      </c>
      <c r="E818">
        <v>2</v>
      </c>
      <c r="F818">
        <v>0</v>
      </c>
      <c r="G818">
        <v>10</v>
      </c>
      <c r="H818">
        <v>0</v>
      </c>
      <c r="I818">
        <v>7</v>
      </c>
      <c r="J818">
        <v>7</v>
      </c>
      <c r="K818" t="s">
        <v>34</v>
      </c>
    </row>
    <row r="819" spans="1:11" x14ac:dyDescent="0.2">
      <c r="A819" t="s">
        <v>37</v>
      </c>
      <c r="B819" t="s">
        <v>11</v>
      </c>
      <c r="C819" t="s">
        <v>27</v>
      </c>
      <c r="D819" t="str">
        <f t="shared" si="13"/>
        <v>b</v>
      </c>
      <c r="E819">
        <v>1</v>
      </c>
      <c r="F819">
        <v>0</v>
      </c>
      <c r="G819">
        <v>10</v>
      </c>
      <c r="H819">
        <v>0</v>
      </c>
      <c r="I819">
        <v>3</v>
      </c>
      <c r="J819">
        <v>6</v>
      </c>
      <c r="K819" t="s">
        <v>34</v>
      </c>
    </row>
    <row r="820" spans="1:11" x14ac:dyDescent="0.2">
      <c r="A820" t="s">
        <v>37</v>
      </c>
      <c r="B820" t="s">
        <v>11</v>
      </c>
      <c r="C820" t="s">
        <v>27</v>
      </c>
      <c r="D820" t="str">
        <f t="shared" si="13"/>
        <v>b</v>
      </c>
      <c r="E820">
        <v>2</v>
      </c>
      <c r="F820">
        <v>0</v>
      </c>
      <c r="G820">
        <v>10</v>
      </c>
      <c r="H820">
        <v>0</v>
      </c>
      <c r="I820">
        <v>5</v>
      </c>
      <c r="J820">
        <v>5</v>
      </c>
      <c r="K820" t="s">
        <v>34</v>
      </c>
    </row>
    <row r="821" spans="1:11" x14ac:dyDescent="0.2">
      <c r="A821" t="s">
        <v>38</v>
      </c>
      <c r="B821" t="s">
        <v>11</v>
      </c>
      <c r="C821" t="s">
        <v>27</v>
      </c>
      <c r="D821" t="str">
        <f t="shared" si="13"/>
        <v>c</v>
      </c>
      <c r="E821">
        <v>1</v>
      </c>
      <c r="F821">
        <v>0</v>
      </c>
      <c r="G821">
        <v>10</v>
      </c>
      <c r="H821">
        <v>0</v>
      </c>
      <c r="I821">
        <v>6</v>
      </c>
      <c r="J821">
        <v>6</v>
      </c>
      <c r="K821" t="s">
        <v>34</v>
      </c>
    </row>
    <row r="822" spans="1:11" x14ac:dyDescent="0.2">
      <c r="A822" t="s">
        <v>38</v>
      </c>
      <c r="B822" t="s">
        <v>11</v>
      </c>
      <c r="C822" t="s">
        <v>27</v>
      </c>
      <c r="D822" t="str">
        <f t="shared" si="13"/>
        <v>c</v>
      </c>
      <c r="E822">
        <v>2</v>
      </c>
      <c r="F822">
        <v>0</v>
      </c>
      <c r="G822">
        <v>10</v>
      </c>
      <c r="H822">
        <v>0</v>
      </c>
      <c r="I822">
        <v>9</v>
      </c>
      <c r="J822">
        <v>8</v>
      </c>
      <c r="K822" t="s">
        <v>34</v>
      </c>
    </row>
    <row r="823" spans="1:11" x14ac:dyDescent="0.2">
      <c r="A823" t="s">
        <v>39</v>
      </c>
      <c r="B823" t="s">
        <v>11</v>
      </c>
      <c r="C823" t="s">
        <v>27</v>
      </c>
      <c r="D823" t="str">
        <f t="shared" si="13"/>
        <v>d</v>
      </c>
      <c r="E823">
        <v>1</v>
      </c>
      <c r="F823">
        <v>0</v>
      </c>
      <c r="G823">
        <v>10</v>
      </c>
      <c r="H823">
        <v>0</v>
      </c>
      <c r="I823">
        <v>6</v>
      </c>
      <c r="J823">
        <v>7</v>
      </c>
      <c r="K823" t="s">
        <v>34</v>
      </c>
    </row>
    <row r="824" spans="1:11" x14ac:dyDescent="0.2">
      <c r="A824" t="s">
        <v>39</v>
      </c>
      <c r="B824" t="s">
        <v>11</v>
      </c>
      <c r="C824" t="s">
        <v>27</v>
      </c>
      <c r="D824" t="str">
        <f t="shared" si="13"/>
        <v>d</v>
      </c>
      <c r="E824">
        <v>2</v>
      </c>
      <c r="F824">
        <v>0</v>
      </c>
      <c r="G824">
        <v>10</v>
      </c>
      <c r="H824">
        <v>0</v>
      </c>
      <c r="I824">
        <v>4</v>
      </c>
      <c r="J824">
        <v>9</v>
      </c>
      <c r="K824" t="s">
        <v>34</v>
      </c>
    </row>
    <row r="1006" spans="2:11" x14ac:dyDescent="0.2">
      <c r="B1006" s="2"/>
      <c r="C1006" s="2"/>
      <c r="D1006" s="2"/>
      <c r="K1006" s="1"/>
    </row>
    <row r="1007" spans="2:11" x14ac:dyDescent="0.2">
      <c r="B1007" s="2"/>
      <c r="C1007" s="2"/>
      <c r="D1007" s="2"/>
      <c r="K1007" s="1"/>
    </row>
    <row r="1008" spans="2:11" x14ac:dyDescent="0.2">
      <c r="B1008" s="2"/>
      <c r="C1008" s="2"/>
      <c r="D1008" s="2"/>
      <c r="K1008" s="1"/>
    </row>
    <row r="1009" spans="2:11" x14ac:dyDescent="0.2">
      <c r="B1009" s="2"/>
      <c r="C1009" s="2"/>
      <c r="D1009" s="2"/>
      <c r="K1009" s="1"/>
    </row>
    <row r="1010" spans="2:11" x14ac:dyDescent="0.2">
      <c r="B1010" s="2"/>
      <c r="C1010" s="2"/>
      <c r="D1010" s="2"/>
      <c r="K1010" s="1"/>
    </row>
    <row r="1035" spans="2:4" x14ac:dyDescent="0.2">
      <c r="B1035" s="2"/>
      <c r="C1035" s="2"/>
      <c r="D1035" s="2"/>
    </row>
    <row r="1036" spans="2:4" x14ac:dyDescent="0.2">
      <c r="B1036" s="2"/>
      <c r="C1036" s="2"/>
      <c r="D1036" s="2"/>
    </row>
    <row r="1037" spans="2:4" x14ac:dyDescent="0.2">
      <c r="B1037" s="2"/>
      <c r="C1037" s="2"/>
      <c r="D1037" s="2"/>
    </row>
    <row r="1038" spans="2:4" x14ac:dyDescent="0.2">
      <c r="B1038" s="2"/>
      <c r="C1038" s="2"/>
      <c r="D1038" s="2"/>
    </row>
    <row r="1039" spans="2:4" x14ac:dyDescent="0.2">
      <c r="B1039" s="2"/>
      <c r="C1039" s="2"/>
      <c r="D1039" s="2"/>
    </row>
    <row r="1040" spans="2:4" x14ac:dyDescent="0.2">
      <c r="B1040" s="2"/>
      <c r="C1040" s="2"/>
      <c r="D1040" s="2"/>
    </row>
    <row r="1041" spans="2:4" x14ac:dyDescent="0.2">
      <c r="B1041" s="2"/>
      <c r="C1041" s="2"/>
      <c r="D1041" s="2"/>
    </row>
    <row r="1042" spans="2:4" x14ac:dyDescent="0.2">
      <c r="B1042" s="2"/>
      <c r="C1042" s="2"/>
      <c r="D1042" s="2"/>
    </row>
    <row r="1043" spans="2:4" x14ac:dyDescent="0.2">
      <c r="B1043" s="2"/>
      <c r="C1043" s="2"/>
      <c r="D1043" s="2"/>
    </row>
    <row r="1044" spans="2:4" x14ac:dyDescent="0.2">
      <c r="B1044" s="2"/>
      <c r="C1044" s="2"/>
      <c r="D1044" s="2"/>
    </row>
    <row r="1045" spans="2:4" x14ac:dyDescent="0.2">
      <c r="B1045" s="2"/>
      <c r="C1045" s="2"/>
      <c r="D1045" s="2"/>
    </row>
    <row r="1046" spans="2:4" x14ac:dyDescent="0.2">
      <c r="B1046" s="2"/>
      <c r="C1046" s="2"/>
      <c r="D1046" s="2"/>
    </row>
    <row r="1047" spans="2:4" x14ac:dyDescent="0.2">
      <c r="B1047" s="2"/>
      <c r="C1047" s="2"/>
      <c r="D1047" s="2"/>
    </row>
    <row r="1048" spans="2:4" x14ac:dyDescent="0.2">
      <c r="B1048" s="2"/>
      <c r="C1048" s="2"/>
      <c r="D1048" s="2"/>
    </row>
    <row r="1049" spans="2:4" x14ac:dyDescent="0.2">
      <c r="B1049" s="2"/>
      <c r="C1049" s="2"/>
      <c r="D1049" s="2"/>
    </row>
    <row r="1050" spans="2:4" x14ac:dyDescent="0.2">
      <c r="B1050" s="2"/>
      <c r="C1050" s="2"/>
      <c r="D1050" s="2"/>
    </row>
    <row r="1051" spans="2:4" x14ac:dyDescent="0.2">
      <c r="B1051" s="2"/>
      <c r="C1051" s="2"/>
      <c r="D1051" s="2"/>
    </row>
    <row r="1052" spans="2:4" x14ac:dyDescent="0.2">
      <c r="B1052" s="2"/>
      <c r="C1052" s="2"/>
      <c r="D1052" s="2"/>
    </row>
    <row r="1053" spans="2:4" x14ac:dyDescent="0.2">
      <c r="B1053" s="2"/>
      <c r="C1053" s="2"/>
      <c r="D1053" s="2"/>
    </row>
    <row r="1054" spans="2:4" x14ac:dyDescent="0.2">
      <c r="B1054" s="2"/>
      <c r="C1054" s="2"/>
      <c r="D1054" s="2"/>
    </row>
    <row r="1055" spans="2:4" x14ac:dyDescent="0.2">
      <c r="B1055" s="2"/>
      <c r="C1055" s="2"/>
      <c r="D1055" s="2"/>
    </row>
    <row r="1056" spans="2:4" x14ac:dyDescent="0.2">
      <c r="B1056" s="2"/>
      <c r="C1056" s="2"/>
      <c r="D1056" s="2"/>
    </row>
    <row r="1057" spans="2:4" x14ac:dyDescent="0.2">
      <c r="B1057" s="2"/>
      <c r="C1057" s="2"/>
      <c r="D1057" s="2"/>
    </row>
    <row r="1058" spans="2:4" x14ac:dyDescent="0.2">
      <c r="B1058" s="2"/>
      <c r="C1058" s="2"/>
      <c r="D1058" s="2"/>
    </row>
    <row r="1059" spans="2:4" x14ac:dyDescent="0.2">
      <c r="B1059" s="2"/>
      <c r="C1059" s="2"/>
      <c r="D1059" s="2"/>
    </row>
    <row r="1060" spans="2:4" x14ac:dyDescent="0.2">
      <c r="B1060" s="2"/>
      <c r="C1060" s="2"/>
      <c r="D1060" s="2"/>
    </row>
    <row r="1061" spans="2:4" x14ac:dyDescent="0.2">
      <c r="B1061" s="2"/>
      <c r="C1061" s="2"/>
      <c r="D1061" s="2"/>
    </row>
    <row r="1062" spans="2:4" x14ac:dyDescent="0.2">
      <c r="B1062" s="2"/>
      <c r="C1062" s="2"/>
      <c r="D1062" s="2"/>
    </row>
    <row r="1063" spans="2:4" x14ac:dyDescent="0.2">
      <c r="B1063" s="2"/>
      <c r="C1063" s="2"/>
      <c r="D1063" s="2"/>
    </row>
    <row r="1064" spans="2:4" x14ac:dyDescent="0.2">
      <c r="B1064" s="2"/>
      <c r="C1064" s="2"/>
      <c r="D1064" s="2"/>
    </row>
  </sheetData>
  <sortState xmlns:xlrd2="http://schemas.microsoft.com/office/spreadsheetml/2017/richdata2" ref="A441:S1042">
    <sortCondition ref="B441:B104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Polo, Maria Alejandra</dc:creator>
  <cp:lastModifiedBy>Gil Polo, Maria Alejandra</cp:lastModifiedBy>
  <dcterms:created xsi:type="dcterms:W3CDTF">2026-06-27T22:02:57Z</dcterms:created>
  <dcterms:modified xsi:type="dcterms:W3CDTF">2026-10-03T01:34:37Z</dcterms:modified>
</cp:coreProperties>
</file>